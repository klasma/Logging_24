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45971</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45971</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45971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45971</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45971</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45971</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45971</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45971</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45971</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45971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45971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45971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45971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45971</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45971</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31135-2024</t>
        </is>
      </c>
      <c r="B21" s="1" t="n">
        <v>45502.65116898148</v>
      </c>
      <c r="C21" s="1" t="n">
        <v>45971</v>
      </c>
      <c r="D21" t="inlineStr">
        <is>
          <t>VÄSTERBOTTENS LÄN</t>
        </is>
      </c>
      <c r="E21" t="inlineStr">
        <is>
          <t>BJURHOLM</t>
        </is>
      </c>
      <c r="F21" t="inlineStr">
        <is>
          <t>Holmen skog AB</t>
        </is>
      </c>
      <c r="G21" t="n">
        <v>73.90000000000001</v>
      </c>
      <c r="H21" t="n">
        <v>12</v>
      </c>
      <c r="I21" t="n">
        <v>8</v>
      </c>
      <c r="J21" t="n">
        <v>14</v>
      </c>
      <c r="K21" t="n">
        <v>2</v>
      </c>
      <c r="L21" t="n">
        <v>0</v>
      </c>
      <c r="M21" t="n">
        <v>0</v>
      </c>
      <c r="N21" t="n">
        <v>0</v>
      </c>
      <c r="O21" t="n">
        <v>16</v>
      </c>
      <c r="P21" t="n">
        <v>2</v>
      </c>
      <c r="Q21" t="n">
        <v>29</v>
      </c>
      <c r="R21"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1">
        <f>HYPERLINK("https://klasma.github.io/Logging_2403/artfynd/A 31135-2024 artfynd.xlsx", "A 31135-2024")</f>
        <v/>
      </c>
      <c r="T21">
        <f>HYPERLINK("https://klasma.github.io/Logging_2403/kartor/A 31135-2024 karta.png", "A 31135-2024")</f>
        <v/>
      </c>
      <c r="U21">
        <f>HYPERLINK("https://klasma.github.io/Logging_2403/knärot/A 31135-2024 karta knärot.png", "A 31135-2024")</f>
        <v/>
      </c>
      <c r="V21">
        <f>HYPERLINK("https://klasma.github.io/Logging_2403/klagomål/A 31135-2024 FSC-klagomål.docx", "A 31135-2024")</f>
        <v/>
      </c>
      <c r="W21">
        <f>HYPERLINK("https://klasma.github.io/Logging_2403/klagomålsmail/A 31135-2024 FSC-klagomål mail.docx", "A 31135-2024")</f>
        <v/>
      </c>
      <c r="X21">
        <f>HYPERLINK("https://klasma.github.io/Logging_2403/tillsyn/A 31135-2024 tillsynsbegäran.docx", "A 31135-2024")</f>
        <v/>
      </c>
      <c r="Y21">
        <f>HYPERLINK("https://klasma.github.io/Logging_2403/tillsynsmail/A 31135-2024 tillsynsbegäran mail.docx", "A 31135-2024")</f>
        <v/>
      </c>
      <c r="Z21">
        <f>HYPERLINK("https://klasma.github.io/Logging_2403/fåglar/A 31135-2024 prioriterade fågelarter.docx", "A 31135-2024")</f>
        <v/>
      </c>
    </row>
    <row r="22" ht="15" customHeight="1">
      <c r="A22" t="inlineStr">
        <is>
          <t>A 19470-2022</t>
        </is>
      </c>
      <c r="B22" s="1" t="n">
        <v>44693</v>
      </c>
      <c r="C22" s="1" t="n">
        <v>45971</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45971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45971</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35798-2024</t>
        </is>
      </c>
      <c r="B25" s="1" t="n">
        <v>45532</v>
      </c>
      <c r="C25" s="1" t="n">
        <v>45971</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45751-2022</t>
        </is>
      </c>
      <c r="B26" s="1" t="n">
        <v>44838</v>
      </c>
      <c r="C26" s="1" t="n">
        <v>45971</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45971</v>
      </c>
      <c r="D27" t="inlineStr">
        <is>
          <t>VÄSTERBOTTENS LÄN</t>
        </is>
      </c>
      <c r="E27" t="inlineStr">
        <is>
          <t>BJURHOLM</t>
        </is>
      </c>
      <c r="F27" t="inlineStr">
        <is>
          <t>SCA</t>
        </is>
      </c>
      <c r="G27" t="n">
        <v>30</v>
      </c>
      <c r="H27" t="n">
        <v>9</v>
      </c>
      <c r="I27" t="n">
        <v>6</v>
      </c>
      <c r="J27" t="n">
        <v>13</v>
      </c>
      <c r="K27" t="n">
        <v>2</v>
      </c>
      <c r="L27" t="n">
        <v>0</v>
      </c>
      <c r="M27" t="n">
        <v>0</v>
      </c>
      <c r="N27" t="n">
        <v>0</v>
      </c>
      <c r="O27" t="n">
        <v>15</v>
      </c>
      <c r="P27" t="n">
        <v>2</v>
      </c>
      <c r="Q27" t="n">
        <v>26</v>
      </c>
      <c r="R27"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12427-2023</t>
        </is>
      </c>
      <c r="B28" s="1" t="n">
        <v>44995</v>
      </c>
      <c r="C28" s="1" t="n">
        <v>45971</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45971</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45971</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45971</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45971</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45971</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45971</v>
      </c>
      <c r="D34" t="inlineStr">
        <is>
          <t>VÄSTERBOTTENS LÄN</t>
        </is>
      </c>
      <c r="E34" t="inlineStr">
        <is>
          <t>VILHELMINA</t>
        </is>
      </c>
      <c r="F34" t="inlineStr">
        <is>
          <t>Allmännings- och besparingsskogar</t>
        </is>
      </c>
      <c r="G34" t="n">
        <v>21.9</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45971</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45971</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45971</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45971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45971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63165-2020</t>
        </is>
      </c>
      <c r="B40" s="1" t="n">
        <v>44162</v>
      </c>
      <c r="C40" s="1" t="n">
        <v>45971</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38554-2024</t>
        </is>
      </c>
      <c r="B41" s="1" t="n">
        <v>45546</v>
      </c>
      <c r="C41" s="1" t="n">
        <v>45971</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45971</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45971</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45971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45971</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33362-2024</t>
        </is>
      </c>
      <c r="B46" s="1" t="n">
        <v>45519</v>
      </c>
      <c r="C46" s="1" t="n">
        <v>45971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45971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45971</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45971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31193-2024</t>
        </is>
      </c>
      <c r="B50" s="1" t="n">
        <v>45503</v>
      </c>
      <c r="C50" s="1" t="n">
        <v>45971</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45971</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42207-2025</t>
        </is>
      </c>
      <c r="B52" s="1" t="n">
        <v>45904.49430555556</v>
      </c>
      <c r="C52" s="1" t="n">
        <v>45971</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45971</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45971</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45971</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45971</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45971</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45971</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45971</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25126-2023</t>
        </is>
      </c>
      <c r="B60" s="1" t="n">
        <v>45078</v>
      </c>
      <c r="C60" s="1" t="n">
        <v>45971</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45831.4333449074</v>
      </c>
      <c r="C61" s="1" t="n">
        <v>45971</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59219-2022</t>
        </is>
      </c>
      <c r="B62" s="1" t="n">
        <v>44904</v>
      </c>
      <c r="C62" s="1" t="n">
        <v>45971</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41672-2024</t>
        </is>
      </c>
      <c r="B63" s="1" t="n">
        <v>45560</v>
      </c>
      <c r="C63" s="1" t="n">
        <v>45971</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45971</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46776-2024</t>
        </is>
      </c>
      <c r="B65" s="1" t="n">
        <v>45583</v>
      </c>
      <c r="C65" s="1" t="n">
        <v>45971</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19109-2022</t>
        </is>
      </c>
      <c r="B66" s="1" t="n">
        <v>44691</v>
      </c>
      <c r="C66" s="1" t="n">
        <v>45971</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24409-2021</t>
        </is>
      </c>
      <c r="B67" s="1" t="n">
        <v>44337</v>
      </c>
      <c r="C67" s="1" t="n">
        <v>45971</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50909-2022</t>
        </is>
      </c>
      <c r="B68" s="1" t="n">
        <v>44865</v>
      </c>
      <c r="C68" s="1" t="n">
        <v>45971</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9057-2023</t>
        </is>
      </c>
      <c r="B69" s="1" t="n">
        <v>44972</v>
      </c>
      <c r="C69" s="1" t="n">
        <v>45971</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24078-2025</t>
        </is>
      </c>
      <c r="B70" s="1" t="n">
        <v>45796.55269675926</v>
      </c>
      <c r="C70" s="1" t="n">
        <v>45971</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48248-2023</t>
        </is>
      </c>
      <c r="B71" s="1" t="n">
        <v>45201</v>
      </c>
      <c r="C71" s="1" t="n">
        <v>45971</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42064-2024</t>
        </is>
      </c>
      <c r="B72" s="1" t="n">
        <v>45561</v>
      </c>
      <c r="C72" s="1" t="n">
        <v>45971</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64501-2023</t>
        </is>
      </c>
      <c r="B73" s="1" t="n">
        <v>45280</v>
      </c>
      <c r="C73" s="1" t="n">
        <v>45971</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58922-2024</t>
        </is>
      </c>
      <c r="B74" s="1" t="n">
        <v>45635</v>
      </c>
      <c r="C74" s="1" t="n">
        <v>45971</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9048-2023</t>
        </is>
      </c>
      <c r="B75" s="1" t="n">
        <v>44972</v>
      </c>
      <c r="C75" s="1" t="n">
        <v>45971</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45971</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33971-2024</t>
        </is>
      </c>
      <c r="B77" s="1" t="n">
        <v>45523</v>
      </c>
      <c r="C77" s="1" t="n">
        <v>45971</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22179-2022</t>
        </is>
      </c>
      <c r="B78" s="1" t="n">
        <v>44712</v>
      </c>
      <c r="C78" s="1" t="n">
        <v>45971</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45971</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45971</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30689-2025</t>
        </is>
      </c>
      <c r="B81" s="1" t="n">
        <v>45831.53586805556</v>
      </c>
      <c r="C81" s="1" t="n">
        <v>45971</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33041-2024</t>
        </is>
      </c>
      <c r="B82" s="1" t="n">
        <v>45517.61098379629</v>
      </c>
      <c r="C82" s="1" t="n">
        <v>45971</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45971</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45971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13030-2025</t>
        </is>
      </c>
      <c r="B85" s="1" t="n">
        <v>45734</v>
      </c>
      <c r="C85" s="1" t="n">
        <v>45971</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45971</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45971</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45971</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45971</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45971</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28856-2021</t>
        </is>
      </c>
      <c r="B91" s="1" t="n">
        <v>44357</v>
      </c>
      <c r="C91" s="1" t="n">
        <v>45971</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28796-2024</t>
        </is>
      </c>
      <c r="B92" s="1" t="n">
        <v>45478</v>
      </c>
      <c r="C92" s="1" t="n">
        <v>45971</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21611-2025</t>
        </is>
      </c>
      <c r="B93" s="1" t="n">
        <v>45783.39288194444</v>
      </c>
      <c r="C93" s="1" t="n">
        <v>45971</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45971</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45971</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45971</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30467-2025</t>
        </is>
      </c>
      <c r="B97" s="1" t="n">
        <v>45827.81681712963</v>
      </c>
      <c r="C97" s="1" t="n">
        <v>45971</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31718-2025</t>
        </is>
      </c>
      <c r="B98" s="1" t="n">
        <v>45834.4612037037</v>
      </c>
      <c r="C98" s="1" t="n">
        <v>45971</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57334-2022</t>
        </is>
      </c>
      <c r="B99" s="1" t="n">
        <v>44896.37280092593</v>
      </c>
      <c r="C99" s="1" t="n">
        <v>45971</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35969-2025</t>
        </is>
      </c>
      <c r="B100" s="1" t="n">
        <v>45863.40695601852</v>
      </c>
      <c r="C100" s="1" t="n">
        <v>45971</v>
      </c>
      <c r="D100" t="inlineStr">
        <is>
          <t>VÄSTERBOTTENS LÄN</t>
        </is>
      </c>
      <c r="E100" t="inlineStr">
        <is>
          <t>VINDELN</t>
        </is>
      </c>
      <c r="F100" t="inlineStr">
        <is>
          <t>Holmen skog AB</t>
        </is>
      </c>
      <c r="G100" t="n">
        <v>9.6</v>
      </c>
      <c r="H100" t="n">
        <v>2</v>
      </c>
      <c r="I100" t="n">
        <v>4</v>
      </c>
      <c r="J100" t="n">
        <v>8</v>
      </c>
      <c r="K100" t="n">
        <v>4</v>
      </c>
      <c r="L100" t="n">
        <v>0</v>
      </c>
      <c r="M100" t="n">
        <v>0</v>
      </c>
      <c r="N100" t="n">
        <v>0</v>
      </c>
      <c r="O100" t="n">
        <v>12</v>
      </c>
      <c r="P100" t="n">
        <v>4</v>
      </c>
      <c r="Q100" t="n">
        <v>16</v>
      </c>
      <c r="R100" s="2" t="inlineStr">
        <is>
          <t>Fläckporing
Gräddporing
Laxporing
Smalfotad taggsvamp
Blågrå svartspik
Dvärgbägarlav
Garnlav
Gränsticka
Nordtagging
Talltita
Tretåig hackspett
Vaddporing
Dropptaggsvamp
Rävticka
Stuplav
Vedticka</t>
        </is>
      </c>
      <c r="S100">
        <f>HYPERLINK("https://klasma.github.io/Logging_2404/artfynd/A 35969-2025 artfynd.xlsx", "A 35969-2025")</f>
        <v/>
      </c>
      <c r="T100">
        <f>HYPERLINK("https://klasma.github.io/Logging_2404/kartor/A 35969-2025 karta.png", "A 35969-2025")</f>
        <v/>
      </c>
      <c r="V100">
        <f>HYPERLINK("https://klasma.github.io/Logging_2404/klagomål/A 35969-2025 FSC-klagomål.docx", "A 35969-2025")</f>
        <v/>
      </c>
      <c r="W100">
        <f>HYPERLINK("https://klasma.github.io/Logging_2404/klagomålsmail/A 35969-2025 FSC-klagomål mail.docx", "A 35969-2025")</f>
        <v/>
      </c>
      <c r="X100">
        <f>HYPERLINK("https://klasma.github.io/Logging_2404/tillsyn/A 35969-2025 tillsynsbegäran.docx", "A 35969-2025")</f>
        <v/>
      </c>
      <c r="Y100">
        <f>HYPERLINK("https://klasma.github.io/Logging_2404/tillsynsmail/A 35969-2025 tillsynsbegäran mail.docx", "A 35969-2025")</f>
        <v/>
      </c>
      <c r="Z100">
        <f>HYPERLINK("https://klasma.github.io/Logging_2404/fåglar/A 35969-2025 prioriterade fågelarter.docx", "A 35969-2025")</f>
        <v/>
      </c>
    </row>
    <row r="101" ht="15" customHeight="1">
      <c r="A101" t="inlineStr">
        <is>
          <t>A 36807-2025</t>
        </is>
      </c>
      <c r="B101" s="1" t="n">
        <v>45873.70951388889</v>
      </c>
      <c r="C101" s="1" t="n">
        <v>45971</v>
      </c>
      <c r="D101" t="inlineStr">
        <is>
          <t>VÄSTERBOTTENS LÄN</t>
        </is>
      </c>
      <c r="E101" t="inlineStr">
        <is>
          <t>SKELLEFTEÅ</t>
        </is>
      </c>
      <c r="F101" t="inlineStr">
        <is>
          <t>Sveaskog</t>
        </is>
      </c>
      <c r="G101" t="n">
        <v>19</v>
      </c>
      <c r="H101" t="n">
        <v>3</v>
      </c>
      <c r="I101" t="n">
        <v>4</v>
      </c>
      <c r="J101" t="n">
        <v>6</v>
      </c>
      <c r="K101" t="n">
        <v>5</v>
      </c>
      <c r="L101" t="n">
        <v>0</v>
      </c>
      <c r="M101" t="n">
        <v>0</v>
      </c>
      <c r="N101" t="n">
        <v>0</v>
      </c>
      <c r="O101" t="n">
        <v>11</v>
      </c>
      <c r="P101" t="n">
        <v>5</v>
      </c>
      <c r="Q101" t="n">
        <v>16</v>
      </c>
      <c r="R101" s="2" t="inlineStr">
        <is>
          <t>Fläckporing
Goliatmusseron
Jättemusseron
Knärot
Smalfotad taggsvamp
Blå taggsvamp
Nordtagging
Orange taggsvamp
Skrovlig taggsvamp
Svart taggsvamp
Vaddporing
Dropptaggsvamp
Plattlummer
Tallfingersvamp
Vedticka
Tjäder</t>
        </is>
      </c>
      <c r="S101">
        <f>HYPERLINK("https://klasma.github.io/Logging_2482/artfynd/A 36807-2025 artfynd.xlsx", "A 36807-2025")</f>
        <v/>
      </c>
      <c r="T101">
        <f>HYPERLINK("https://klasma.github.io/Logging_2482/kartor/A 36807-2025 karta.png", "A 36807-2025")</f>
        <v/>
      </c>
      <c r="U101">
        <f>HYPERLINK("https://klasma.github.io/Logging_2482/knärot/A 36807-2025 karta knärot.png", "A 36807-2025")</f>
        <v/>
      </c>
      <c r="V101">
        <f>HYPERLINK("https://klasma.github.io/Logging_2482/klagomål/A 36807-2025 FSC-klagomål.docx", "A 36807-2025")</f>
        <v/>
      </c>
      <c r="W101">
        <f>HYPERLINK("https://klasma.github.io/Logging_2482/klagomålsmail/A 36807-2025 FSC-klagomål mail.docx", "A 36807-2025")</f>
        <v/>
      </c>
      <c r="X101">
        <f>HYPERLINK("https://klasma.github.io/Logging_2482/tillsyn/A 36807-2025 tillsynsbegäran.docx", "A 36807-2025")</f>
        <v/>
      </c>
      <c r="Y101">
        <f>HYPERLINK("https://klasma.github.io/Logging_2482/tillsynsmail/A 36807-2025 tillsynsbegäran mail.docx", "A 36807-2025")</f>
        <v/>
      </c>
      <c r="Z101">
        <f>HYPERLINK("https://klasma.github.io/Logging_2482/fåglar/A 36807-2025 prioriterade fågelarter.docx", "A 36807-2025")</f>
        <v/>
      </c>
    </row>
    <row r="102" ht="15" customHeight="1">
      <c r="A102" t="inlineStr">
        <is>
          <t>A 58854-2024</t>
        </is>
      </c>
      <c r="B102" s="1" t="n">
        <v>45636</v>
      </c>
      <c r="C102" s="1" t="n">
        <v>45971</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43267-2021</t>
        </is>
      </c>
      <c r="B103" s="1" t="n">
        <v>44432</v>
      </c>
      <c r="C103" s="1" t="n">
        <v>45971</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45971</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45971</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45971</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39786-2025</t>
        </is>
      </c>
      <c r="B107" s="1" t="n">
        <v>45891.48182870371</v>
      </c>
      <c r="C107" s="1" t="n">
        <v>45971</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45971</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18158-2021</t>
        </is>
      </c>
      <c r="B109" s="1" t="n">
        <v>44302</v>
      </c>
      <c r="C109" s="1" t="n">
        <v>45971</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27557-2025</t>
        </is>
      </c>
      <c r="B110" s="1" t="n">
        <v>45813</v>
      </c>
      <c r="C110" s="1" t="n">
        <v>45971</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9110-2025</t>
        </is>
      </c>
      <c r="B111" s="1" t="n">
        <v>45713</v>
      </c>
      <c r="C111" s="1" t="n">
        <v>45971</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18848-2025</t>
        </is>
      </c>
      <c r="B112" s="1" t="n">
        <v>45764</v>
      </c>
      <c r="C112" s="1" t="n">
        <v>45971</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36708-2025</t>
        </is>
      </c>
      <c r="B113" s="1" t="n">
        <v>45873.46269675926</v>
      </c>
      <c r="C113" s="1" t="n">
        <v>45971</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24579-2025</t>
        </is>
      </c>
      <c r="B114" s="1" t="n">
        <v>45798.48983796296</v>
      </c>
      <c r="C114" s="1" t="n">
        <v>45971</v>
      </c>
      <c r="D114" t="inlineStr">
        <is>
          <t>VÄSTERBOTTENS LÄN</t>
        </is>
      </c>
      <c r="E114" t="inlineStr">
        <is>
          <t>SKELLEFTEÅ</t>
        </is>
      </c>
      <c r="G114" t="n">
        <v>24.5</v>
      </c>
      <c r="H114" t="n">
        <v>4</v>
      </c>
      <c r="I114" t="n">
        <v>5</v>
      </c>
      <c r="J114" t="n">
        <v>8</v>
      </c>
      <c r="K114" t="n">
        <v>1</v>
      </c>
      <c r="L114" t="n">
        <v>0</v>
      </c>
      <c r="M114" t="n">
        <v>0</v>
      </c>
      <c r="N114" t="n">
        <v>0</v>
      </c>
      <c r="O114" t="n">
        <v>9</v>
      </c>
      <c r="P114" t="n">
        <v>1</v>
      </c>
      <c r="Q114" t="n">
        <v>15</v>
      </c>
      <c r="R114" s="2" t="inlineStr">
        <is>
          <t>Gropig skägglav
Dvärgbägarlav
Garnlav
Granticka
Lunglav
Talltita
Tretåig hackspett
Vedskivlav
Violettgrå tagellav
Dropptaggsvamp
Luddlav
Norrlandslav
Spindelblomster
Vedticka
Tjäder</t>
        </is>
      </c>
      <c r="S114">
        <f>HYPERLINK("https://klasma.github.io/Logging_2482/artfynd/A 24579-2025 artfynd.xlsx", "A 24579-2025")</f>
        <v/>
      </c>
      <c r="T114">
        <f>HYPERLINK("https://klasma.github.io/Logging_2482/kartor/A 24579-2025 karta.png", "A 24579-2025")</f>
        <v/>
      </c>
      <c r="V114">
        <f>HYPERLINK("https://klasma.github.io/Logging_2482/klagomål/A 24579-2025 FSC-klagomål.docx", "A 24579-2025")</f>
        <v/>
      </c>
      <c r="W114">
        <f>HYPERLINK("https://klasma.github.io/Logging_2482/klagomålsmail/A 24579-2025 FSC-klagomål mail.docx", "A 24579-2025")</f>
        <v/>
      </c>
      <c r="X114">
        <f>HYPERLINK("https://klasma.github.io/Logging_2482/tillsyn/A 24579-2025 tillsynsbegäran.docx", "A 24579-2025")</f>
        <v/>
      </c>
      <c r="Y114">
        <f>HYPERLINK("https://klasma.github.io/Logging_2482/tillsynsmail/A 24579-2025 tillsynsbegäran mail.docx", "A 24579-2025")</f>
        <v/>
      </c>
      <c r="Z114">
        <f>HYPERLINK("https://klasma.github.io/Logging_2482/fåglar/A 24579-2025 prioriterade fågelarter.docx", "A 24579-2025")</f>
        <v/>
      </c>
    </row>
    <row r="115" ht="15" customHeight="1">
      <c r="A115" t="inlineStr">
        <is>
          <t>A 44406-2021</t>
        </is>
      </c>
      <c r="B115" s="1" t="n">
        <v>44435</v>
      </c>
      <c r="C115" s="1" t="n">
        <v>45971</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56645-2024</t>
        </is>
      </c>
      <c r="B116" s="1" t="n">
        <v>45625.7371875</v>
      </c>
      <c r="C116" s="1" t="n">
        <v>45971</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45971</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59019-2024</t>
        </is>
      </c>
      <c r="B118" s="1" t="n">
        <v>45636</v>
      </c>
      <c r="C118" s="1" t="n">
        <v>45971</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32724-2025</t>
        </is>
      </c>
      <c r="B119" s="1" t="n">
        <v>45839.39023148148</v>
      </c>
      <c r="C119" s="1" t="n">
        <v>45971</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45971</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45971</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45971</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53141-2024</t>
        </is>
      </c>
      <c r="B123" s="1" t="n">
        <v>45611.60192129629</v>
      </c>
      <c r="C123" s="1" t="n">
        <v>45971</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12261-2023</t>
        </is>
      </c>
      <c r="B124" s="1" t="n">
        <v>44995</v>
      </c>
      <c r="C124" s="1" t="n">
        <v>45971</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26728-2021</t>
        </is>
      </c>
      <c r="B125" s="1" t="n">
        <v>44349</v>
      </c>
      <c r="C125" s="1" t="n">
        <v>45971</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45971</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48290-2024</t>
        </is>
      </c>
      <c r="B127" s="1" t="n">
        <v>45590.45456018519</v>
      </c>
      <c r="C127" s="1" t="n">
        <v>45971</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50813-2023</t>
        </is>
      </c>
      <c r="B128" s="1" t="n">
        <v>45217</v>
      </c>
      <c r="C128" s="1" t="n">
        <v>45971</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19934-2023</t>
        </is>
      </c>
      <c r="B129" s="1" t="n">
        <v>45051</v>
      </c>
      <c r="C129" s="1" t="n">
        <v>45971</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45971</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15051-2024</t>
        </is>
      </c>
      <c r="B131" s="1" t="n">
        <v>45399</v>
      </c>
      <c r="C131" s="1" t="n">
        <v>45971</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50983-2024</t>
        </is>
      </c>
      <c r="B132" s="1" t="n">
        <v>45603</v>
      </c>
      <c r="C132" s="1" t="n">
        <v>45971</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44016-2025</t>
        </is>
      </c>
      <c r="B133" s="1" t="n">
        <v>45915</v>
      </c>
      <c r="C133" s="1" t="n">
        <v>45971</v>
      </c>
      <c r="D133" t="inlineStr">
        <is>
          <t>VÄSTERBOTTENS LÄN</t>
        </is>
      </c>
      <c r="E133" t="inlineStr">
        <is>
          <t>VILHELMINA</t>
        </is>
      </c>
      <c r="G133" t="n">
        <v>8.6</v>
      </c>
      <c r="H133" t="n">
        <v>2</v>
      </c>
      <c r="I133" t="n">
        <v>4</v>
      </c>
      <c r="J133" t="n">
        <v>8</v>
      </c>
      <c r="K133" t="n">
        <v>0</v>
      </c>
      <c r="L133" t="n">
        <v>0</v>
      </c>
      <c r="M133" t="n">
        <v>0</v>
      </c>
      <c r="N133" t="n">
        <v>0</v>
      </c>
      <c r="O133" t="n">
        <v>8</v>
      </c>
      <c r="P133" t="n">
        <v>0</v>
      </c>
      <c r="Q133" t="n">
        <v>13</v>
      </c>
      <c r="R133" s="2" t="inlineStr">
        <is>
          <t>Gammelgransskål
Garnlav
Granticka
Lunglav
Rosenticka
Skrovellav
Talltita
Ullticka
Gulnål
Mörk husmossa
Svavelriska
Trådticka
Revlummer</t>
        </is>
      </c>
      <c r="S133">
        <f>HYPERLINK("https://klasma.github.io/Logging_2462/artfynd/A 44016-2025 artfynd.xlsx", "A 44016-2025")</f>
        <v/>
      </c>
      <c r="T133">
        <f>HYPERLINK("https://klasma.github.io/Logging_2462/kartor/A 44016-2025 karta.png", "A 44016-2025")</f>
        <v/>
      </c>
      <c r="V133">
        <f>HYPERLINK("https://klasma.github.io/Logging_2462/klagomål/A 44016-2025 FSC-klagomål.docx", "A 44016-2025")</f>
        <v/>
      </c>
      <c r="W133">
        <f>HYPERLINK("https://klasma.github.io/Logging_2462/klagomålsmail/A 44016-2025 FSC-klagomål mail.docx", "A 44016-2025")</f>
        <v/>
      </c>
      <c r="X133">
        <f>HYPERLINK("https://klasma.github.io/Logging_2462/tillsyn/A 44016-2025 tillsynsbegäran.docx", "A 44016-2025")</f>
        <v/>
      </c>
      <c r="Y133">
        <f>HYPERLINK("https://klasma.github.io/Logging_2462/tillsynsmail/A 44016-2025 tillsynsbegäran mail.docx", "A 44016-2025")</f>
        <v/>
      </c>
      <c r="Z133">
        <f>HYPERLINK("https://klasma.github.io/Logging_2462/fåglar/A 44016-2025 prioriterade fågelarter.docx", "A 44016-2025")</f>
        <v/>
      </c>
    </row>
    <row r="134" ht="15" customHeight="1">
      <c r="A134" t="inlineStr">
        <is>
          <t>A 58596-2022</t>
        </is>
      </c>
      <c r="B134" s="1" t="n">
        <v>44902</v>
      </c>
      <c r="C134" s="1" t="n">
        <v>45971</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35963-2025</t>
        </is>
      </c>
      <c r="B135" s="1" t="n">
        <v>45863.37907407407</v>
      </c>
      <c r="C135" s="1" t="n">
        <v>45971</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37406-2025</t>
        </is>
      </c>
      <c r="B136" s="1" t="n">
        <v>45877.46135416667</v>
      </c>
      <c r="C136" s="1" t="n">
        <v>45971</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25257-2025</t>
        </is>
      </c>
      <c r="B137" s="1" t="n">
        <v>45800.51078703703</v>
      </c>
      <c r="C137" s="1" t="n">
        <v>45971</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24414-2024</t>
        </is>
      </c>
      <c r="B138" s="1" t="n">
        <v>45457</v>
      </c>
      <c r="C138" s="1" t="n">
        <v>45971</v>
      </c>
      <c r="D138" t="inlineStr">
        <is>
          <t>VÄSTERBOTTENS LÄN</t>
        </is>
      </c>
      <c r="E138" t="inlineStr">
        <is>
          <t>VINDELN</t>
        </is>
      </c>
      <c r="G138" t="n">
        <v>14.2</v>
      </c>
      <c r="H138" t="n">
        <v>5</v>
      </c>
      <c r="I138" t="n">
        <v>2</v>
      </c>
      <c r="J138" t="n">
        <v>8</v>
      </c>
      <c r="K138" t="n">
        <v>1</v>
      </c>
      <c r="L138" t="n">
        <v>0</v>
      </c>
      <c r="M138" t="n">
        <v>0</v>
      </c>
      <c r="N138" t="n">
        <v>0</v>
      </c>
      <c r="O138" t="n">
        <v>9</v>
      </c>
      <c r="P138" t="n">
        <v>1</v>
      </c>
      <c r="Q138" t="n">
        <v>13</v>
      </c>
      <c r="R138" s="2" t="inlineStr">
        <is>
          <t>Knärot
Garnlav
Granticka
Lunglav
Rosenticka
Spillkråka
Tretåig hackspett
Ullticka
Vedtrappmossa
Stuplav
Vedticka
Fläcknycklar
Revlummer</t>
        </is>
      </c>
      <c r="S138">
        <f>HYPERLINK("https://klasma.github.io/Logging_2404/artfynd/A 24414-2024 artfynd.xlsx", "A 24414-2024")</f>
        <v/>
      </c>
      <c r="T138">
        <f>HYPERLINK("https://klasma.github.io/Logging_2404/kartor/A 24414-2024 karta.png", "A 24414-2024")</f>
        <v/>
      </c>
      <c r="U138">
        <f>HYPERLINK("https://klasma.github.io/Logging_2404/knärot/A 24414-2024 karta knärot.png", "A 24414-2024")</f>
        <v/>
      </c>
      <c r="V138">
        <f>HYPERLINK("https://klasma.github.io/Logging_2404/klagomål/A 24414-2024 FSC-klagomål.docx", "A 24414-2024")</f>
        <v/>
      </c>
      <c r="W138">
        <f>HYPERLINK("https://klasma.github.io/Logging_2404/klagomålsmail/A 24414-2024 FSC-klagomål mail.docx", "A 24414-2024")</f>
        <v/>
      </c>
      <c r="X138">
        <f>HYPERLINK("https://klasma.github.io/Logging_2404/tillsyn/A 24414-2024 tillsynsbegäran.docx", "A 24414-2024")</f>
        <v/>
      </c>
      <c r="Y138">
        <f>HYPERLINK("https://klasma.github.io/Logging_2404/tillsynsmail/A 24414-2024 tillsynsbegäran mail.docx", "A 24414-2024")</f>
        <v/>
      </c>
      <c r="Z138">
        <f>HYPERLINK("https://klasma.github.io/Logging_2404/fåglar/A 24414-2024 prioriterade fågelarter.docx", "A 24414-2024")</f>
        <v/>
      </c>
    </row>
    <row r="139" ht="15" customHeight="1">
      <c r="A139" t="inlineStr">
        <is>
          <t>A 58496-2024</t>
        </is>
      </c>
      <c r="B139" s="1" t="n">
        <v>45635</v>
      </c>
      <c r="C139" s="1" t="n">
        <v>45971</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62266-2021</t>
        </is>
      </c>
      <c r="B140" s="1" t="n">
        <v>44503.35390046296</v>
      </c>
      <c r="C140" s="1" t="n">
        <v>45971</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45971</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45971</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45971</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45971</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40113-2023</t>
        </is>
      </c>
      <c r="B145" s="1" t="n">
        <v>45168</v>
      </c>
      <c r="C145" s="1" t="n">
        <v>45971</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38930-2025</t>
        </is>
      </c>
      <c r="B146" s="1" t="n">
        <v>45887</v>
      </c>
      <c r="C146" s="1" t="n">
        <v>45971</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61196-2022</t>
        </is>
      </c>
      <c r="B147" s="1" t="n">
        <v>44915</v>
      </c>
      <c r="C147" s="1" t="n">
        <v>45971</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19506-2025</t>
        </is>
      </c>
      <c r="B148" s="1" t="n">
        <v>45770</v>
      </c>
      <c r="C148" s="1" t="n">
        <v>45971</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59039-2024</t>
        </is>
      </c>
      <c r="B149" s="1" t="n">
        <v>45636</v>
      </c>
      <c r="C149" s="1" t="n">
        <v>45971</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17180-2024</t>
        </is>
      </c>
      <c r="B150" s="1" t="n">
        <v>45412</v>
      </c>
      <c r="C150" s="1" t="n">
        <v>45971</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14646-2025</t>
        </is>
      </c>
      <c r="B151" s="1" t="n">
        <v>45742</v>
      </c>
      <c r="C151" s="1" t="n">
        <v>45971</v>
      </c>
      <c r="D151" t="inlineStr">
        <is>
          <t>VÄSTERBOTTENS LÄN</t>
        </is>
      </c>
      <c r="E151" t="inlineStr">
        <is>
          <t>BJURHOLM</t>
        </is>
      </c>
      <c r="G151" t="n">
        <v>14.8</v>
      </c>
      <c r="H151" t="n">
        <v>5</v>
      </c>
      <c r="I151" t="n">
        <v>2</v>
      </c>
      <c r="J151" t="n">
        <v>6</v>
      </c>
      <c r="K151" t="n">
        <v>1</v>
      </c>
      <c r="L151" t="n">
        <v>0</v>
      </c>
      <c r="M151" t="n">
        <v>0</v>
      </c>
      <c r="N151" t="n">
        <v>0</v>
      </c>
      <c r="O151" t="n">
        <v>7</v>
      </c>
      <c r="P151" t="n">
        <v>1</v>
      </c>
      <c r="Q151" t="n">
        <v>12</v>
      </c>
      <c r="R151" s="2" t="inlineStr">
        <is>
          <t>Knärot
Garnlav
Granticka
Lunglav
Spillkråka
Ullticka
Violettgrå tagellav
Stuplav
Vedticka
Tjäder
Fläcknycklar
Nattviol</t>
        </is>
      </c>
      <c r="S151">
        <f>HYPERLINK("https://klasma.github.io/Logging_2403/artfynd/A 14646-2025 artfynd.xlsx", "A 14646-2025")</f>
        <v/>
      </c>
      <c r="T151">
        <f>HYPERLINK("https://klasma.github.io/Logging_2403/kartor/A 14646-2025 karta.png", "A 14646-2025")</f>
        <v/>
      </c>
      <c r="U151">
        <f>HYPERLINK("https://klasma.github.io/Logging_2403/knärot/A 14646-2025 karta knärot.png", "A 14646-2025")</f>
        <v/>
      </c>
      <c r="V151">
        <f>HYPERLINK("https://klasma.github.io/Logging_2403/klagomål/A 14646-2025 FSC-klagomål.docx", "A 14646-2025")</f>
        <v/>
      </c>
      <c r="W151">
        <f>HYPERLINK("https://klasma.github.io/Logging_2403/klagomålsmail/A 14646-2025 FSC-klagomål mail.docx", "A 14646-2025")</f>
        <v/>
      </c>
      <c r="X151">
        <f>HYPERLINK("https://klasma.github.io/Logging_2403/tillsyn/A 14646-2025 tillsynsbegäran.docx", "A 14646-2025")</f>
        <v/>
      </c>
      <c r="Y151">
        <f>HYPERLINK("https://klasma.github.io/Logging_2403/tillsynsmail/A 14646-2025 tillsynsbegäran mail.docx", "A 14646-2025")</f>
        <v/>
      </c>
      <c r="Z151">
        <f>HYPERLINK("https://klasma.github.io/Logging_2403/fåglar/A 14646-2025 prioriterade fågelarter.docx", "A 14646-2025")</f>
        <v/>
      </c>
    </row>
    <row r="152" ht="15" customHeight="1">
      <c r="A152" t="inlineStr">
        <is>
          <t>A 55308-2024</t>
        </is>
      </c>
      <c r="B152" s="1" t="n">
        <v>45621.65283564815</v>
      </c>
      <c r="C152" s="1" t="n">
        <v>45971</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51874-2024</t>
        </is>
      </c>
      <c r="B153" s="1" t="n">
        <v>45607</v>
      </c>
      <c r="C153" s="1" t="n">
        <v>45971</v>
      </c>
      <c r="D153" t="inlineStr">
        <is>
          <t>VÄSTERBOTTENS LÄN</t>
        </is>
      </c>
      <c r="E153" t="inlineStr">
        <is>
          <t>BJURHOLM</t>
        </is>
      </c>
      <c r="G153" t="n">
        <v>6.1</v>
      </c>
      <c r="H153" t="n">
        <v>4</v>
      </c>
      <c r="I153" t="n">
        <v>3</v>
      </c>
      <c r="J153" t="n">
        <v>8</v>
      </c>
      <c r="K153" t="n">
        <v>0</v>
      </c>
      <c r="L153" t="n">
        <v>0</v>
      </c>
      <c r="M153" t="n">
        <v>0</v>
      </c>
      <c r="N153" t="n">
        <v>0</v>
      </c>
      <c r="O153" t="n">
        <v>8</v>
      </c>
      <c r="P153" t="n">
        <v>0</v>
      </c>
      <c r="Q153" t="n">
        <v>12</v>
      </c>
      <c r="R153" s="2" t="inlineStr">
        <is>
          <t>Gammelgransskål
Garnlav
Granticka
Lunglav
Spillkråka
Talltita
Tretåig hackspett
Ullticka
Bårdlav
Skör kvastmossa
Stuplav
Lavskrika</t>
        </is>
      </c>
      <c r="S153">
        <f>HYPERLINK("https://klasma.github.io/Logging_2403/artfynd/A 51874-2024 artfynd.xlsx", "A 51874-2024")</f>
        <v/>
      </c>
      <c r="T153">
        <f>HYPERLINK("https://klasma.github.io/Logging_2403/kartor/A 51874-2024 karta.png", "A 51874-2024")</f>
        <v/>
      </c>
      <c r="V153">
        <f>HYPERLINK("https://klasma.github.io/Logging_2403/klagomål/A 51874-2024 FSC-klagomål.docx", "A 51874-2024")</f>
        <v/>
      </c>
      <c r="W153">
        <f>HYPERLINK("https://klasma.github.io/Logging_2403/klagomålsmail/A 51874-2024 FSC-klagomål mail.docx", "A 51874-2024")</f>
        <v/>
      </c>
      <c r="X153">
        <f>HYPERLINK("https://klasma.github.io/Logging_2403/tillsyn/A 51874-2024 tillsynsbegäran.docx", "A 51874-2024")</f>
        <v/>
      </c>
      <c r="Y153">
        <f>HYPERLINK("https://klasma.github.io/Logging_2403/tillsynsmail/A 51874-2024 tillsynsbegäran mail.docx", "A 51874-2024")</f>
        <v/>
      </c>
      <c r="Z153">
        <f>HYPERLINK("https://klasma.github.io/Logging_2403/fåglar/A 51874-2024 prioriterade fågelarter.docx", "A 51874-2024")</f>
        <v/>
      </c>
    </row>
    <row r="154" ht="15" customHeight="1">
      <c r="A154" t="inlineStr">
        <is>
          <t>A 33295-2022</t>
        </is>
      </c>
      <c r="B154" s="1" t="n">
        <v>44788.37464120371</v>
      </c>
      <c r="C154" s="1" t="n">
        <v>45971</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65389-2021</t>
        </is>
      </c>
      <c r="B155" s="1" t="n">
        <v>44515</v>
      </c>
      <c r="C155" s="1" t="n">
        <v>45971</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48369-2023</t>
        </is>
      </c>
      <c r="B156" s="1" t="n">
        <v>45201</v>
      </c>
      <c r="C156" s="1" t="n">
        <v>45971</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14963-2022</t>
        </is>
      </c>
      <c r="B157" s="1" t="n">
        <v>44657</v>
      </c>
      <c r="C157" s="1" t="n">
        <v>45971</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29392-2021</t>
        </is>
      </c>
      <c r="B158" s="1" t="n">
        <v>44361</v>
      </c>
      <c r="C158" s="1" t="n">
        <v>45971</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14810-2023</t>
        </is>
      </c>
      <c r="B159" s="1" t="n">
        <v>45013</v>
      </c>
      <c r="C159" s="1" t="n">
        <v>45971</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15343-2023</t>
        </is>
      </c>
      <c r="B160" s="1" t="n">
        <v>45016</v>
      </c>
      <c r="C160" s="1" t="n">
        <v>45971</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67029-2020</t>
        </is>
      </c>
      <c r="B161" s="1" t="n">
        <v>44180</v>
      </c>
      <c r="C161" s="1" t="n">
        <v>45971</v>
      </c>
      <c r="D161" t="inlineStr">
        <is>
          <t>VÄSTERBOTTENS LÄN</t>
        </is>
      </c>
      <c r="E161" t="inlineStr">
        <is>
          <t>BJURHOLM</t>
        </is>
      </c>
      <c r="G161" t="n">
        <v>18.4</v>
      </c>
      <c r="H161" t="n">
        <v>1</v>
      </c>
      <c r="I161" t="n">
        <v>4</v>
      </c>
      <c r="J161" t="n">
        <v>7</v>
      </c>
      <c r="K161" t="n">
        <v>0</v>
      </c>
      <c r="L161" t="n">
        <v>0</v>
      </c>
      <c r="M161" t="n">
        <v>0</v>
      </c>
      <c r="N161" t="n">
        <v>0</v>
      </c>
      <c r="O161" t="n">
        <v>7</v>
      </c>
      <c r="P161" t="n">
        <v>0</v>
      </c>
      <c r="Q161" t="n">
        <v>11</v>
      </c>
      <c r="R161" s="2" t="inlineStr">
        <is>
          <t>Garnlav
Kolflarnlav
Lunglav
Mörk kolflarnlav
Tretåig hackspett
Vedflamlav
Violettgrå tagellav
Dropptaggsvamp
Skarp dropptaggsvamp
Skinnlav
Stor aspticka</t>
        </is>
      </c>
      <c r="S161">
        <f>HYPERLINK("https://klasma.github.io/Logging_2403/artfynd/A 67029-2020 artfynd.xlsx", "A 67029-2020")</f>
        <v/>
      </c>
      <c r="T161">
        <f>HYPERLINK("https://klasma.github.io/Logging_2403/kartor/A 67029-2020 karta.png", "A 67029-2020")</f>
        <v/>
      </c>
      <c r="V161">
        <f>HYPERLINK("https://klasma.github.io/Logging_2403/klagomål/A 67029-2020 FSC-klagomål.docx", "A 67029-2020")</f>
        <v/>
      </c>
      <c r="W161">
        <f>HYPERLINK("https://klasma.github.io/Logging_2403/klagomålsmail/A 67029-2020 FSC-klagomål mail.docx", "A 67029-2020")</f>
        <v/>
      </c>
      <c r="X161">
        <f>HYPERLINK("https://klasma.github.io/Logging_2403/tillsyn/A 67029-2020 tillsynsbegäran.docx", "A 67029-2020")</f>
        <v/>
      </c>
      <c r="Y161">
        <f>HYPERLINK("https://klasma.github.io/Logging_2403/tillsynsmail/A 67029-2020 tillsynsbegäran mail.docx", "A 67029-2020")</f>
        <v/>
      </c>
      <c r="Z161">
        <f>HYPERLINK("https://klasma.github.io/Logging_2403/fåglar/A 67029-2020 prioriterade fågelarter.docx", "A 67029-2020")</f>
        <v/>
      </c>
    </row>
    <row r="162" ht="15" customHeight="1">
      <c r="A162" t="inlineStr">
        <is>
          <t>A 24124-2024</t>
        </is>
      </c>
      <c r="B162" s="1" t="n">
        <v>45456.62347222222</v>
      </c>
      <c r="C162" s="1" t="n">
        <v>45971</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6658-2021</t>
        </is>
      </c>
      <c r="B163" s="1" t="n">
        <v>44235</v>
      </c>
      <c r="C163" s="1" t="n">
        <v>45971</v>
      </c>
      <c r="D163" t="inlineStr">
        <is>
          <t>VÄSTERBOTTENS LÄN</t>
        </is>
      </c>
      <c r="E163" t="inlineStr">
        <is>
          <t>VILHELMINA</t>
        </is>
      </c>
      <c r="G163" t="n">
        <v>6.7</v>
      </c>
      <c r="H163" t="n">
        <v>3</v>
      </c>
      <c r="I163" t="n">
        <v>1</v>
      </c>
      <c r="J163" t="n">
        <v>8</v>
      </c>
      <c r="K163" t="n">
        <v>1</v>
      </c>
      <c r="L163" t="n">
        <v>0</v>
      </c>
      <c r="M163" t="n">
        <v>0</v>
      </c>
      <c r="N163" t="n">
        <v>0</v>
      </c>
      <c r="O163" t="n">
        <v>9</v>
      </c>
      <c r="P163" t="n">
        <v>1</v>
      </c>
      <c r="Q163" t="n">
        <v>11</v>
      </c>
      <c r="R163" s="2" t="inlineStr">
        <is>
          <t>Rynkskinn
Barrviolspindling
Garnlav
Granticka
Harticka
Skrovellav
Stjärntagging
Talltita
Tretåig hackspett
Vedticka
Lavskrika</t>
        </is>
      </c>
      <c r="S163">
        <f>HYPERLINK("https://klasma.github.io/Logging_2462/artfynd/A 6658-2021 artfynd.xlsx", "A 6658-2021")</f>
        <v/>
      </c>
      <c r="T163">
        <f>HYPERLINK("https://klasma.github.io/Logging_2462/kartor/A 6658-2021 karta.png", "A 6658-2021")</f>
        <v/>
      </c>
      <c r="V163">
        <f>HYPERLINK("https://klasma.github.io/Logging_2462/klagomål/A 6658-2021 FSC-klagomål.docx", "A 6658-2021")</f>
        <v/>
      </c>
      <c r="W163">
        <f>HYPERLINK("https://klasma.github.io/Logging_2462/klagomålsmail/A 6658-2021 FSC-klagomål mail.docx", "A 6658-2021")</f>
        <v/>
      </c>
      <c r="X163">
        <f>HYPERLINK("https://klasma.github.io/Logging_2462/tillsyn/A 6658-2021 tillsynsbegäran.docx", "A 6658-2021")</f>
        <v/>
      </c>
      <c r="Y163">
        <f>HYPERLINK("https://klasma.github.io/Logging_2462/tillsynsmail/A 6658-2021 tillsynsbegäran mail.docx", "A 6658-2021")</f>
        <v/>
      </c>
      <c r="Z163">
        <f>HYPERLINK("https://klasma.github.io/Logging_2462/fåglar/A 6658-2021 prioriterade fågelarter.docx", "A 6658-2021")</f>
        <v/>
      </c>
    </row>
    <row r="164" ht="15" customHeight="1">
      <c r="A164" t="inlineStr">
        <is>
          <t>A 20608-2023</t>
        </is>
      </c>
      <c r="B164" s="1" t="n">
        <v>45057</v>
      </c>
      <c r="C164" s="1" t="n">
        <v>45971</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11797-2025</t>
        </is>
      </c>
      <c r="B165" s="1" t="n">
        <v>45727</v>
      </c>
      <c r="C165" s="1" t="n">
        <v>45971</v>
      </c>
      <c r="D165" t="inlineStr">
        <is>
          <t>VÄSTERBOTTENS LÄN</t>
        </is>
      </c>
      <c r="E165" t="inlineStr">
        <is>
          <t>UMEÅ</t>
        </is>
      </c>
      <c r="F165" t="inlineStr">
        <is>
          <t>Kommuner</t>
        </is>
      </c>
      <c r="G165" t="n">
        <v>6.2</v>
      </c>
      <c r="H165" t="n">
        <v>5</v>
      </c>
      <c r="I165" t="n">
        <v>1</v>
      </c>
      <c r="J165" t="n">
        <v>10</v>
      </c>
      <c r="K165" t="n">
        <v>0</v>
      </c>
      <c r="L165" t="n">
        <v>0</v>
      </c>
      <c r="M165" t="n">
        <v>0</v>
      </c>
      <c r="N165" t="n">
        <v>0</v>
      </c>
      <c r="O165" t="n">
        <v>10</v>
      </c>
      <c r="P165" t="n">
        <v>0</v>
      </c>
      <c r="Q165" t="n">
        <v>11</v>
      </c>
      <c r="R165" s="2" t="inlineStr">
        <is>
          <t>Fiskmås
Garnlav
Granticka
Harticka
Havsörn
Järpe
Leptoporus mollis
Talltita
Tretåig hackspett
Ullticka
Vedticka</t>
        </is>
      </c>
      <c r="S165">
        <f>HYPERLINK("https://klasma.github.io/Logging_2480/artfynd/A 11797-2025 artfynd.xlsx", "A 11797-2025")</f>
        <v/>
      </c>
      <c r="T165">
        <f>HYPERLINK("https://klasma.github.io/Logging_2480/kartor/A 11797-2025 karta.png", "A 11797-2025")</f>
        <v/>
      </c>
      <c r="V165">
        <f>HYPERLINK("https://klasma.github.io/Logging_2480/klagomål/A 11797-2025 FSC-klagomål.docx", "A 11797-2025")</f>
        <v/>
      </c>
      <c r="W165">
        <f>HYPERLINK("https://klasma.github.io/Logging_2480/klagomålsmail/A 11797-2025 FSC-klagomål mail.docx", "A 11797-2025")</f>
        <v/>
      </c>
      <c r="X165">
        <f>HYPERLINK("https://klasma.github.io/Logging_2480/tillsyn/A 11797-2025 tillsynsbegäran.docx", "A 11797-2025")</f>
        <v/>
      </c>
      <c r="Y165">
        <f>HYPERLINK("https://klasma.github.io/Logging_2480/tillsynsmail/A 11797-2025 tillsynsbegäran mail.docx", "A 11797-2025")</f>
        <v/>
      </c>
      <c r="Z165">
        <f>HYPERLINK("https://klasma.github.io/Logging_2480/fåglar/A 11797-2025 prioriterade fågelarter.docx", "A 11797-2025")</f>
        <v/>
      </c>
    </row>
    <row r="166" ht="15" customHeight="1">
      <c r="A166" t="inlineStr">
        <is>
          <t>A 42025-2024</t>
        </is>
      </c>
      <c r="B166" s="1" t="n">
        <v>45561.72197916666</v>
      </c>
      <c r="C166" s="1" t="n">
        <v>45971</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40718-2025</t>
        </is>
      </c>
      <c r="B167" s="1" t="n">
        <v>45897.34474537037</v>
      </c>
      <c r="C167" s="1" t="n">
        <v>45971</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9162-2024</t>
        </is>
      </c>
      <c r="B168" s="1" t="n">
        <v>45358</v>
      </c>
      <c r="C168" s="1" t="n">
        <v>45971</v>
      </c>
      <c r="D168" t="inlineStr">
        <is>
          <t>VÄSTERBOTTENS LÄN</t>
        </is>
      </c>
      <c r="E168" t="inlineStr">
        <is>
          <t>SKELLEFTEÅ</t>
        </is>
      </c>
      <c r="G168" t="n">
        <v>19.7</v>
      </c>
      <c r="H168" t="n">
        <v>3</v>
      </c>
      <c r="I168" t="n">
        <v>1</v>
      </c>
      <c r="J168" t="n">
        <v>8</v>
      </c>
      <c r="K168" t="n">
        <v>2</v>
      </c>
      <c r="L168" t="n">
        <v>0</v>
      </c>
      <c r="M168" t="n">
        <v>0</v>
      </c>
      <c r="N168" t="n">
        <v>0</v>
      </c>
      <c r="O168" t="n">
        <v>10</v>
      </c>
      <c r="P168" t="n">
        <v>2</v>
      </c>
      <c r="Q168" t="n">
        <v>11</v>
      </c>
      <c r="R168" s="2" t="inlineStr">
        <is>
          <t>Knärot
Ulltickeporing
Gammelgransskål
Garnlav
Granticka
Spillkråka
Tallriska
Tretåig hackspett
Ullticka
Violettgrå tagellav
Vedticka</t>
        </is>
      </c>
      <c r="S168">
        <f>HYPERLINK("https://klasma.github.io/Logging_2482/artfynd/A 9162-2024 artfynd.xlsx", "A 9162-2024")</f>
        <v/>
      </c>
      <c r="T168">
        <f>HYPERLINK("https://klasma.github.io/Logging_2482/kartor/A 9162-2024 karta.png", "A 9162-2024")</f>
        <v/>
      </c>
      <c r="U168">
        <f>HYPERLINK("https://klasma.github.io/Logging_2482/knärot/A 9162-2024 karta knärot.png", "A 9162-2024")</f>
        <v/>
      </c>
      <c r="V168">
        <f>HYPERLINK("https://klasma.github.io/Logging_2482/klagomål/A 9162-2024 FSC-klagomål.docx", "A 9162-2024")</f>
        <v/>
      </c>
      <c r="W168">
        <f>HYPERLINK("https://klasma.github.io/Logging_2482/klagomålsmail/A 9162-2024 FSC-klagomål mail.docx", "A 9162-2024")</f>
        <v/>
      </c>
      <c r="X168">
        <f>HYPERLINK("https://klasma.github.io/Logging_2482/tillsyn/A 9162-2024 tillsynsbegäran.docx", "A 9162-2024")</f>
        <v/>
      </c>
      <c r="Y168">
        <f>HYPERLINK("https://klasma.github.io/Logging_2482/tillsynsmail/A 9162-2024 tillsynsbegäran mail.docx", "A 9162-2024")</f>
        <v/>
      </c>
      <c r="Z168">
        <f>HYPERLINK("https://klasma.github.io/Logging_2482/fåglar/A 9162-2024 prioriterade fågelarter.docx", "A 9162-2024")</f>
        <v/>
      </c>
    </row>
    <row r="169" ht="15" customHeight="1">
      <c r="A169" t="inlineStr">
        <is>
          <t>A 24512-2025</t>
        </is>
      </c>
      <c r="B169" s="1" t="n">
        <v>45798</v>
      </c>
      <c r="C169" s="1" t="n">
        <v>45971</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55886-2023</t>
        </is>
      </c>
      <c r="B170" s="1" t="n">
        <v>45233</v>
      </c>
      <c r="C170" s="1" t="n">
        <v>45971</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49141-2023</t>
        </is>
      </c>
      <c r="B171" s="1" t="n">
        <v>45205</v>
      </c>
      <c r="C171" s="1" t="n">
        <v>45971</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1339-2025</t>
        </is>
      </c>
      <c r="B172" s="1" t="n">
        <v>45667</v>
      </c>
      <c r="C172" s="1" t="n">
        <v>45971</v>
      </c>
      <c r="D172" t="inlineStr">
        <is>
          <t>VÄSTERBOTTENS LÄN</t>
        </is>
      </c>
      <c r="E172" t="inlineStr">
        <is>
          <t>SORSELE</t>
        </is>
      </c>
      <c r="G172" t="n">
        <v>22.3</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7762-2024</t>
        </is>
      </c>
      <c r="B173" s="1" t="n">
        <v>45349</v>
      </c>
      <c r="C173" s="1" t="n">
        <v>45971</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36480-2025</t>
        </is>
      </c>
      <c r="B174" s="1" t="n">
        <v>45869.49547453703</v>
      </c>
      <c r="C174" s="1" t="n">
        <v>45971</v>
      </c>
      <c r="D174" t="inlineStr">
        <is>
          <t>VÄSTERBOTTENS LÄN</t>
        </is>
      </c>
      <c r="E174" t="inlineStr">
        <is>
          <t>SKELLEFTEÅ</t>
        </is>
      </c>
      <c r="F174" t="inlineStr">
        <is>
          <t>Holmen skog AB</t>
        </is>
      </c>
      <c r="G174" t="n">
        <v>6.2</v>
      </c>
      <c r="H174" t="n">
        <v>5</v>
      </c>
      <c r="I174" t="n">
        <v>1</v>
      </c>
      <c r="J174" t="n">
        <v>7</v>
      </c>
      <c r="K174" t="n">
        <v>2</v>
      </c>
      <c r="L174" t="n">
        <v>1</v>
      </c>
      <c r="M174" t="n">
        <v>0</v>
      </c>
      <c r="N174" t="n">
        <v>0</v>
      </c>
      <c r="O174" t="n">
        <v>10</v>
      </c>
      <c r="P174" t="n">
        <v>3</v>
      </c>
      <c r="Q174" t="n">
        <v>11</v>
      </c>
      <c r="R174" s="2" t="inlineStr">
        <is>
          <t>Tornseglare
Knärot
Ulltickeporing
Garnlav
Leptoporus mollis
Spillkråka
Stjärntagging
Talltita
Tretåig hackspett
Ullticka
Skinnlav</t>
        </is>
      </c>
      <c r="S174">
        <f>HYPERLINK("https://klasma.github.io/Logging_2482/artfynd/A 36480-2025 artfynd.xlsx", "A 36480-2025")</f>
        <v/>
      </c>
      <c r="T174">
        <f>HYPERLINK("https://klasma.github.io/Logging_2482/kartor/A 36480-2025 karta.png", "A 36480-2025")</f>
        <v/>
      </c>
      <c r="U174">
        <f>HYPERLINK("https://klasma.github.io/Logging_2482/knärot/A 36480-2025 karta knärot.png", "A 36480-2025")</f>
        <v/>
      </c>
      <c r="V174">
        <f>HYPERLINK("https://klasma.github.io/Logging_2482/klagomål/A 36480-2025 FSC-klagomål.docx", "A 36480-2025")</f>
        <v/>
      </c>
      <c r="W174">
        <f>HYPERLINK("https://klasma.github.io/Logging_2482/klagomålsmail/A 36480-2025 FSC-klagomål mail.docx", "A 36480-2025")</f>
        <v/>
      </c>
      <c r="X174">
        <f>HYPERLINK("https://klasma.github.io/Logging_2482/tillsyn/A 36480-2025 tillsynsbegäran.docx", "A 36480-2025")</f>
        <v/>
      </c>
      <c r="Y174">
        <f>HYPERLINK("https://klasma.github.io/Logging_2482/tillsynsmail/A 36480-2025 tillsynsbegäran mail.docx", "A 36480-2025")</f>
        <v/>
      </c>
      <c r="Z174">
        <f>HYPERLINK("https://klasma.github.io/Logging_2482/fåglar/A 36480-2025 prioriterade fågelarter.docx", "A 36480-2025")</f>
        <v/>
      </c>
    </row>
    <row r="175" ht="15" customHeight="1">
      <c r="A175" t="inlineStr">
        <is>
          <t>A 15110-2021</t>
        </is>
      </c>
      <c r="B175" s="1" t="n">
        <v>44281</v>
      </c>
      <c r="C175" s="1" t="n">
        <v>45971</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45971</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45971</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42391-2021</t>
        </is>
      </c>
      <c r="B178" s="1" t="n">
        <v>44427</v>
      </c>
      <c r="C178" s="1" t="n">
        <v>45971</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10934-2021</t>
        </is>
      </c>
      <c r="B179" s="1" t="n">
        <v>44259</v>
      </c>
      <c r="C179" s="1" t="n">
        <v>45971</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45971</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28716-2024</t>
        </is>
      </c>
      <c r="B181" s="1" t="n">
        <v>45478.54092592592</v>
      </c>
      <c r="C181" s="1" t="n">
        <v>45971</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6963-2023</t>
        </is>
      </c>
      <c r="B182" s="1" t="n">
        <v>44964</v>
      </c>
      <c r="C182" s="1" t="n">
        <v>45971</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45971</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6969-2023</t>
        </is>
      </c>
      <c r="B184" s="1" t="n">
        <v>44964</v>
      </c>
      <c r="C184" s="1" t="n">
        <v>45971</v>
      </c>
      <c r="D184" t="inlineStr">
        <is>
          <t>VÄSTERBOTTENS LÄN</t>
        </is>
      </c>
      <c r="E184" t="inlineStr">
        <is>
          <t>VILHELMINA</t>
        </is>
      </c>
      <c r="F184" t="inlineStr">
        <is>
          <t>Allmännings- och besparingsskogar</t>
        </is>
      </c>
      <c r="G184" t="n">
        <v>22</v>
      </c>
      <c r="H184" t="n">
        <v>0</v>
      </c>
      <c r="I184" t="n">
        <v>3</v>
      </c>
      <c r="J184" t="n">
        <v>7</v>
      </c>
      <c r="K184" t="n">
        <v>0</v>
      </c>
      <c r="L184" t="n">
        <v>0</v>
      </c>
      <c r="M184" t="n">
        <v>0</v>
      </c>
      <c r="N184" t="n">
        <v>0</v>
      </c>
      <c r="O184" t="n">
        <v>7</v>
      </c>
      <c r="P184" t="n">
        <v>0</v>
      </c>
      <c r="Q184" t="n">
        <v>10</v>
      </c>
      <c r="R184" s="2" t="inlineStr">
        <is>
          <t>Brunpudrad nållav
Garnlav
Granticka
Rosenticka
Rödbrun blekspik
Skrovellav
Ullticka
Gulnål
Mörk husmossa
Stuplav</t>
        </is>
      </c>
      <c r="S184">
        <f>HYPERLINK("https://klasma.github.io/Logging_2462/artfynd/A 6969-2023 artfynd.xlsx", "A 6969-2023")</f>
        <v/>
      </c>
      <c r="T184">
        <f>HYPERLINK("https://klasma.github.io/Logging_2462/kartor/A 6969-2023 karta.png", "A 6969-2023")</f>
        <v/>
      </c>
      <c r="V184">
        <f>HYPERLINK("https://klasma.github.io/Logging_2462/klagomål/A 6969-2023 FSC-klagomål.docx", "A 6969-2023")</f>
        <v/>
      </c>
      <c r="W184">
        <f>HYPERLINK("https://klasma.github.io/Logging_2462/klagomålsmail/A 6969-2023 FSC-klagomål mail.docx", "A 6969-2023")</f>
        <v/>
      </c>
      <c r="X184">
        <f>HYPERLINK("https://klasma.github.io/Logging_2462/tillsyn/A 6969-2023 tillsynsbegäran.docx", "A 6969-2023")</f>
        <v/>
      </c>
      <c r="Y184">
        <f>HYPERLINK("https://klasma.github.io/Logging_2462/tillsynsmail/A 6969-2023 tillsynsbegäran mail.docx", "A 6969-2023")</f>
        <v/>
      </c>
    </row>
    <row r="185" ht="15" customHeight="1">
      <c r="A185" t="inlineStr">
        <is>
          <t>A 62308-2022</t>
        </is>
      </c>
      <c r="B185" s="1" t="n">
        <v>44923.47131944444</v>
      </c>
      <c r="C185" s="1" t="n">
        <v>45971</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8708-2023</t>
        </is>
      </c>
      <c r="B186" s="1" t="n">
        <v>44973</v>
      </c>
      <c r="C186" s="1" t="n">
        <v>45971</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22116-2025</t>
        </is>
      </c>
      <c r="B187" s="1" t="n">
        <v>45785</v>
      </c>
      <c r="C187" s="1" t="n">
        <v>45971</v>
      </c>
      <c r="D187" t="inlineStr">
        <is>
          <t>VÄSTERBOTTENS LÄN</t>
        </is>
      </c>
      <c r="E187" t="inlineStr">
        <is>
          <t>DOROTEA</t>
        </is>
      </c>
      <c r="F187" t="inlineStr">
        <is>
          <t>SCA</t>
        </is>
      </c>
      <c r="G187" t="n">
        <v>10.1</v>
      </c>
      <c r="H187" t="n">
        <v>2</v>
      </c>
      <c r="I187" t="n">
        <v>2</v>
      </c>
      <c r="J187" t="n">
        <v>6</v>
      </c>
      <c r="K187" t="n">
        <v>2</v>
      </c>
      <c r="L187" t="n">
        <v>0</v>
      </c>
      <c r="M187" t="n">
        <v>0</v>
      </c>
      <c r="N187" t="n">
        <v>0</v>
      </c>
      <c r="O187" t="n">
        <v>8</v>
      </c>
      <c r="P187" t="n">
        <v>2</v>
      </c>
      <c r="Q187" t="n">
        <v>10</v>
      </c>
      <c r="R187" s="2" t="inlineStr">
        <is>
          <t>Grantickeporing
Tajgaskinn
Granticka
Harticka
Lunglav
Skrovellav
Spillkråka
Tretåig hackspett
Bårdlav
Trådticka</t>
        </is>
      </c>
      <c r="S187">
        <f>HYPERLINK("https://klasma.github.io/Logging_2425/artfynd/A 22116-2025 artfynd.xlsx", "A 22116-2025")</f>
        <v/>
      </c>
      <c r="T187">
        <f>HYPERLINK("https://klasma.github.io/Logging_2425/kartor/A 22116-2025 karta.png", "A 22116-2025")</f>
        <v/>
      </c>
      <c r="V187">
        <f>HYPERLINK("https://klasma.github.io/Logging_2425/klagomål/A 22116-2025 FSC-klagomål.docx", "A 22116-2025")</f>
        <v/>
      </c>
      <c r="W187">
        <f>HYPERLINK("https://klasma.github.io/Logging_2425/klagomålsmail/A 22116-2025 FSC-klagomål mail.docx", "A 22116-2025")</f>
        <v/>
      </c>
      <c r="X187">
        <f>HYPERLINK("https://klasma.github.io/Logging_2425/tillsyn/A 22116-2025 tillsynsbegäran.docx", "A 22116-2025")</f>
        <v/>
      </c>
      <c r="Y187">
        <f>HYPERLINK("https://klasma.github.io/Logging_2425/tillsynsmail/A 22116-2025 tillsynsbegäran mail.docx", "A 22116-2025")</f>
        <v/>
      </c>
      <c r="Z187">
        <f>HYPERLINK("https://klasma.github.io/Logging_2425/fåglar/A 22116-2025 prioriterade fågelarter.docx", "A 22116-2025")</f>
        <v/>
      </c>
    </row>
    <row r="188" ht="15" customHeight="1">
      <c r="A188" t="inlineStr">
        <is>
          <t>A 5701-2023</t>
        </is>
      </c>
      <c r="B188" s="1" t="n">
        <v>44960</v>
      </c>
      <c r="C188" s="1" t="n">
        <v>45971</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56840-2023</t>
        </is>
      </c>
      <c r="B189" s="1" t="n">
        <v>45238</v>
      </c>
      <c r="C189" s="1" t="n">
        <v>45971</v>
      </c>
      <c r="D189" t="inlineStr">
        <is>
          <t>VÄSTERBOTTENS LÄN</t>
        </is>
      </c>
      <c r="E189" t="inlineStr">
        <is>
          <t>VILHELMINA</t>
        </is>
      </c>
      <c r="F189" t="inlineStr">
        <is>
          <t>Allmännings- och besparingsskogar</t>
        </is>
      </c>
      <c r="G189" t="n">
        <v>55</v>
      </c>
      <c r="H189" t="n">
        <v>0</v>
      </c>
      <c r="I189" t="n">
        <v>1</v>
      </c>
      <c r="J189" t="n">
        <v>7</v>
      </c>
      <c r="K189" t="n">
        <v>2</v>
      </c>
      <c r="L189" t="n">
        <v>0</v>
      </c>
      <c r="M189" t="n">
        <v>0</v>
      </c>
      <c r="N189" t="n">
        <v>0</v>
      </c>
      <c r="O189" t="n">
        <v>9</v>
      </c>
      <c r="P189" t="n">
        <v>2</v>
      </c>
      <c r="Q189" t="n">
        <v>10</v>
      </c>
      <c r="R189" s="2" t="inlineStr">
        <is>
          <t>Kristallticka
Tajgaskinn
Doftskinn
Gammelgransskål
Granticka
Gränsticka
Harticka
Rosenticka
Skrovellav
Sotlav</t>
        </is>
      </c>
      <c r="S189">
        <f>HYPERLINK("https://klasma.github.io/Logging_2462/artfynd/A 56840-2023 artfynd.xlsx", "A 56840-2023")</f>
        <v/>
      </c>
      <c r="T189">
        <f>HYPERLINK("https://klasma.github.io/Logging_2462/kartor/A 56840-2023 karta.png", "A 56840-2023")</f>
        <v/>
      </c>
      <c r="V189">
        <f>HYPERLINK("https://klasma.github.io/Logging_2462/klagomål/A 56840-2023 FSC-klagomål.docx", "A 56840-2023")</f>
        <v/>
      </c>
      <c r="W189">
        <f>HYPERLINK("https://klasma.github.io/Logging_2462/klagomålsmail/A 56840-2023 FSC-klagomål mail.docx", "A 56840-2023")</f>
        <v/>
      </c>
      <c r="X189">
        <f>HYPERLINK("https://klasma.github.io/Logging_2462/tillsyn/A 56840-2023 tillsynsbegäran.docx", "A 56840-2023")</f>
        <v/>
      </c>
      <c r="Y189">
        <f>HYPERLINK("https://klasma.github.io/Logging_2462/tillsynsmail/A 56840-2023 tillsynsbegäran mail.docx", "A 56840-2023")</f>
        <v/>
      </c>
    </row>
    <row r="190" ht="15" customHeight="1">
      <c r="A190" t="inlineStr">
        <is>
          <t>A 72173-2021</t>
        </is>
      </c>
      <c r="B190" s="1" t="n">
        <v>44543</v>
      </c>
      <c r="C190" s="1" t="n">
        <v>45971</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12019-2023</t>
        </is>
      </c>
      <c r="B191" s="1" t="n">
        <v>44995.64879629629</v>
      </c>
      <c r="C191" s="1" t="n">
        <v>45971</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13630-2025</t>
        </is>
      </c>
      <c r="B192" s="1" t="n">
        <v>45736</v>
      </c>
      <c r="C192" s="1" t="n">
        <v>45971</v>
      </c>
      <c r="D192" t="inlineStr">
        <is>
          <t>VÄSTERBOTTENS LÄN</t>
        </is>
      </c>
      <c r="E192" t="inlineStr">
        <is>
          <t>UMEÅ</t>
        </is>
      </c>
      <c r="F192" t="inlineStr">
        <is>
          <t>Kommuner</t>
        </is>
      </c>
      <c r="G192" t="n">
        <v>1.9</v>
      </c>
      <c r="H192" t="n">
        <v>4</v>
      </c>
      <c r="I192" t="n">
        <v>2</v>
      </c>
      <c r="J192" t="n">
        <v>7</v>
      </c>
      <c r="K192" t="n">
        <v>0</v>
      </c>
      <c r="L192" t="n">
        <v>0</v>
      </c>
      <c r="M192" t="n">
        <v>0</v>
      </c>
      <c r="N192" t="n">
        <v>0</v>
      </c>
      <c r="O192" t="n">
        <v>7</v>
      </c>
      <c r="P192" t="n">
        <v>0</v>
      </c>
      <c r="Q192" t="n">
        <v>10</v>
      </c>
      <c r="R192" s="2" t="inlineStr">
        <is>
          <t>Garnlav
Granticka
Harticka
Rödvingetrast
Spillkråka
Tretåig hackspett
Ullticka
Thomsons trägnagare
Vedticka
Kungsfågel</t>
        </is>
      </c>
      <c r="S192">
        <f>HYPERLINK("https://klasma.github.io/Logging_2480/artfynd/A 13630-2025 artfynd.xlsx", "A 13630-2025")</f>
        <v/>
      </c>
      <c r="T192">
        <f>HYPERLINK("https://klasma.github.io/Logging_2480/kartor/A 13630-2025 karta.png", "A 13630-2025")</f>
        <v/>
      </c>
      <c r="V192">
        <f>HYPERLINK("https://klasma.github.io/Logging_2480/klagomål/A 13630-2025 FSC-klagomål.docx", "A 13630-2025")</f>
        <v/>
      </c>
      <c r="W192">
        <f>HYPERLINK("https://klasma.github.io/Logging_2480/klagomålsmail/A 13630-2025 FSC-klagomål mail.docx", "A 13630-2025")</f>
        <v/>
      </c>
      <c r="X192">
        <f>HYPERLINK("https://klasma.github.io/Logging_2480/tillsyn/A 13630-2025 tillsynsbegäran.docx", "A 13630-2025")</f>
        <v/>
      </c>
      <c r="Y192">
        <f>HYPERLINK("https://klasma.github.io/Logging_2480/tillsynsmail/A 13630-2025 tillsynsbegäran mail.docx", "A 13630-2025")</f>
        <v/>
      </c>
      <c r="Z192">
        <f>HYPERLINK("https://klasma.github.io/Logging_2480/fåglar/A 13630-2025 prioriterade fågelarter.docx", "A 13630-2025")</f>
        <v/>
      </c>
    </row>
    <row r="193" ht="15" customHeight="1">
      <c r="A193" t="inlineStr">
        <is>
          <t>A 3370-2022</t>
        </is>
      </c>
      <c r="B193" s="1" t="n">
        <v>44585</v>
      </c>
      <c r="C193" s="1" t="n">
        <v>45971</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10862-2023</t>
        </is>
      </c>
      <c r="B194" s="1" t="n">
        <v>44991</v>
      </c>
      <c r="C194" s="1" t="n">
        <v>45971</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28986-2025</t>
        </is>
      </c>
      <c r="B195" s="1" t="n">
        <v>45821.36898148148</v>
      </c>
      <c r="C195" s="1" t="n">
        <v>45971</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31173-2021</t>
        </is>
      </c>
      <c r="B196" s="1" t="n">
        <v>44368</v>
      </c>
      <c r="C196" s="1" t="n">
        <v>45971</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50032-2024</t>
        </is>
      </c>
      <c r="B197" s="1" t="n">
        <v>45599</v>
      </c>
      <c r="C197" s="1" t="n">
        <v>45971</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32934-2025</t>
        </is>
      </c>
      <c r="B198" s="1" t="n">
        <v>45839.67444444444</v>
      </c>
      <c r="C198" s="1" t="n">
        <v>45971</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45971</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13605-2022</t>
        </is>
      </c>
      <c r="B200" s="1" t="n">
        <v>44648</v>
      </c>
      <c r="C200" s="1" t="n">
        <v>45971</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52336-2024</t>
        </is>
      </c>
      <c r="B201" s="1" t="n">
        <v>45609</v>
      </c>
      <c r="C201" s="1" t="n">
        <v>45971</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59038-2024</t>
        </is>
      </c>
      <c r="B202" s="1" t="n">
        <v>45636</v>
      </c>
      <c r="C202" s="1" t="n">
        <v>45971</v>
      </c>
      <c r="D202" t="inlineStr">
        <is>
          <t>VÄSTERBOTTENS LÄN</t>
        </is>
      </c>
      <c r="E202" t="inlineStr">
        <is>
          <t>VILHELMINA</t>
        </is>
      </c>
      <c r="F202" t="inlineStr">
        <is>
          <t>Allmännings- och besparingsskogar</t>
        </is>
      </c>
      <c r="G202" t="n">
        <v>12.1</v>
      </c>
      <c r="H202" t="n">
        <v>2</v>
      </c>
      <c r="I202" t="n">
        <v>1</v>
      </c>
      <c r="J202" t="n">
        <v>8</v>
      </c>
      <c r="K202" t="n">
        <v>0</v>
      </c>
      <c r="L202" t="n">
        <v>0</v>
      </c>
      <c r="M202" t="n">
        <v>0</v>
      </c>
      <c r="N202" t="n">
        <v>0</v>
      </c>
      <c r="O202" t="n">
        <v>8</v>
      </c>
      <c r="P202" t="n">
        <v>0</v>
      </c>
      <c r="Q202" t="n">
        <v>10</v>
      </c>
      <c r="R202" s="2" t="inlineStr">
        <is>
          <t>Gammelgransskål
Garnlav
Granticka
Knottrig blåslav
Rödvingetrast
Ullticka
Vitgrynig nållav
Vitskaftad svartspik
Mörk husmossa
Lavskrika</t>
        </is>
      </c>
      <c r="S202">
        <f>HYPERLINK("https://klasma.github.io/Logging_2462/artfynd/A 59038-2024 artfynd.xlsx", "A 59038-2024")</f>
        <v/>
      </c>
      <c r="T202">
        <f>HYPERLINK("https://klasma.github.io/Logging_2462/kartor/A 59038-2024 karta.png", "A 59038-2024")</f>
        <v/>
      </c>
      <c r="V202">
        <f>HYPERLINK("https://klasma.github.io/Logging_2462/klagomål/A 59038-2024 FSC-klagomål.docx", "A 59038-2024")</f>
        <v/>
      </c>
      <c r="W202">
        <f>HYPERLINK("https://klasma.github.io/Logging_2462/klagomålsmail/A 59038-2024 FSC-klagomål mail.docx", "A 59038-2024")</f>
        <v/>
      </c>
      <c r="X202">
        <f>HYPERLINK("https://klasma.github.io/Logging_2462/tillsyn/A 59038-2024 tillsynsbegäran.docx", "A 59038-2024")</f>
        <v/>
      </c>
      <c r="Y202">
        <f>HYPERLINK("https://klasma.github.io/Logging_2462/tillsynsmail/A 59038-2024 tillsynsbegäran mail.docx", "A 59038-2024")</f>
        <v/>
      </c>
      <c r="Z202">
        <f>HYPERLINK("https://klasma.github.io/Logging_2462/fåglar/A 59038-2024 prioriterade fågelarter.docx", "A 59038-2024")</f>
        <v/>
      </c>
    </row>
    <row r="203" ht="15" customHeight="1">
      <c r="A203" t="inlineStr">
        <is>
          <t>A 9093-2025</t>
        </is>
      </c>
      <c r="B203" s="1" t="n">
        <v>45713</v>
      </c>
      <c r="C203" s="1" t="n">
        <v>45971</v>
      </c>
      <c r="D203" t="inlineStr">
        <is>
          <t>VÄSTERBOTTENS LÄN</t>
        </is>
      </c>
      <c r="E203" t="inlineStr">
        <is>
          <t>SKELLEFTEÅ</t>
        </is>
      </c>
      <c r="G203" t="n">
        <v>4.3</v>
      </c>
      <c r="H203" t="n">
        <v>4</v>
      </c>
      <c r="I203" t="n">
        <v>2</v>
      </c>
      <c r="J203" t="n">
        <v>7</v>
      </c>
      <c r="K203" t="n">
        <v>1</v>
      </c>
      <c r="L203" t="n">
        <v>0</v>
      </c>
      <c r="M203" t="n">
        <v>0</v>
      </c>
      <c r="N203" t="n">
        <v>0</v>
      </c>
      <c r="O203" t="n">
        <v>8</v>
      </c>
      <c r="P203" t="n">
        <v>1</v>
      </c>
      <c r="Q203" t="n">
        <v>10</v>
      </c>
      <c r="R203" s="2" t="inlineStr">
        <is>
          <t>Knärot
Garnlav
Granticka
Spillkråka
Talltita
Tretåig hackspett
Ullticka
Violettgrå tagellav
Bronshjon
Vedticka</t>
        </is>
      </c>
      <c r="S203">
        <f>HYPERLINK("https://klasma.github.io/Logging_2482/artfynd/A 9093-2025 artfynd.xlsx", "A 9093-2025")</f>
        <v/>
      </c>
      <c r="T203">
        <f>HYPERLINK("https://klasma.github.io/Logging_2482/kartor/A 9093-2025 karta.png", "A 9093-2025")</f>
        <v/>
      </c>
      <c r="U203">
        <f>HYPERLINK("https://klasma.github.io/Logging_2482/knärot/A 9093-2025 karta knärot.png", "A 9093-2025")</f>
        <v/>
      </c>
      <c r="V203">
        <f>HYPERLINK("https://klasma.github.io/Logging_2482/klagomål/A 9093-2025 FSC-klagomål.docx", "A 9093-2025")</f>
        <v/>
      </c>
      <c r="W203">
        <f>HYPERLINK("https://klasma.github.io/Logging_2482/klagomålsmail/A 9093-2025 FSC-klagomål mail.docx", "A 9093-2025")</f>
        <v/>
      </c>
      <c r="X203">
        <f>HYPERLINK("https://klasma.github.io/Logging_2482/tillsyn/A 9093-2025 tillsynsbegäran.docx", "A 9093-2025")</f>
        <v/>
      </c>
      <c r="Y203">
        <f>HYPERLINK("https://klasma.github.io/Logging_2482/tillsynsmail/A 9093-2025 tillsynsbegäran mail.docx", "A 9093-2025")</f>
        <v/>
      </c>
      <c r="Z203">
        <f>HYPERLINK("https://klasma.github.io/Logging_2482/fåglar/A 9093-2025 prioriterade fågelarter.docx", "A 9093-2025")</f>
        <v/>
      </c>
    </row>
    <row r="204" ht="15" customHeight="1">
      <c r="A204" t="inlineStr">
        <is>
          <t>A 172-2021</t>
        </is>
      </c>
      <c r="B204" s="1" t="n">
        <v>44199</v>
      </c>
      <c r="C204" s="1" t="n">
        <v>45971</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45971</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9059-2021</t>
        </is>
      </c>
      <c r="B206" s="1" t="n">
        <v>44249</v>
      </c>
      <c r="C206" s="1" t="n">
        <v>45971</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31884-2024</t>
        </is>
      </c>
      <c r="B207" s="1" t="n">
        <v>45509</v>
      </c>
      <c r="C207" s="1" t="n">
        <v>45971</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12330-2023</t>
        </is>
      </c>
      <c r="B208" s="1" t="n">
        <v>44995</v>
      </c>
      <c r="C208" s="1" t="n">
        <v>45971</v>
      </c>
      <c r="D208" t="inlineStr">
        <is>
          <t>VÄSTERBOTTENS LÄN</t>
        </is>
      </c>
      <c r="E208" t="inlineStr">
        <is>
          <t>STORUMAN</t>
        </is>
      </c>
      <c r="F208" t="inlineStr">
        <is>
          <t>Allmännings- och besparingsskogar</t>
        </is>
      </c>
      <c r="G208" t="n">
        <v>248.7</v>
      </c>
      <c r="H208" t="n">
        <v>0</v>
      </c>
      <c r="I208" t="n">
        <v>1</v>
      </c>
      <c r="J208" t="n">
        <v>8</v>
      </c>
      <c r="K208" t="n">
        <v>0</v>
      </c>
      <c r="L208" t="n">
        <v>0</v>
      </c>
      <c r="M208" t="n">
        <v>0</v>
      </c>
      <c r="N208" t="n">
        <v>0</v>
      </c>
      <c r="O208" t="n">
        <v>8</v>
      </c>
      <c r="P208" t="n">
        <v>0</v>
      </c>
      <c r="Q208" t="n">
        <v>9</v>
      </c>
      <c r="R208" s="2" t="inlineStr">
        <is>
          <t>Gammelgransskål
Garnlav
Gränsticka
Lunglav
Rosenticka
Rödbrun blekspik
Skrovellav
Urnlav
Vedticka</t>
        </is>
      </c>
      <c r="S208">
        <f>HYPERLINK("https://klasma.github.io/Logging_2421/artfynd/A 12330-2023 artfynd.xlsx", "A 12330-2023")</f>
        <v/>
      </c>
      <c r="T208">
        <f>HYPERLINK("https://klasma.github.io/Logging_2421/kartor/A 12330-2023 karta.png", "A 12330-2023")</f>
        <v/>
      </c>
      <c r="V208">
        <f>HYPERLINK("https://klasma.github.io/Logging_2421/klagomål/A 12330-2023 FSC-klagomål.docx", "A 12330-2023")</f>
        <v/>
      </c>
      <c r="W208">
        <f>HYPERLINK("https://klasma.github.io/Logging_2421/klagomålsmail/A 12330-2023 FSC-klagomål mail.docx", "A 12330-2023")</f>
        <v/>
      </c>
      <c r="X208">
        <f>HYPERLINK("https://klasma.github.io/Logging_2421/tillsyn/A 12330-2023 tillsynsbegäran.docx", "A 12330-2023")</f>
        <v/>
      </c>
      <c r="Y208">
        <f>HYPERLINK("https://klasma.github.io/Logging_2421/tillsynsmail/A 12330-2023 tillsynsbegäran mail.docx", "A 12330-2023")</f>
        <v/>
      </c>
    </row>
    <row r="209" ht="15" customHeight="1">
      <c r="A209" t="inlineStr">
        <is>
          <t>A 41407-2022</t>
        </is>
      </c>
      <c r="B209" s="1" t="n">
        <v>44826</v>
      </c>
      <c r="C209" s="1" t="n">
        <v>45971</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39213-2021</t>
        </is>
      </c>
      <c r="B210" s="1" t="n">
        <v>44413</v>
      </c>
      <c r="C210" s="1" t="n">
        <v>45971</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45971</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51198-2022</t>
        </is>
      </c>
      <c r="B212" s="1" t="n">
        <v>44868</v>
      </c>
      <c r="C212" s="1" t="n">
        <v>45971</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6207-2021</t>
        </is>
      </c>
      <c r="B213" s="1" t="n">
        <v>44232</v>
      </c>
      <c r="C213" s="1" t="n">
        <v>45971</v>
      </c>
      <c r="D213" t="inlineStr">
        <is>
          <t>VÄSTERBOTTENS LÄN</t>
        </is>
      </c>
      <c r="E213" t="inlineStr">
        <is>
          <t>STORUMAN</t>
        </is>
      </c>
      <c r="G213" t="n">
        <v>23</v>
      </c>
      <c r="H213" t="n">
        <v>2</v>
      </c>
      <c r="I213" t="n">
        <v>3</v>
      </c>
      <c r="J213" t="n">
        <v>3</v>
      </c>
      <c r="K213" t="n">
        <v>2</v>
      </c>
      <c r="L213" t="n">
        <v>0</v>
      </c>
      <c r="M213" t="n">
        <v>0</v>
      </c>
      <c r="N213" t="n">
        <v>0</v>
      </c>
      <c r="O213" t="n">
        <v>5</v>
      </c>
      <c r="P213" t="n">
        <v>2</v>
      </c>
      <c r="Q213" t="n">
        <v>9</v>
      </c>
      <c r="R213" s="2" t="inlineStr">
        <is>
          <t>Doftticka
Lappticka
Granticka
Skrovellav
Ullticka
Bårdlav
Skinnlav
Stuplav
Fläcknycklar</t>
        </is>
      </c>
      <c r="S213">
        <f>HYPERLINK("https://klasma.github.io/Logging_2421/artfynd/A 6207-2021 artfynd.xlsx", "A 6207-2021")</f>
        <v/>
      </c>
      <c r="T213">
        <f>HYPERLINK("https://klasma.github.io/Logging_2421/kartor/A 6207-2021 karta.png", "A 6207-2021")</f>
        <v/>
      </c>
      <c r="V213">
        <f>HYPERLINK("https://klasma.github.io/Logging_2421/klagomål/A 6207-2021 FSC-klagomål.docx", "A 6207-2021")</f>
        <v/>
      </c>
      <c r="W213">
        <f>HYPERLINK("https://klasma.github.io/Logging_2421/klagomålsmail/A 6207-2021 FSC-klagomål mail.docx", "A 6207-2021")</f>
        <v/>
      </c>
      <c r="X213">
        <f>HYPERLINK("https://klasma.github.io/Logging_2421/tillsyn/A 6207-2021 tillsynsbegäran.docx", "A 6207-2021")</f>
        <v/>
      </c>
      <c r="Y213">
        <f>HYPERLINK("https://klasma.github.io/Logging_2421/tillsynsmail/A 6207-2021 tillsynsbegäran mail.docx", "A 6207-2021")</f>
        <v/>
      </c>
    </row>
    <row r="214" ht="15" customHeight="1">
      <c r="A214" t="inlineStr">
        <is>
          <t>A 1602-2023</t>
        </is>
      </c>
      <c r="B214" s="1" t="n">
        <v>44935</v>
      </c>
      <c r="C214" s="1" t="n">
        <v>45971</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24709-2022</t>
        </is>
      </c>
      <c r="B215" s="1" t="n">
        <v>44727</v>
      </c>
      <c r="C215" s="1" t="n">
        <v>45971</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15455-2025</t>
        </is>
      </c>
      <c r="B216" s="1" t="n">
        <v>45747</v>
      </c>
      <c r="C216" s="1" t="n">
        <v>45971</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22441-2025</t>
        </is>
      </c>
      <c r="B217" s="1" t="n">
        <v>45786</v>
      </c>
      <c r="C217" s="1" t="n">
        <v>45971</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32223-2024</t>
        </is>
      </c>
      <c r="B218" s="1" t="n">
        <v>45511</v>
      </c>
      <c r="C218" s="1" t="n">
        <v>45971</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53274-2024</t>
        </is>
      </c>
      <c r="B219" s="1" t="n">
        <v>45614</v>
      </c>
      <c r="C219" s="1" t="n">
        <v>45971</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59036-2024</t>
        </is>
      </c>
      <c r="B220" s="1" t="n">
        <v>45636</v>
      </c>
      <c r="C220" s="1" t="n">
        <v>45971</v>
      </c>
      <c r="D220" t="inlineStr">
        <is>
          <t>VÄSTERBOTTENS LÄN</t>
        </is>
      </c>
      <c r="E220" t="inlineStr">
        <is>
          <t>VILHELMINA</t>
        </is>
      </c>
      <c r="F220" t="inlineStr">
        <is>
          <t>Allmännings- och besparingsskogar</t>
        </is>
      </c>
      <c r="G220" t="n">
        <v>33</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31759-2025</t>
        </is>
      </c>
      <c r="B221" s="1" t="n">
        <v>45834.48988425926</v>
      </c>
      <c r="C221" s="1" t="n">
        <v>45971</v>
      </c>
      <c r="D221" t="inlineStr">
        <is>
          <t>VÄSTERBOTTENS LÄN</t>
        </is>
      </c>
      <c r="E221" t="inlineStr">
        <is>
          <t>NORSJÖ</t>
        </is>
      </c>
      <c r="G221" t="n">
        <v>18.5</v>
      </c>
      <c r="H221" t="n">
        <v>2</v>
      </c>
      <c r="I221" t="n">
        <v>1</v>
      </c>
      <c r="J221" t="n">
        <v>8</v>
      </c>
      <c r="K221" t="n">
        <v>0</v>
      </c>
      <c r="L221" t="n">
        <v>0</v>
      </c>
      <c r="M221" t="n">
        <v>0</v>
      </c>
      <c r="N221" t="n">
        <v>0</v>
      </c>
      <c r="O221" t="n">
        <v>8</v>
      </c>
      <c r="P221" t="n">
        <v>0</v>
      </c>
      <c r="Q221" t="n">
        <v>9</v>
      </c>
      <c r="R221" s="2" t="inlineStr">
        <is>
          <t>Garnlav
Gränsticka
Kolflarnlav
Mörk kolflarnlav
Nordtagging
Spillkråka
Tretåig hackspett
Vedskivlav
Vedticka</t>
        </is>
      </c>
      <c r="S221">
        <f>HYPERLINK("https://klasma.github.io/Logging_2417/artfynd/A 31759-2025 artfynd.xlsx", "A 31759-2025")</f>
        <v/>
      </c>
      <c r="T221">
        <f>HYPERLINK("https://klasma.github.io/Logging_2417/kartor/A 31759-2025 karta.png", "A 31759-2025")</f>
        <v/>
      </c>
      <c r="V221">
        <f>HYPERLINK("https://klasma.github.io/Logging_2417/klagomål/A 31759-2025 FSC-klagomål.docx", "A 31759-2025")</f>
        <v/>
      </c>
      <c r="W221">
        <f>HYPERLINK("https://klasma.github.io/Logging_2417/klagomålsmail/A 31759-2025 FSC-klagomål mail.docx", "A 31759-2025")</f>
        <v/>
      </c>
      <c r="X221">
        <f>HYPERLINK("https://klasma.github.io/Logging_2417/tillsyn/A 31759-2025 tillsynsbegäran.docx", "A 31759-2025")</f>
        <v/>
      </c>
      <c r="Y221">
        <f>HYPERLINK("https://klasma.github.io/Logging_2417/tillsynsmail/A 31759-2025 tillsynsbegäran mail.docx", "A 31759-2025")</f>
        <v/>
      </c>
      <c r="Z221">
        <f>HYPERLINK("https://klasma.github.io/Logging_2417/fåglar/A 31759-2025 prioriterade fågelarter.docx", "A 31759-2025")</f>
        <v/>
      </c>
    </row>
    <row r="222" ht="15" customHeight="1">
      <c r="A222" t="inlineStr">
        <is>
          <t>A 34015-2025</t>
        </is>
      </c>
      <c r="B222" s="1" t="n">
        <v>45845.3308912037</v>
      </c>
      <c r="C222" s="1" t="n">
        <v>45971</v>
      </c>
      <c r="D222" t="inlineStr">
        <is>
          <t>VÄSTERBOTTENS LÄN</t>
        </is>
      </c>
      <c r="E222" t="inlineStr">
        <is>
          <t>LYCKSELE</t>
        </is>
      </c>
      <c r="F222" t="inlineStr">
        <is>
          <t>Sveaskog</t>
        </is>
      </c>
      <c r="G222" t="n">
        <v>10.4</v>
      </c>
      <c r="H222" t="n">
        <v>3</v>
      </c>
      <c r="I222" t="n">
        <v>0</v>
      </c>
      <c r="J222" t="n">
        <v>7</v>
      </c>
      <c r="K222" t="n">
        <v>0</v>
      </c>
      <c r="L222" t="n">
        <v>0</v>
      </c>
      <c r="M222" t="n">
        <v>0</v>
      </c>
      <c r="N222" t="n">
        <v>0</v>
      </c>
      <c r="O222" t="n">
        <v>7</v>
      </c>
      <c r="P222" t="n">
        <v>0</v>
      </c>
      <c r="Q222" t="n">
        <v>9</v>
      </c>
      <c r="R222" s="2" t="inlineStr">
        <is>
          <t>Gammelgransskål
Garnlav
Kolflarnlav
Motaggsvamp
Tallriska
Tretåig hackspett
Vitgrynig nållav
Huggorm
Revlummer</t>
        </is>
      </c>
      <c r="S222">
        <f>HYPERLINK("https://klasma.github.io/Logging_2481/artfynd/A 34015-2025 artfynd.xlsx", "A 34015-2025")</f>
        <v/>
      </c>
      <c r="T222">
        <f>HYPERLINK("https://klasma.github.io/Logging_2481/kartor/A 34015-2025 karta.png", "A 34015-2025")</f>
        <v/>
      </c>
      <c r="V222">
        <f>HYPERLINK("https://klasma.github.io/Logging_2481/klagomål/A 34015-2025 FSC-klagomål.docx", "A 34015-2025")</f>
        <v/>
      </c>
      <c r="W222">
        <f>HYPERLINK("https://klasma.github.io/Logging_2481/klagomålsmail/A 34015-2025 FSC-klagomål mail.docx", "A 34015-2025")</f>
        <v/>
      </c>
      <c r="X222">
        <f>HYPERLINK("https://klasma.github.io/Logging_2481/tillsyn/A 34015-2025 tillsynsbegäran.docx", "A 34015-2025")</f>
        <v/>
      </c>
      <c r="Y222">
        <f>HYPERLINK("https://klasma.github.io/Logging_2481/tillsynsmail/A 34015-2025 tillsynsbegäran mail.docx", "A 34015-2025")</f>
        <v/>
      </c>
      <c r="Z222">
        <f>HYPERLINK("https://klasma.github.io/Logging_2481/fåglar/A 34015-2025 prioriterade fågelarter.docx", "A 34015-2025")</f>
        <v/>
      </c>
    </row>
    <row r="223" ht="15" customHeight="1">
      <c r="A223" t="inlineStr">
        <is>
          <t>A 24173-2025</t>
        </is>
      </c>
      <c r="B223" s="1" t="n">
        <v>45796</v>
      </c>
      <c r="C223" s="1" t="n">
        <v>45971</v>
      </c>
      <c r="D223" t="inlineStr">
        <is>
          <t>VÄSTERBOTTENS LÄN</t>
        </is>
      </c>
      <c r="E223" t="inlineStr">
        <is>
          <t>VÄNNÄS</t>
        </is>
      </c>
      <c r="G223" t="n">
        <v>10.5</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24173-2025 artfynd.xlsx", "A 24173-2025")</f>
        <v/>
      </c>
      <c r="T223">
        <f>HYPERLINK("https://klasma.github.io/Logging_2460/kartor/A 24173-2025 karta.png", "A 24173-2025")</f>
        <v/>
      </c>
      <c r="V223">
        <f>HYPERLINK("https://klasma.github.io/Logging_2460/klagomål/A 24173-2025 FSC-klagomål.docx", "A 24173-2025")</f>
        <v/>
      </c>
      <c r="W223">
        <f>HYPERLINK("https://klasma.github.io/Logging_2460/klagomålsmail/A 24173-2025 FSC-klagomål mail.docx", "A 24173-2025")</f>
        <v/>
      </c>
      <c r="X223">
        <f>HYPERLINK("https://klasma.github.io/Logging_2460/tillsyn/A 24173-2025 tillsynsbegäran.docx", "A 24173-2025")</f>
        <v/>
      </c>
      <c r="Y223">
        <f>HYPERLINK("https://klasma.github.io/Logging_2460/tillsynsmail/A 24173-2025 tillsynsbegäran mail.docx", "A 24173-2025")</f>
        <v/>
      </c>
      <c r="Z223">
        <f>HYPERLINK("https://klasma.github.io/Logging_2460/fåglar/A 24173-2025 prioriterade fågelarter.docx", "A 24173-2025")</f>
        <v/>
      </c>
    </row>
    <row r="224" ht="15" customHeight="1">
      <c r="A224" t="inlineStr">
        <is>
          <t>A 35700-2025</t>
        </is>
      </c>
      <c r="B224" s="1" t="n">
        <v>45860.35701388889</v>
      </c>
      <c r="C224" s="1" t="n">
        <v>45971</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46526-2025</t>
        </is>
      </c>
      <c r="B225" s="1" t="n">
        <v>45926.33142361111</v>
      </c>
      <c r="C225" s="1" t="n">
        <v>45971</v>
      </c>
      <c r="D225" t="inlineStr">
        <is>
          <t>VÄSTERBOTTENS LÄN</t>
        </is>
      </c>
      <c r="E225" t="inlineStr">
        <is>
          <t>SKELLEFTEÅ</t>
        </is>
      </c>
      <c r="F225" t="inlineStr">
        <is>
          <t>Holmen skog AB</t>
        </is>
      </c>
      <c r="G225" t="n">
        <v>21.8</v>
      </c>
      <c r="H225" t="n">
        <v>4</v>
      </c>
      <c r="I225" t="n">
        <v>1</v>
      </c>
      <c r="J225" t="n">
        <v>7</v>
      </c>
      <c r="K225" t="n">
        <v>1</v>
      </c>
      <c r="L225" t="n">
        <v>0</v>
      </c>
      <c r="M225" t="n">
        <v>0</v>
      </c>
      <c r="N225" t="n">
        <v>0</v>
      </c>
      <c r="O225" t="n">
        <v>8</v>
      </c>
      <c r="P225" t="n">
        <v>1</v>
      </c>
      <c r="Q225" t="n">
        <v>9</v>
      </c>
      <c r="R225" s="2" t="inlineStr">
        <is>
          <t>Knärot
Garnlav
Granticka
Kilporing
Spillkråka
Talltita
Tretåig hackspett
Ullticka
Vedticka</t>
        </is>
      </c>
      <c r="S225">
        <f>HYPERLINK("https://klasma.github.io/Logging_2482/artfynd/A 46526-2025 artfynd.xlsx", "A 46526-2025")</f>
        <v/>
      </c>
      <c r="T225">
        <f>HYPERLINK("https://klasma.github.io/Logging_2482/kartor/A 46526-2025 karta.png", "A 46526-2025")</f>
        <v/>
      </c>
      <c r="U225">
        <f>HYPERLINK("https://klasma.github.io/Logging_2482/knärot/A 46526-2025 karta knärot.png", "A 46526-2025")</f>
        <v/>
      </c>
      <c r="V225">
        <f>HYPERLINK("https://klasma.github.io/Logging_2482/klagomål/A 46526-2025 FSC-klagomål.docx", "A 46526-2025")</f>
        <v/>
      </c>
      <c r="W225">
        <f>HYPERLINK("https://klasma.github.io/Logging_2482/klagomålsmail/A 46526-2025 FSC-klagomål mail.docx", "A 46526-2025")</f>
        <v/>
      </c>
      <c r="X225">
        <f>HYPERLINK("https://klasma.github.io/Logging_2482/tillsyn/A 46526-2025 tillsynsbegäran.docx", "A 46526-2025")</f>
        <v/>
      </c>
      <c r="Y225">
        <f>HYPERLINK("https://klasma.github.io/Logging_2482/tillsynsmail/A 46526-2025 tillsynsbegäran mail.docx", "A 46526-2025")</f>
        <v/>
      </c>
      <c r="Z225">
        <f>HYPERLINK("https://klasma.github.io/Logging_2482/fåglar/A 46526-2025 prioriterade fågelarter.docx", "A 46526-2025")</f>
        <v/>
      </c>
    </row>
    <row r="226" ht="15" customHeight="1">
      <c r="A226" t="inlineStr">
        <is>
          <t>A 46103-2025</t>
        </is>
      </c>
      <c r="B226" s="1" t="n">
        <v>45924.55184027777</v>
      </c>
      <c r="C226" s="1" t="n">
        <v>45971</v>
      </c>
      <c r="D226" t="inlineStr">
        <is>
          <t>VÄSTERBOTTENS LÄN</t>
        </is>
      </c>
      <c r="E226" t="inlineStr">
        <is>
          <t>SKELLEFTEÅ</t>
        </is>
      </c>
      <c r="F226" t="inlineStr">
        <is>
          <t>Holmen skog AB</t>
        </is>
      </c>
      <c r="G226" t="n">
        <v>8.699999999999999</v>
      </c>
      <c r="H226" t="n">
        <v>2</v>
      </c>
      <c r="I226" t="n">
        <v>1</v>
      </c>
      <c r="J226" t="n">
        <v>6</v>
      </c>
      <c r="K226" t="n">
        <v>2</v>
      </c>
      <c r="L226" t="n">
        <v>0</v>
      </c>
      <c r="M226" t="n">
        <v>0</v>
      </c>
      <c r="N226" t="n">
        <v>0</v>
      </c>
      <c r="O226" t="n">
        <v>8</v>
      </c>
      <c r="P226" t="n">
        <v>2</v>
      </c>
      <c r="Q226" t="n">
        <v>9</v>
      </c>
      <c r="R226" s="2" t="inlineStr">
        <is>
          <t>Knärot
Rynkskinn
Gammelgransskål
Garnlav
Granticka
Spillkråka
Stjärntagging
Ullticka
Vedticka</t>
        </is>
      </c>
      <c r="S226">
        <f>HYPERLINK("https://klasma.github.io/Logging_2482/artfynd/A 46103-2025 artfynd.xlsx", "A 46103-2025")</f>
        <v/>
      </c>
      <c r="T226">
        <f>HYPERLINK("https://klasma.github.io/Logging_2482/kartor/A 46103-2025 karta.png", "A 46103-2025")</f>
        <v/>
      </c>
      <c r="U226">
        <f>HYPERLINK("https://klasma.github.io/Logging_2482/knärot/A 46103-2025 karta knärot.png", "A 46103-2025")</f>
        <v/>
      </c>
      <c r="V226">
        <f>HYPERLINK("https://klasma.github.io/Logging_2482/klagomål/A 46103-2025 FSC-klagomål.docx", "A 46103-2025")</f>
        <v/>
      </c>
      <c r="W226">
        <f>HYPERLINK("https://klasma.github.io/Logging_2482/klagomålsmail/A 46103-2025 FSC-klagomål mail.docx", "A 46103-2025")</f>
        <v/>
      </c>
      <c r="X226">
        <f>HYPERLINK("https://klasma.github.io/Logging_2482/tillsyn/A 46103-2025 tillsynsbegäran.docx", "A 46103-2025")</f>
        <v/>
      </c>
      <c r="Y226">
        <f>HYPERLINK("https://klasma.github.io/Logging_2482/tillsynsmail/A 46103-2025 tillsynsbegäran mail.docx", "A 46103-2025")</f>
        <v/>
      </c>
      <c r="Z226">
        <f>HYPERLINK("https://klasma.github.io/Logging_2482/fåglar/A 46103-2025 prioriterade fågelarter.docx", "A 46103-2025")</f>
        <v/>
      </c>
    </row>
    <row r="227" ht="15" customHeight="1">
      <c r="A227" t="inlineStr">
        <is>
          <t>A 2196-2021</t>
        </is>
      </c>
      <c r="B227" s="1" t="n">
        <v>44211</v>
      </c>
      <c r="C227" s="1" t="n">
        <v>45971</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45971</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45971</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45971</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48272-2024</t>
        </is>
      </c>
      <c r="B231" s="1" t="n">
        <v>45590</v>
      </c>
      <c r="C231" s="1" t="n">
        <v>45971</v>
      </c>
      <c r="D231" t="inlineStr">
        <is>
          <t>VÄSTERBOTTENS LÄN</t>
        </is>
      </c>
      <c r="E231" t="inlineStr">
        <is>
          <t>SKELLEFTEÅ</t>
        </is>
      </c>
      <c r="G231" t="n">
        <v>12.5</v>
      </c>
      <c r="H231" t="n">
        <v>1</v>
      </c>
      <c r="I231" t="n">
        <v>0</v>
      </c>
      <c r="J231" t="n">
        <v>7</v>
      </c>
      <c r="K231" t="n">
        <v>1</v>
      </c>
      <c r="L231" t="n">
        <v>0</v>
      </c>
      <c r="M231" t="n">
        <v>0</v>
      </c>
      <c r="N231" t="n">
        <v>0</v>
      </c>
      <c r="O231" t="n">
        <v>8</v>
      </c>
      <c r="P231" t="n">
        <v>1</v>
      </c>
      <c r="Q231" t="n">
        <v>8</v>
      </c>
      <c r="R231" s="2" t="inlineStr">
        <is>
          <t>Vågticka
Granticka
Harticka
Rosenticka
Stjärntagging
Tretåig hackspett
Ullticka
Violettgrå tagellav</t>
        </is>
      </c>
      <c r="S231">
        <f>HYPERLINK("https://klasma.github.io/Logging_2482/artfynd/A 48272-2024 artfynd.xlsx", "A 48272-2024")</f>
        <v/>
      </c>
      <c r="T231">
        <f>HYPERLINK("https://klasma.github.io/Logging_2482/kartor/A 48272-2024 karta.png", "A 48272-2024")</f>
        <v/>
      </c>
      <c r="V231">
        <f>HYPERLINK("https://klasma.github.io/Logging_2482/klagomål/A 48272-2024 FSC-klagomål.docx", "A 48272-2024")</f>
        <v/>
      </c>
      <c r="W231">
        <f>HYPERLINK("https://klasma.github.io/Logging_2482/klagomålsmail/A 48272-2024 FSC-klagomål mail.docx", "A 48272-2024")</f>
        <v/>
      </c>
      <c r="X231">
        <f>HYPERLINK("https://klasma.github.io/Logging_2482/tillsyn/A 48272-2024 tillsynsbegäran.docx", "A 48272-2024")</f>
        <v/>
      </c>
      <c r="Y231">
        <f>HYPERLINK("https://klasma.github.io/Logging_2482/tillsynsmail/A 48272-2024 tillsynsbegäran mail.docx", "A 48272-2024")</f>
        <v/>
      </c>
      <c r="Z231">
        <f>HYPERLINK("https://klasma.github.io/Logging_2482/fåglar/A 48272-2024 prioriterade fågelarter.docx", "A 48272-2024")</f>
        <v/>
      </c>
    </row>
    <row r="232" ht="15" customHeight="1">
      <c r="A232" t="inlineStr">
        <is>
          <t>A 24051-2021</t>
        </is>
      </c>
      <c r="B232" s="1" t="n">
        <v>44335</v>
      </c>
      <c r="C232" s="1" t="n">
        <v>45971</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54406-2021</t>
        </is>
      </c>
      <c r="B233" s="1" t="n">
        <v>44473.40152777778</v>
      </c>
      <c r="C233" s="1" t="n">
        <v>45971</v>
      </c>
      <c r="D233" t="inlineStr">
        <is>
          <t>VÄSTERBOTTENS LÄN</t>
        </is>
      </c>
      <c r="E233" t="inlineStr">
        <is>
          <t>ROBERTSFORS</t>
        </is>
      </c>
      <c r="G233" t="n">
        <v>3.1</v>
      </c>
      <c r="H233" t="n">
        <v>2</v>
      </c>
      <c r="I233" t="n">
        <v>3</v>
      </c>
      <c r="J233" t="n">
        <v>5</v>
      </c>
      <c r="K233" t="n">
        <v>0</v>
      </c>
      <c r="L233" t="n">
        <v>0</v>
      </c>
      <c r="M233" t="n">
        <v>0</v>
      </c>
      <c r="N233" t="n">
        <v>0</v>
      </c>
      <c r="O233" t="n">
        <v>5</v>
      </c>
      <c r="P233" t="n">
        <v>0</v>
      </c>
      <c r="Q233" t="n">
        <v>8</v>
      </c>
      <c r="R233" s="2" t="inlineStr">
        <is>
          <t>Gammelgransskål
Spillkråka
Tretåig hackspett
Ullticka
Violettgrå tagellav
Dropptaggsvamp
Skinnlav
Vedticka</t>
        </is>
      </c>
      <c r="S233">
        <f>HYPERLINK("https://klasma.github.io/Logging_2409/artfynd/A 54406-2021 artfynd.xlsx", "A 54406-2021")</f>
        <v/>
      </c>
      <c r="T233">
        <f>HYPERLINK("https://klasma.github.io/Logging_2409/kartor/A 54406-2021 karta.png", "A 54406-2021")</f>
        <v/>
      </c>
      <c r="V233">
        <f>HYPERLINK("https://klasma.github.io/Logging_2409/klagomål/A 54406-2021 FSC-klagomål.docx", "A 54406-2021")</f>
        <v/>
      </c>
      <c r="W233">
        <f>HYPERLINK("https://klasma.github.io/Logging_2409/klagomålsmail/A 54406-2021 FSC-klagomål mail.docx", "A 54406-2021")</f>
        <v/>
      </c>
      <c r="X233">
        <f>HYPERLINK("https://klasma.github.io/Logging_2409/tillsyn/A 54406-2021 tillsynsbegäran.docx", "A 54406-2021")</f>
        <v/>
      </c>
      <c r="Y233">
        <f>HYPERLINK("https://klasma.github.io/Logging_2409/tillsynsmail/A 54406-2021 tillsynsbegäran mail.docx", "A 54406-2021")</f>
        <v/>
      </c>
      <c r="Z233">
        <f>HYPERLINK("https://klasma.github.io/Logging_2409/fåglar/A 54406-2021 prioriterade fågelarter.docx", "A 54406-2021")</f>
        <v/>
      </c>
    </row>
    <row r="234" ht="15" customHeight="1">
      <c r="A234" t="inlineStr">
        <is>
          <t>A 14927-2023</t>
        </is>
      </c>
      <c r="B234" s="1" t="n">
        <v>45014</v>
      </c>
      <c r="C234" s="1" t="n">
        <v>45971</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12366-2025</t>
        </is>
      </c>
      <c r="B235" s="1" t="n">
        <v>45730.37579861111</v>
      </c>
      <c r="C235" s="1" t="n">
        <v>45971</v>
      </c>
      <c r="D235" t="inlineStr">
        <is>
          <t>VÄSTERBOTTENS LÄN</t>
        </is>
      </c>
      <c r="E235" t="inlineStr">
        <is>
          <t>DOROTEA</t>
        </is>
      </c>
      <c r="F235" t="inlineStr">
        <is>
          <t>Övriga statliga verk och myndigheter</t>
        </is>
      </c>
      <c r="G235" t="n">
        <v>15.6</v>
      </c>
      <c r="H235" t="n">
        <v>1</v>
      </c>
      <c r="I235" t="n">
        <v>3</v>
      </c>
      <c r="J235" t="n">
        <v>5</v>
      </c>
      <c r="K235" t="n">
        <v>0</v>
      </c>
      <c r="L235" t="n">
        <v>0</v>
      </c>
      <c r="M235" t="n">
        <v>0</v>
      </c>
      <c r="N235" t="n">
        <v>0</v>
      </c>
      <c r="O235" t="n">
        <v>5</v>
      </c>
      <c r="P235" t="n">
        <v>0</v>
      </c>
      <c r="Q235" t="n">
        <v>8</v>
      </c>
      <c r="R235" s="2" t="inlineStr">
        <is>
          <t>Garnlav
Granticka
Lunglav
Skrovellav
Tretåig hackspett
Bårdlav
Korallblylav
Luddlav</t>
        </is>
      </c>
      <c r="S235">
        <f>HYPERLINK("https://klasma.github.io/Logging_2425/artfynd/A 12366-2025 artfynd.xlsx", "A 12366-2025")</f>
        <v/>
      </c>
      <c r="T235">
        <f>HYPERLINK("https://klasma.github.io/Logging_2425/kartor/A 12366-2025 karta.png", "A 12366-2025")</f>
        <v/>
      </c>
      <c r="V235">
        <f>HYPERLINK("https://klasma.github.io/Logging_2425/klagomål/A 12366-2025 FSC-klagomål.docx", "A 12366-2025")</f>
        <v/>
      </c>
      <c r="W235">
        <f>HYPERLINK("https://klasma.github.io/Logging_2425/klagomålsmail/A 12366-2025 FSC-klagomål mail.docx", "A 12366-2025")</f>
        <v/>
      </c>
      <c r="X235">
        <f>HYPERLINK("https://klasma.github.io/Logging_2425/tillsyn/A 12366-2025 tillsynsbegäran.docx", "A 12366-2025")</f>
        <v/>
      </c>
      <c r="Y235">
        <f>HYPERLINK("https://klasma.github.io/Logging_2425/tillsynsmail/A 12366-2025 tillsynsbegäran mail.docx", "A 12366-2025")</f>
        <v/>
      </c>
      <c r="Z235">
        <f>HYPERLINK("https://klasma.github.io/Logging_2425/fåglar/A 12366-2025 prioriterade fågelarter.docx", "A 12366-2025")</f>
        <v/>
      </c>
    </row>
    <row r="236" ht="15" customHeight="1">
      <c r="A236" t="inlineStr">
        <is>
          <t>A 15738-2023</t>
        </is>
      </c>
      <c r="B236" s="1" t="n">
        <v>45020</v>
      </c>
      <c r="C236" s="1" t="n">
        <v>45971</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26191-2022</t>
        </is>
      </c>
      <c r="B237" s="1" t="n">
        <v>44735</v>
      </c>
      <c r="C237" s="1" t="n">
        <v>45971</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12017-2023</t>
        </is>
      </c>
      <c r="B238" s="1" t="n">
        <v>44995.64068287037</v>
      </c>
      <c r="C238" s="1" t="n">
        <v>45971</v>
      </c>
      <c r="D238" t="inlineStr">
        <is>
          <t>VÄSTERBOTTENS LÄN</t>
        </is>
      </c>
      <c r="E238" t="inlineStr">
        <is>
          <t>SKELLEFTEÅ</t>
        </is>
      </c>
      <c r="F238" t="inlineStr">
        <is>
          <t>Sveaskog</t>
        </is>
      </c>
      <c r="G238" t="n">
        <v>6.8</v>
      </c>
      <c r="H238" t="n">
        <v>2</v>
      </c>
      <c r="I238" t="n">
        <v>4</v>
      </c>
      <c r="J238" t="n">
        <v>4</v>
      </c>
      <c r="K238" t="n">
        <v>0</v>
      </c>
      <c r="L238" t="n">
        <v>0</v>
      </c>
      <c r="M238" t="n">
        <v>0</v>
      </c>
      <c r="N238" t="n">
        <v>0</v>
      </c>
      <c r="O238" t="n">
        <v>4</v>
      </c>
      <c r="P238" t="n">
        <v>0</v>
      </c>
      <c r="Q238" t="n">
        <v>8</v>
      </c>
      <c r="R238" s="2" t="inlineStr">
        <is>
          <t>Garnlav
Kolflarnlav
Lunglav
Violettgrå tagellav
Dropptaggsvamp
Luddlav
Plattlummer
Spindelblomster</t>
        </is>
      </c>
      <c r="S238">
        <f>HYPERLINK("https://klasma.github.io/Logging_2482/artfynd/A 12017-2023 artfynd.xlsx", "A 12017-2023")</f>
        <v/>
      </c>
      <c r="T238">
        <f>HYPERLINK("https://klasma.github.io/Logging_2482/kartor/A 12017-2023 karta.png", "A 12017-2023")</f>
        <v/>
      </c>
      <c r="V238">
        <f>HYPERLINK("https://klasma.github.io/Logging_2482/klagomål/A 12017-2023 FSC-klagomål.docx", "A 12017-2023")</f>
        <v/>
      </c>
      <c r="W238">
        <f>HYPERLINK("https://klasma.github.io/Logging_2482/klagomålsmail/A 12017-2023 FSC-klagomål mail.docx", "A 12017-2023")</f>
        <v/>
      </c>
      <c r="X238">
        <f>HYPERLINK("https://klasma.github.io/Logging_2482/tillsyn/A 12017-2023 tillsynsbegäran.docx", "A 12017-2023")</f>
        <v/>
      </c>
      <c r="Y238">
        <f>HYPERLINK("https://klasma.github.io/Logging_2482/tillsynsmail/A 12017-2023 tillsynsbegäran mail.docx", "A 12017-2023")</f>
        <v/>
      </c>
    </row>
    <row r="239" ht="15" customHeight="1">
      <c r="A239" t="inlineStr">
        <is>
          <t>A 28001-2023</t>
        </is>
      </c>
      <c r="B239" s="1" t="n">
        <v>45098</v>
      </c>
      <c r="C239" s="1" t="n">
        <v>45971</v>
      </c>
      <c r="D239" t="inlineStr">
        <is>
          <t>VÄSTERBOTTENS LÄN</t>
        </is>
      </c>
      <c r="E239" t="inlineStr">
        <is>
          <t>STORUMAN</t>
        </is>
      </c>
      <c r="G239" t="n">
        <v>14.2</v>
      </c>
      <c r="H239" t="n">
        <v>1</v>
      </c>
      <c r="I239" t="n">
        <v>1</v>
      </c>
      <c r="J239" t="n">
        <v>7</v>
      </c>
      <c r="K239" t="n">
        <v>0</v>
      </c>
      <c r="L239" t="n">
        <v>0</v>
      </c>
      <c r="M239" t="n">
        <v>0</v>
      </c>
      <c r="N239" t="n">
        <v>0</v>
      </c>
      <c r="O239" t="n">
        <v>7</v>
      </c>
      <c r="P239" t="n">
        <v>0</v>
      </c>
      <c r="Q239" t="n">
        <v>8</v>
      </c>
      <c r="R239" s="2" t="inlineStr">
        <is>
          <t>Blå taggsvamp
Doftskinn
Garnlav
Mörk kolflarnlav
Skrovlig taggsvamp
Spillkråka
Ullticka
Dropptaggsvamp</t>
        </is>
      </c>
      <c r="S239">
        <f>HYPERLINK("https://klasma.github.io/Logging_2421/artfynd/A 28001-2023 artfynd.xlsx", "A 28001-2023")</f>
        <v/>
      </c>
      <c r="T239">
        <f>HYPERLINK("https://klasma.github.io/Logging_2421/kartor/A 28001-2023 karta.png", "A 28001-2023")</f>
        <v/>
      </c>
      <c r="V239">
        <f>HYPERLINK("https://klasma.github.io/Logging_2421/klagomål/A 28001-2023 FSC-klagomål.docx", "A 28001-2023")</f>
        <v/>
      </c>
      <c r="W239">
        <f>HYPERLINK("https://klasma.github.io/Logging_2421/klagomålsmail/A 28001-2023 FSC-klagomål mail.docx", "A 28001-2023")</f>
        <v/>
      </c>
      <c r="X239">
        <f>HYPERLINK("https://klasma.github.io/Logging_2421/tillsyn/A 28001-2023 tillsynsbegäran.docx", "A 28001-2023")</f>
        <v/>
      </c>
      <c r="Y239">
        <f>HYPERLINK("https://klasma.github.io/Logging_2421/tillsynsmail/A 28001-2023 tillsynsbegäran mail.docx", "A 28001-2023")</f>
        <v/>
      </c>
      <c r="Z239">
        <f>HYPERLINK("https://klasma.github.io/Logging_2421/fåglar/A 28001-2023 prioriterade fågelarter.docx", "A 28001-2023")</f>
        <v/>
      </c>
    </row>
    <row r="240" ht="15" customHeight="1">
      <c r="A240" t="inlineStr">
        <is>
          <t>A 36220-2023</t>
        </is>
      </c>
      <c r="B240" s="1" t="n">
        <v>45149</v>
      </c>
      <c r="C240" s="1" t="n">
        <v>45971</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40423-2025</t>
        </is>
      </c>
      <c r="B241" s="1" t="n">
        <v>45895.58626157408</v>
      </c>
      <c r="C241" s="1" t="n">
        <v>45971</v>
      </c>
      <c r="D241" t="inlineStr">
        <is>
          <t>VÄSTERBOTTENS LÄN</t>
        </is>
      </c>
      <c r="E241" t="inlineStr">
        <is>
          <t>NORSJÖ</t>
        </is>
      </c>
      <c r="F241" t="inlineStr">
        <is>
          <t>Holmen skog AB</t>
        </is>
      </c>
      <c r="G241" t="n">
        <v>20.7</v>
      </c>
      <c r="H241" t="n">
        <v>3</v>
      </c>
      <c r="I241" t="n">
        <v>2</v>
      </c>
      <c r="J241" t="n">
        <v>5</v>
      </c>
      <c r="K241" t="n">
        <v>1</v>
      </c>
      <c r="L241" t="n">
        <v>0</v>
      </c>
      <c r="M241" t="n">
        <v>0</v>
      </c>
      <c r="N241" t="n">
        <v>0</v>
      </c>
      <c r="O241" t="n">
        <v>6</v>
      </c>
      <c r="P241" t="n">
        <v>1</v>
      </c>
      <c r="Q241" t="n">
        <v>8</v>
      </c>
      <c r="R241" s="2" t="inlineStr">
        <is>
          <t>Knärot
Garnlav
Granticka
Lunglav
Talltita
Ullticka
Spindelblomster
Stuplav</t>
        </is>
      </c>
      <c r="S241">
        <f>HYPERLINK("https://klasma.github.io/Logging_2417/artfynd/A 40423-2025 artfynd.xlsx", "A 40423-2025")</f>
        <v/>
      </c>
      <c r="T241">
        <f>HYPERLINK("https://klasma.github.io/Logging_2417/kartor/A 40423-2025 karta.png", "A 40423-2025")</f>
        <v/>
      </c>
      <c r="U241">
        <f>HYPERLINK("https://klasma.github.io/Logging_2417/knärot/A 40423-2025 karta knärot.png", "A 40423-2025")</f>
        <v/>
      </c>
      <c r="V241">
        <f>HYPERLINK("https://klasma.github.io/Logging_2417/klagomål/A 40423-2025 FSC-klagomål.docx", "A 40423-2025")</f>
        <v/>
      </c>
      <c r="W241">
        <f>HYPERLINK("https://klasma.github.io/Logging_2417/klagomålsmail/A 40423-2025 FSC-klagomål mail.docx", "A 40423-2025")</f>
        <v/>
      </c>
      <c r="X241">
        <f>HYPERLINK("https://klasma.github.io/Logging_2417/tillsyn/A 40423-2025 tillsynsbegäran.docx", "A 40423-2025")</f>
        <v/>
      </c>
      <c r="Y241">
        <f>HYPERLINK("https://klasma.github.io/Logging_2417/tillsynsmail/A 40423-2025 tillsynsbegäran mail.docx", "A 40423-2025")</f>
        <v/>
      </c>
      <c r="Z241">
        <f>HYPERLINK("https://klasma.github.io/Logging_2417/fåglar/A 40423-2025 prioriterade fågelarter.docx", "A 40423-2025")</f>
        <v/>
      </c>
    </row>
    <row r="242" ht="15" customHeight="1">
      <c r="A242" t="inlineStr">
        <is>
          <t>A 49216-2025</t>
        </is>
      </c>
      <c r="B242" s="1" t="n">
        <v>45938.44971064815</v>
      </c>
      <c r="C242" s="1" t="n">
        <v>45971</v>
      </c>
      <c r="D242" t="inlineStr">
        <is>
          <t>VÄSTERBOTTENS LÄN</t>
        </is>
      </c>
      <c r="E242" t="inlineStr">
        <is>
          <t>SKELLEFTEÅ</t>
        </is>
      </c>
      <c r="F242" t="inlineStr">
        <is>
          <t>Holmen skog AB</t>
        </is>
      </c>
      <c r="G242" t="n">
        <v>12.7</v>
      </c>
      <c r="H242" t="n">
        <v>3</v>
      </c>
      <c r="I242" t="n">
        <v>3</v>
      </c>
      <c r="J242" t="n">
        <v>5</v>
      </c>
      <c r="K242" t="n">
        <v>0</v>
      </c>
      <c r="L242" t="n">
        <v>0</v>
      </c>
      <c r="M242" t="n">
        <v>0</v>
      </c>
      <c r="N242" t="n">
        <v>0</v>
      </c>
      <c r="O242" t="n">
        <v>5</v>
      </c>
      <c r="P242" t="n">
        <v>0</v>
      </c>
      <c r="Q242" t="n">
        <v>8</v>
      </c>
      <c r="R242" s="2" t="inlineStr">
        <is>
          <t>Garnlav
Granticka
Lunglav
Talltita
Tretåig hackspett
Bårdlav
Dropptaggsvamp
Plattlummer</t>
        </is>
      </c>
      <c r="S242">
        <f>HYPERLINK("https://klasma.github.io/Logging_2482/artfynd/A 49216-2025 artfynd.xlsx", "A 49216-2025")</f>
        <v/>
      </c>
      <c r="T242">
        <f>HYPERLINK("https://klasma.github.io/Logging_2482/kartor/A 49216-2025 karta.png", "A 49216-2025")</f>
        <v/>
      </c>
      <c r="V242">
        <f>HYPERLINK("https://klasma.github.io/Logging_2482/klagomål/A 49216-2025 FSC-klagomål.docx", "A 49216-2025")</f>
        <v/>
      </c>
      <c r="W242">
        <f>HYPERLINK("https://klasma.github.io/Logging_2482/klagomålsmail/A 49216-2025 FSC-klagomål mail.docx", "A 49216-2025")</f>
        <v/>
      </c>
      <c r="X242">
        <f>HYPERLINK("https://klasma.github.io/Logging_2482/tillsyn/A 49216-2025 tillsynsbegäran.docx", "A 49216-2025")</f>
        <v/>
      </c>
      <c r="Y242">
        <f>HYPERLINK("https://klasma.github.io/Logging_2482/tillsynsmail/A 49216-2025 tillsynsbegäran mail.docx", "A 49216-2025")</f>
        <v/>
      </c>
      <c r="Z242">
        <f>HYPERLINK("https://klasma.github.io/Logging_2482/fåglar/A 49216-2025 prioriterade fågelarter.docx", "A 49216-2025")</f>
        <v/>
      </c>
    </row>
    <row r="243" ht="15" customHeight="1">
      <c r="A243" t="inlineStr">
        <is>
          <t>A 49036-2024</t>
        </is>
      </c>
      <c r="B243" s="1" t="n">
        <v>45594</v>
      </c>
      <c r="C243" s="1" t="n">
        <v>45971</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2110-2025</t>
        </is>
      </c>
      <c r="B244" s="1" t="n">
        <v>45672</v>
      </c>
      <c r="C244" s="1" t="n">
        <v>45971</v>
      </c>
      <c r="D244" t="inlineStr">
        <is>
          <t>VÄSTERBOTTENS LÄN</t>
        </is>
      </c>
      <c r="E244" t="inlineStr">
        <is>
          <t>LYCKSELE</t>
        </is>
      </c>
      <c r="G244" t="n">
        <v>11.6</v>
      </c>
      <c r="H244" t="n">
        <v>0</v>
      </c>
      <c r="I244" t="n">
        <v>1</v>
      </c>
      <c r="J244" t="n">
        <v>7</v>
      </c>
      <c r="K244" t="n">
        <v>0</v>
      </c>
      <c r="L244" t="n">
        <v>0</v>
      </c>
      <c r="M244" t="n">
        <v>0</v>
      </c>
      <c r="N244" t="n">
        <v>0</v>
      </c>
      <c r="O244" t="n">
        <v>7</v>
      </c>
      <c r="P244" t="n">
        <v>0</v>
      </c>
      <c r="Q244" t="n">
        <v>8</v>
      </c>
      <c r="R244" s="2" t="inlineStr">
        <is>
          <t>Brunpudrad nållav
Gammelgransskål
Garnlav
Granticka
Knottrig blåslav
Lunglav
Rödbrun blekspik
Trådticka</t>
        </is>
      </c>
      <c r="S244">
        <f>HYPERLINK("https://klasma.github.io/Logging_2481/artfynd/A 2110-2025 artfynd.xlsx", "A 2110-2025")</f>
        <v/>
      </c>
      <c r="T244">
        <f>HYPERLINK("https://klasma.github.io/Logging_2481/kartor/A 2110-2025 karta.png", "A 2110-2025")</f>
        <v/>
      </c>
      <c r="V244">
        <f>HYPERLINK("https://klasma.github.io/Logging_2481/klagomål/A 2110-2025 FSC-klagomål.docx", "A 2110-2025")</f>
        <v/>
      </c>
      <c r="W244">
        <f>HYPERLINK("https://klasma.github.io/Logging_2481/klagomålsmail/A 2110-2025 FSC-klagomål mail.docx", "A 2110-2025")</f>
        <v/>
      </c>
      <c r="X244">
        <f>HYPERLINK("https://klasma.github.io/Logging_2481/tillsyn/A 2110-2025 tillsynsbegäran.docx", "A 2110-2025")</f>
        <v/>
      </c>
      <c r="Y244">
        <f>HYPERLINK("https://klasma.github.io/Logging_2481/tillsynsmail/A 2110-2025 tillsynsbegäran mail.docx", "A 2110-2025")</f>
        <v/>
      </c>
    </row>
    <row r="245" ht="15" customHeight="1">
      <c r="A245" t="inlineStr">
        <is>
          <t>A 28799-2024</t>
        </is>
      </c>
      <c r="B245" s="1" t="n">
        <v>45478</v>
      </c>
      <c r="C245" s="1" t="n">
        <v>45971</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56632-2024</t>
        </is>
      </c>
      <c r="B246" s="1" t="n">
        <v>45625</v>
      </c>
      <c r="C246" s="1" t="n">
        <v>45971</v>
      </c>
      <c r="D246" t="inlineStr">
        <is>
          <t>VÄSTERBOTTENS LÄN</t>
        </is>
      </c>
      <c r="E246" t="inlineStr">
        <is>
          <t>VILHELMINA</t>
        </is>
      </c>
      <c r="F246" t="inlineStr">
        <is>
          <t>Allmännings- och besparingsskogar</t>
        </is>
      </c>
      <c r="G246" t="n">
        <v>36.4</v>
      </c>
      <c r="H246" t="n">
        <v>1</v>
      </c>
      <c r="I246" t="n">
        <v>3</v>
      </c>
      <c r="J246" t="n">
        <v>5</v>
      </c>
      <c r="K246" t="n">
        <v>0</v>
      </c>
      <c r="L246" t="n">
        <v>0</v>
      </c>
      <c r="M246" t="n">
        <v>0</v>
      </c>
      <c r="N246" t="n">
        <v>0</v>
      </c>
      <c r="O246" t="n">
        <v>5</v>
      </c>
      <c r="P246" t="n">
        <v>0</v>
      </c>
      <c r="Q246" t="n">
        <v>8</v>
      </c>
      <c r="R246" s="2" t="inlineStr">
        <is>
          <t>Garnlav
Granticka
Harticka
Tretåig hackspett
Vitgrynig nållav
Gulnål
Mörk husmossa
Stuplav</t>
        </is>
      </c>
      <c r="S246">
        <f>HYPERLINK("https://klasma.github.io/Logging_2462/artfynd/A 56632-2024 artfynd.xlsx", "A 56632-2024")</f>
        <v/>
      </c>
      <c r="T246">
        <f>HYPERLINK("https://klasma.github.io/Logging_2462/kartor/A 56632-2024 karta.png", "A 56632-2024")</f>
        <v/>
      </c>
      <c r="V246">
        <f>HYPERLINK("https://klasma.github.io/Logging_2462/klagomål/A 56632-2024 FSC-klagomål.docx", "A 56632-2024")</f>
        <v/>
      </c>
      <c r="W246">
        <f>HYPERLINK("https://klasma.github.io/Logging_2462/klagomålsmail/A 56632-2024 FSC-klagomål mail.docx", "A 56632-2024")</f>
        <v/>
      </c>
      <c r="X246">
        <f>HYPERLINK("https://klasma.github.io/Logging_2462/tillsyn/A 56632-2024 tillsynsbegäran.docx", "A 56632-2024")</f>
        <v/>
      </c>
      <c r="Y246">
        <f>HYPERLINK("https://klasma.github.io/Logging_2462/tillsynsmail/A 56632-2024 tillsynsbegäran mail.docx", "A 56632-2024")</f>
        <v/>
      </c>
      <c r="Z246">
        <f>HYPERLINK("https://klasma.github.io/Logging_2462/fåglar/A 56632-2024 prioriterade fågelarter.docx", "A 56632-2024")</f>
        <v/>
      </c>
    </row>
    <row r="247" ht="15" customHeight="1">
      <c r="A247" t="inlineStr">
        <is>
          <t>A 30810-2024</t>
        </is>
      </c>
      <c r="B247" s="1" t="n">
        <v>45497</v>
      </c>
      <c r="C247" s="1" t="n">
        <v>45971</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26112-2025</t>
        </is>
      </c>
      <c r="B248" s="1" t="n">
        <v>45805.36883101852</v>
      </c>
      <c r="C248" s="1" t="n">
        <v>45971</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26792-2025</t>
        </is>
      </c>
      <c r="B249" s="1" t="n">
        <v>45810</v>
      </c>
      <c r="C249" s="1" t="n">
        <v>45971</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302-2025</t>
        </is>
      </c>
      <c r="B250" s="1" t="n">
        <v>45656</v>
      </c>
      <c r="C250" s="1" t="n">
        <v>45971</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1324-2025</t>
        </is>
      </c>
      <c r="B251" s="1" t="n">
        <v>45667</v>
      </c>
      <c r="C251" s="1" t="n">
        <v>45971</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30345-2024</t>
        </is>
      </c>
      <c r="B252" s="1" t="n">
        <v>45490</v>
      </c>
      <c r="C252" s="1" t="n">
        <v>45971</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47252-2024</t>
        </is>
      </c>
      <c r="B253" s="1" t="n">
        <v>45586</v>
      </c>
      <c r="C253" s="1" t="n">
        <v>45971</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33322-2025</t>
        </is>
      </c>
      <c r="B254" s="1" t="n">
        <v>45841.3452662037</v>
      </c>
      <c r="C254" s="1" t="n">
        <v>45971</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36650-2023</t>
        </is>
      </c>
      <c r="B255" s="1" t="n">
        <v>45152</v>
      </c>
      <c r="C255" s="1" t="n">
        <v>45971</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35262-2025</t>
        </is>
      </c>
      <c r="B256" s="1" t="n">
        <v>45853.78947916667</v>
      </c>
      <c r="C256" s="1" t="n">
        <v>45971</v>
      </c>
      <c r="D256" t="inlineStr">
        <is>
          <t>VÄSTERBOTTENS LÄN</t>
        </is>
      </c>
      <c r="E256" t="inlineStr">
        <is>
          <t>NORSJÖ</t>
        </is>
      </c>
      <c r="F256" t="inlineStr">
        <is>
          <t>Sveaskog</t>
        </is>
      </c>
      <c r="G256" t="n">
        <v>9.199999999999999</v>
      </c>
      <c r="H256" t="n">
        <v>3</v>
      </c>
      <c r="I256" t="n">
        <v>3</v>
      </c>
      <c r="J256" t="n">
        <v>3</v>
      </c>
      <c r="K256" t="n">
        <v>1</v>
      </c>
      <c r="L256" t="n">
        <v>0</v>
      </c>
      <c r="M256" t="n">
        <v>0</v>
      </c>
      <c r="N256" t="n">
        <v>0</v>
      </c>
      <c r="O256" t="n">
        <v>4</v>
      </c>
      <c r="P256" t="n">
        <v>1</v>
      </c>
      <c r="Q256" t="n">
        <v>8</v>
      </c>
      <c r="R256" s="2" t="inlineStr">
        <is>
          <t>Knärot
Garnlav
Lunglav
Tretåig hackspett
Grönpyrola
Stuplav
Ögonpyrola
Fläcknycklar</t>
        </is>
      </c>
      <c r="S256">
        <f>HYPERLINK("https://klasma.github.io/Logging_2417/artfynd/A 35262-2025 artfynd.xlsx", "A 35262-2025")</f>
        <v/>
      </c>
      <c r="T256">
        <f>HYPERLINK("https://klasma.github.io/Logging_2417/kartor/A 35262-2025 karta.png", "A 35262-2025")</f>
        <v/>
      </c>
      <c r="U256">
        <f>HYPERLINK("https://klasma.github.io/Logging_2417/knärot/A 35262-2025 karta knärot.png", "A 35262-2025")</f>
        <v/>
      </c>
      <c r="V256">
        <f>HYPERLINK("https://klasma.github.io/Logging_2417/klagomål/A 35262-2025 FSC-klagomål.docx", "A 35262-2025")</f>
        <v/>
      </c>
      <c r="W256">
        <f>HYPERLINK("https://klasma.github.io/Logging_2417/klagomålsmail/A 35262-2025 FSC-klagomål mail.docx", "A 35262-2025")</f>
        <v/>
      </c>
      <c r="X256">
        <f>HYPERLINK("https://klasma.github.io/Logging_2417/tillsyn/A 35262-2025 tillsynsbegäran.docx", "A 35262-2025")</f>
        <v/>
      </c>
      <c r="Y256">
        <f>HYPERLINK("https://klasma.github.io/Logging_2417/tillsynsmail/A 35262-2025 tillsynsbegäran mail.docx", "A 35262-2025")</f>
        <v/>
      </c>
      <c r="Z256">
        <f>HYPERLINK("https://klasma.github.io/Logging_2417/fåglar/A 35262-2025 prioriterade fågelarter.docx", "A 35262-2025")</f>
        <v/>
      </c>
    </row>
    <row r="257" ht="15" customHeight="1">
      <c r="A257" t="inlineStr">
        <is>
          <t>A 913-2023</t>
        </is>
      </c>
      <c r="B257" s="1" t="n">
        <v>44931</v>
      </c>
      <c r="C257" s="1" t="n">
        <v>45971</v>
      </c>
      <c r="D257" t="inlineStr">
        <is>
          <t>VÄSTERBOTTENS LÄN</t>
        </is>
      </c>
      <c r="E257" t="inlineStr">
        <is>
          <t>SKELLEFTEÅ</t>
        </is>
      </c>
      <c r="G257" t="n">
        <v>8</v>
      </c>
      <c r="H257" t="n">
        <v>1</v>
      </c>
      <c r="I257" t="n">
        <v>2</v>
      </c>
      <c r="J257" t="n">
        <v>4</v>
      </c>
      <c r="K257" t="n">
        <v>1</v>
      </c>
      <c r="L257" t="n">
        <v>0</v>
      </c>
      <c r="M257" t="n">
        <v>0</v>
      </c>
      <c r="N257" t="n">
        <v>0</v>
      </c>
      <c r="O257" t="n">
        <v>5</v>
      </c>
      <c r="P257" t="n">
        <v>1</v>
      </c>
      <c r="Q257" t="n">
        <v>8</v>
      </c>
      <c r="R257" s="2" t="inlineStr">
        <is>
          <t>Ulltickeporing
Garnlav
Lunglav
Ullticka
Violettgrå tagellav
Stuplav
Vedticka
Lavskrika</t>
        </is>
      </c>
      <c r="S257">
        <f>HYPERLINK("https://klasma.github.io/Logging_2482/artfynd/A 913-2023 artfynd.xlsx", "A 913-2023")</f>
        <v/>
      </c>
      <c r="T257">
        <f>HYPERLINK("https://klasma.github.io/Logging_2482/kartor/A 913-2023 karta.png", "A 913-2023")</f>
        <v/>
      </c>
      <c r="V257">
        <f>HYPERLINK("https://klasma.github.io/Logging_2482/klagomål/A 913-2023 FSC-klagomål.docx", "A 913-2023")</f>
        <v/>
      </c>
      <c r="W257">
        <f>HYPERLINK("https://klasma.github.io/Logging_2482/klagomålsmail/A 913-2023 FSC-klagomål mail.docx", "A 913-2023")</f>
        <v/>
      </c>
      <c r="X257">
        <f>HYPERLINK("https://klasma.github.io/Logging_2482/tillsyn/A 913-2023 tillsynsbegäran.docx", "A 913-2023")</f>
        <v/>
      </c>
      <c r="Y257">
        <f>HYPERLINK("https://klasma.github.io/Logging_2482/tillsynsmail/A 913-2023 tillsynsbegäran mail.docx", "A 913-2023")</f>
        <v/>
      </c>
      <c r="Z257">
        <f>HYPERLINK("https://klasma.github.io/Logging_2482/fåglar/A 913-2023 prioriterade fågelarter.docx", "A 913-2023")</f>
        <v/>
      </c>
    </row>
    <row r="258" ht="15" customHeight="1">
      <c r="A258" t="inlineStr">
        <is>
          <t>A 57580-2024</t>
        </is>
      </c>
      <c r="B258" s="1" t="n">
        <v>45630</v>
      </c>
      <c r="C258" s="1" t="n">
        <v>45971</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36342-2021</t>
        </is>
      </c>
      <c r="B259" s="1" t="n">
        <v>44390.52939814814</v>
      </c>
      <c r="C259" s="1" t="n">
        <v>45971</v>
      </c>
      <c r="D259" t="inlineStr">
        <is>
          <t>VÄSTERBOTTENS LÄN</t>
        </is>
      </c>
      <c r="E259" t="inlineStr">
        <is>
          <t>VÄNNÄS</t>
        </is>
      </c>
      <c r="F259" t="inlineStr">
        <is>
          <t>Övriga Aktiebolag</t>
        </is>
      </c>
      <c r="G259" t="n">
        <v>10.6</v>
      </c>
      <c r="H259" t="n">
        <v>3</v>
      </c>
      <c r="I259" t="n">
        <v>1</v>
      </c>
      <c r="J259" t="n">
        <v>6</v>
      </c>
      <c r="K259" t="n">
        <v>1</v>
      </c>
      <c r="L259" t="n">
        <v>0</v>
      </c>
      <c r="M259" t="n">
        <v>0</v>
      </c>
      <c r="N259" t="n">
        <v>0</v>
      </c>
      <c r="O259" t="n">
        <v>7</v>
      </c>
      <c r="P259" t="n">
        <v>1</v>
      </c>
      <c r="Q259" t="n">
        <v>8</v>
      </c>
      <c r="R259" s="2" t="inlineStr">
        <is>
          <t>Knärot
Gammelgransskål
Granticka
Talltita
Tretåig hackspett
Ullticka
Vitgrynig nållav
Stuplav</t>
        </is>
      </c>
      <c r="S259">
        <f>HYPERLINK("https://klasma.github.io/Logging_2460/artfynd/A 36342-2021 artfynd.xlsx", "A 36342-2021")</f>
        <v/>
      </c>
      <c r="T259">
        <f>HYPERLINK("https://klasma.github.io/Logging_2460/kartor/A 36342-2021 karta.png", "A 36342-2021")</f>
        <v/>
      </c>
      <c r="U259">
        <f>HYPERLINK("https://klasma.github.io/Logging_2460/knärot/A 36342-2021 karta knärot.png", "A 36342-2021")</f>
        <v/>
      </c>
      <c r="V259">
        <f>HYPERLINK("https://klasma.github.io/Logging_2460/klagomål/A 36342-2021 FSC-klagomål.docx", "A 36342-2021")</f>
        <v/>
      </c>
      <c r="W259">
        <f>HYPERLINK("https://klasma.github.io/Logging_2460/klagomålsmail/A 36342-2021 FSC-klagomål mail.docx", "A 36342-2021")</f>
        <v/>
      </c>
      <c r="X259">
        <f>HYPERLINK("https://klasma.github.io/Logging_2460/tillsyn/A 36342-2021 tillsynsbegäran.docx", "A 36342-2021")</f>
        <v/>
      </c>
      <c r="Y259">
        <f>HYPERLINK("https://klasma.github.io/Logging_2460/tillsynsmail/A 36342-2021 tillsynsbegäran mail.docx", "A 36342-2021")</f>
        <v/>
      </c>
      <c r="Z259">
        <f>HYPERLINK("https://klasma.github.io/Logging_2460/fåglar/A 36342-2021 prioriterade fågelarter.docx", "A 36342-2021")</f>
        <v/>
      </c>
    </row>
    <row r="260" ht="15" customHeight="1">
      <c r="A260" t="inlineStr">
        <is>
          <t>A 37960-2025</t>
        </is>
      </c>
      <c r="B260" s="1" t="n">
        <v>45881</v>
      </c>
      <c r="C260" s="1" t="n">
        <v>45971</v>
      </c>
      <c r="D260" t="inlineStr">
        <is>
          <t>VÄSTERBOTTENS LÄN</t>
        </is>
      </c>
      <c r="E260" t="inlineStr">
        <is>
          <t>STORUMAN</t>
        </is>
      </c>
      <c r="G260" t="n">
        <v>15.7</v>
      </c>
      <c r="H260" t="n">
        <v>0</v>
      </c>
      <c r="I260" t="n">
        <v>3</v>
      </c>
      <c r="J260" t="n">
        <v>5</v>
      </c>
      <c r="K260" t="n">
        <v>0</v>
      </c>
      <c r="L260" t="n">
        <v>0</v>
      </c>
      <c r="M260" t="n">
        <v>0</v>
      </c>
      <c r="N260" t="n">
        <v>0</v>
      </c>
      <c r="O260" t="n">
        <v>5</v>
      </c>
      <c r="P260" t="n">
        <v>0</v>
      </c>
      <c r="Q260" t="n">
        <v>8</v>
      </c>
      <c r="R260" s="2" t="inlineStr">
        <is>
          <t>Harticka
Leptoporus mollis
Rödbrun blekspik
Skrovellav
Ullticka
Luddlav
Mörk husmossa
Skinnlav</t>
        </is>
      </c>
      <c r="S260">
        <f>HYPERLINK("https://klasma.github.io/Logging_2421/artfynd/A 37960-2025 artfynd.xlsx", "A 37960-2025")</f>
        <v/>
      </c>
      <c r="T260">
        <f>HYPERLINK("https://klasma.github.io/Logging_2421/kartor/A 37960-2025 karta.png", "A 37960-2025")</f>
        <v/>
      </c>
      <c r="V260">
        <f>HYPERLINK("https://klasma.github.io/Logging_2421/klagomål/A 37960-2025 FSC-klagomål.docx", "A 37960-2025")</f>
        <v/>
      </c>
      <c r="W260">
        <f>HYPERLINK("https://klasma.github.io/Logging_2421/klagomålsmail/A 37960-2025 FSC-klagomål mail.docx", "A 37960-2025")</f>
        <v/>
      </c>
      <c r="X260">
        <f>HYPERLINK("https://klasma.github.io/Logging_2421/tillsyn/A 37960-2025 tillsynsbegäran.docx", "A 37960-2025")</f>
        <v/>
      </c>
      <c r="Y260">
        <f>HYPERLINK("https://klasma.github.io/Logging_2421/tillsynsmail/A 37960-2025 tillsynsbegäran mail.docx", "A 37960-2025")</f>
        <v/>
      </c>
    </row>
    <row r="261" ht="15" customHeight="1">
      <c r="A261" t="inlineStr">
        <is>
          <t>A 2985-2025</t>
        </is>
      </c>
      <c r="B261" s="1" t="n">
        <v>45678</v>
      </c>
      <c r="C261" s="1" t="n">
        <v>45971</v>
      </c>
      <c r="D261" t="inlineStr">
        <is>
          <t>VÄSTERBOTTENS LÄN</t>
        </is>
      </c>
      <c r="E261" t="inlineStr">
        <is>
          <t>SORSELE</t>
        </is>
      </c>
      <c r="F261" t="inlineStr">
        <is>
          <t>Övriga statliga verk och myndigheter</t>
        </is>
      </c>
      <c r="G261" t="n">
        <v>82.5</v>
      </c>
      <c r="H261" t="n">
        <v>1</v>
      </c>
      <c r="I261" t="n">
        <v>0</v>
      </c>
      <c r="J261" t="n">
        <v>7</v>
      </c>
      <c r="K261" t="n">
        <v>1</v>
      </c>
      <c r="L261" t="n">
        <v>0</v>
      </c>
      <c r="M261" t="n">
        <v>0</v>
      </c>
      <c r="N261" t="n">
        <v>0</v>
      </c>
      <c r="O261" t="n">
        <v>8</v>
      </c>
      <c r="P261" t="n">
        <v>1</v>
      </c>
      <c r="Q261" t="n">
        <v>8</v>
      </c>
      <c r="R261" s="2" t="inlineStr">
        <is>
          <t>Grantickeporing
Gammelgransskål
Garnlav
Granticka
Rödbrun blekspik
Utter
Vitgrynig nållav
Vitskaftad svartspik</t>
        </is>
      </c>
      <c r="S261">
        <f>HYPERLINK("https://klasma.github.io/Logging_2422/artfynd/A 2985-2025 artfynd.xlsx", "A 2985-2025")</f>
        <v/>
      </c>
      <c r="T261">
        <f>HYPERLINK("https://klasma.github.io/Logging_2422/kartor/A 2985-2025 karta.png", "A 2985-2025")</f>
        <v/>
      </c>
      <c r="V261">
        <f>HYPERLINK("https://klasma.github.io/Logging_2422/klagomål/A 2985-2025 FSC-klagomål.docx", "A 2985-2025")</f>
        <v/>
      </c>
      <c r="W261">
        <f>HYPERLINK("https://klasma.github.io/Logging_2422/klagomålsmail/A 2985-2025 FSC-klagomål mail.docx", "A 2985-2025")</f>
        <v/>
      </c>
      <c r="X261">
        <f>HYPERLINK("https://klasma.github.io/Logging_2422/tillsyn/A 2985-2025 tillsynsbegäran.docx", "A 2985-2025")</f>
        <v/>
      </c>
      <c r="Y261">
        <f>HYPERLINK("https://klasma.github.io/Logging_2422/tillsynsmail/A 2985-2025 tillsynsbegäran mail.docx", "A 2985-2025")</f>
        <v/>
      </c>
    </row>
    <row r="262" ht="15" customHeight="1">
      <c r="A262" t="inlineStr">
        <is>
          <t>A 1881-2021</t>
        </is>
      </c>
      <c r="B262" s="1" t="n">
        <v>44210</v>
      </c>
      <c r="C262" s="1" t="n">
        <v>45971</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45971</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14083-2021</t>
        </is>
      </c>
      <c r="B264" s="1" t="n">
        <v>44277</v>
      </c>
      <c r="C264" s="1" t="n">
        <v>45971</v>
      </c>
      <c r="D264" t="inlineStr">
        <is>
          <t>VÄSTERBOTTENS LÄN</t>
        </is>
      </c>
      <c r="E264" t="inlineStr">
        <is>
          <t>BJURHOLM</t>
        </is>
      </c>
      <c r="F264" t="inlineStr">
        <is>
          <t>SCA</t>
        </is>
      </c>
      <c r="G264" t="n">
        <v>15.1</v>
      </c>
      <c r="H264" t="n">
        <v>0</v>
      </c>
      <c r="I264" t="n">
        <v>1</v>
      </c>
      <c r="J264" t="n">
        <v>6</v>
      </c>
      <c r="K264" t="n">
        <v>0</v>
      </c>
      <c r="L264" t="n">
        <v>0</v>
      </c>
      <c r="M264" t="n">
        <v>0</v>
      </c>
      <c r="N264" t="n">
        <v>0</v>
      </c>
      <c r="O264" t="n">
        <v>6</v>
      </c>
      <c r="P264" t="n">
        <v>0</v>
      </c>
      <c r="Q264" t="n">
        <v>7</v>
      </c>
      <c r="R264" s="2" t="inlineStr">
        <is>
          <t>Doftskinn
Dvärgbägarlav
Garnlav
Granticka
Kolflarnlav
Vedskivlav
Dropptaggsvamp</t>
        </is>
      </c>
      <c r="S264">
        <f>HYPERLINK("https://klasma.github.io/Logging_2403/artfynd/A 14083-2021 artfynd.xlsx", "A 14083-2021")</f>
        <v/>
      </c>
      <c r="T264">
        <f>HYPERLINK("https://klasma.github.io/Logging_2403/kartor/A 14083-2021 karta.png", "A 14083-2021")</f>
        <v/>
      </c>
      <c r="V264">
        <f>HYPERLINK("https://klasma.github.io/Logging_2403/klagomål/A 14083-2021 FSC-klagomål.docx", "A 14083-2021")</f>
        <v/>
      </c>
      <c r="W264">
        <f>HYPERLINK("https://klasma.github.io/Logging_2403/klagomålsmail/A 14083-2021 FSC-klagomål mail.docx", "A 14083-2021")</f>
        <v/>
      </c>
      <c r="X264">
        <f>HYPERLINK("https://klasma.github.io/Logging_2403/tillsyn/A 14083-2021 tillsynsbegäran.docx", "A 14083-2021")</f>
        <v/>
      </c>
      <c r="Y264">
        <f>HYPERLINK("https://klasma.github.io/Logging_2403/tillsynsmail/A 14083-2021 tillsynsbegäran mail.docx", "A 14083-2021")</f>
        <v/>
      </c>
    </row>
    <row r="265" ht="15" customHeight="1">
      <c r="A265" t="inlineStr">
        <is>
          <t>A 49977-2023</t>
        </is>
      </c>
      <c r="B265" s="1" t="n">
        <v>45208</v>
      </c>
      <c r="C265" s="1" t="n">
        <v>45971</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Leptoporus mollis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53097-2024</t>
        </is>
      </c>
      <c r="B266" s="1" t="n">
        <v>45611</v>
      </c>
      <c r="C266" s="1" t="n">
        <v>45971</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21423-2024</t>
        </is>
      </c>
      <c r="B267" s="1" t="n">
        <v>45441</v>
      </c>
      <c r="C267" s="1" t="n">
        <v>45971</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45657-2024</t>
        </is>
      </c>
      <c r="B268" s="1" t="n">
        <v>45579.49459490741</v>
      </c>
      <c r="C268" s="1" t="n">
        <v>45971</v>
      </c>
      <c r="D268" t="inlineStr">
        <is>
          <t>VÄSTERBOTTENS LÄN</t>
        </is>
      </c>
      <c r="E268" t="inlineStr">
        <is>
          <t>UMEÅ</t>
        </is>
      </c>
      <c r="F268" t="inlineStr">
        <is>
          <t>Kommuner</t>
        </is>
      </c>
      <c r="G268" t="n">
        <v>1.8</v>
      </c>
      <c r="H268" t="n">
        <v>1</v>
      </c>
      <c r="I268" t="n">
        <v>0</v>
      </c>
      <c r="J268" t="n">
        <v>2</v>
      </c>
      <c r="K268" t="n">
        <v>5</v>
      </c>
      <c r="L268" t="n">
        <v>0</v>
      </c>
      <c r="M268" t="n">
        <v>0</v>
      </c>
      <c r="N268" t="n">
        <v>0</v>
      </c>
      <c r="O268" t="n">
        <v>7</v>
      </c>
      <c r="P268" t="n">
        <v>5</v>
      </c>
      <c r="Q268" t="n">
        <v>7</v>
      </c>
      <c r="R268" s="2" t="inlineStr">
        <is>
          <t>Gräddporing
Smalfotad taggsvamp
Spadskinn
Tajgataggsvamp
Torrmusseron
Svartvit taggsvamp
Talltita</t>
        </is>
      </c>
      <c r="S268">
        <f>HYPERLINK("https://klasma.github.io/Logging_2480/artfynd/A 45657-2024 artfynd.xlsx", "A 45657-2024")</f>
        <v/>
      </c>
      <c r="T268">
        <f>HYPERLINK("https://klasma.github.io/Logging_2480/kartor/A 45657-2024 karta.png", "A 45657-2024")</f>
        <v/>
      </c>
      <c r="V268">
        <f>HYPERLINK("https://klasma.github.io/Logging_2480/klagomål/A 45657-2024 FSC-klagomål.docx", "A 45657-2024")</f>
        <v/>
      </c>
      <c r="W268">
        <f>HYPERLINK("https://klasma.github.io/Logging_2480/klagomålsmail/A 45657-2024 FSC-klagomål mail.docx", "A 45657-2024")</f>
        <v/>
      </c>
      <c r="X268">
        <f>HYPERLINK("https://klasma.github.io/Logging_2480/tillsyn/A 45657-2024 tillsynsbegäran.docx", "A 45657-2024")</f>
        <v/>
      </c>
      <c r="Y268">
        <f>HYPERLINK("https://klasma.github.io/Logging_2480/tillsynsmail/A 45657-2024 tillsynsbegäran mail.docx", "A 45657-2024")</f>
        <v/>
      </c>
      <c r="Z268">
        <f>HYPERLINK("https://klasma.github.io/Logging_2480/fåglar/A 45657-2024 prioriterade fågelarter.docx", "A 45657-2024")</f>
        <v/>
      </c>
    </row>
    <row r="269" ht="15" customHeight="1">
      <c r="A269" t="inlineStr">
        <is>
          <t>A 44354-2024</t>
        </is>
      </c>
      <c r="B269" s="1" t="n">
        <v>45573</v>
      </c>
      <c r="C269" s="1" t="n">
        <v>45971</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33655-2023</t>
        </is>
      </c>
      <c r="B270" s="1" t="n">
        <v>45119</v>
      </c>
      <c r="C270" s="1" t="n">
        <v>45971</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14493-2022</t>
        </is>
      </c>
      <c r="B271" s="1" t="n">
        <v>44655</v>
      </c>
      <c r="C271" s="1" t="n">
        <v>45971</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52101-2021</t>
        </is>
      </c>
      <c r="B272" s="1" t="n">
        <v>44463</v>
      </c>
      <c r="C272" s="1" t="n">
        <v>45971</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47932-2024</t>
        </is>
      </c>
      <c r="B273" s="1" t="n">
        <v>45589</v>
      </c>
      <c r="C273" s="1" t="n">
        <v>45971</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30187-2023</t>
        </is>
      </c>
      <c r="B274" s="1" t="n">
        <v>45110</v>
      </c>
      <c r="C274" s="1" t="n">
        <v>45971</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45971</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19331-2024</t>
        </is>
      </c>
      <c r="B276" s="1" t="n">
        <v>45428</v>
      </c>
      <c r="C276" s="1" t="n">
        <v>45971</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21922-2025</t>
        </is>
      </c>
      <c r="B277" s="1" t="n">
        <v>45784.52596064815</v>
      </c>
      <c r="C277" s="1" t="n">
        <v>45971</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45971</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45971</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45971</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45971</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45971</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45971</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45971</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35393-2024</t>
        </is>
      </c>
      <c r="B285" s="1" t="n">
        <v>45531</v>
      </c>
      <c r="C285" s="1" t="n">
        <v>45971</v>
      </c>
      <c r="D285" t="inlineStr">
        <is>
          <t>VÄSTERBOTTENS LÄN</t>
        </is>
      </c>
      <c r="E285" t="inlineStr">
        <is>
          <t>VILHELMINA</t>
        </is>
      </c>
      <c r="F285" t="inlineStr">
        <is>
          <t>SCA</t>
        </is>
      </c>
      <c r="G285" t="n">
        <v>4.2</v>
      </c>
      <c r="H285" t="n">
        <v>3</v>
      </c>
      <c r="I285" t="n">
        <v>0</v>
      </c>
      <c r="J285" t="n">
        <v>5</v>
      </c>
      <c r="K285" t="n">
        <v>1</v>
      </c>
      <c r="L285" t="n">
        <v>0</v>
      </c>
      <c r="M285" t="n">
        <v>0</v>
      </c>
      <c r="N285" t="n">
        <v>0</v>
      </c>
      <c r="O285" t="n">
        <v>6</v>
      </c>
      <c r="P285" t="n">
        <v>1</v>
      </c>
      <c r="Q285" t="n">
        <v>7</v>
      </c>
      <c r="R285" s="2" t="inlineStr">
        <is>
          <t>Liten sotlav
Gammelgransskål
Garnlav
Granticka
Spillkråka
Tretåig hackspett
Revlummer</t>
        </is>
      </c>
      <c r="S285">
        <f>HYPERLINK("https://klasma.github.io/Logging_2462/artfynd/A 35393-2024 artfynd.xlsx", "A 35393-2024")</f>
        <v/>
      </c>
      <c r="T285">
        <f>HYPERLINK("https://klasma.github.io/Logging_2462/kartor/A 35393-2024 karta.png", "A 35393-2024")</f>
        <v/>
      </c>
      <c r="V285">
        <f>HYPERLINK("https://klasma.github.io/Logging_2462/klagomål/A 35393-2024 FSC-klagomål.docx", "A 35393-2024")</f>
        <v/>
      </c>
      <c r="W285">
        <f>HYPERLINK("https://klasma.github.io/Logging_2462/klagomålsmail/A 35393-2024 FSC-klagomål mail.docx", "A 35393-2024")</f>
        <v/>
      </c>
      <c r="X285">
        <f>HYPERLINK("https://klasma.github.io/Logging_2462/tillsyn/A 35393-2024 tillsynsbegäran.docx", "A 35393-2024")</f>
        <v/>
      </c>
      <c r="Y285">
        <f>HYPERLINK("https://klasma.github.io/Logging_2462/tillsynsmail/A 35393-2024 tillsynsbegäran mail.docx", "A 35393-2024")</f>
        <v/>
      </c>
      <c r="Z285">
        <f>HYPERLINK("https://klasma.github.io/Logging_2462/fåglar/A 35393-2024 prioriterade fågelarter.docx", "A 35393-2024")</f>
        <v/>
      </c>
    </row>
    <row r="286" ht="15" customHeight="1">
      <c r="A286" t="inlineStr">
        <is>
          <t>A 32456-2024</t>
        </is>
      </c>
      <c r="B286" s="1" t="n">
        <v>45512</v>
      </c>
      <c r="C286" s="1" t="n">
        <v>45971</v>
      </c>
      <c r="D286" t="inlineStr">
        <is>
          <t>VÄSTERBOTTENS LÄN</t>
        </is>
      </c>
      <c r="E286" t="inlineStr">
        <is>
          <t>VILHELMINA</t>
        </is>
      </c>
      <c r="F286" t="inlineStr">
        <is>
          <t>SCA</t>
        </is>
      </c>
      <c r="G286" t="n">
        <v>10.5</v>
      </c>
      <c r="H286" t="n">
        <v>4</v>
      </c>
      <c r="I286" t="n">
        <v>1</v>
      </c>
      <c r="J286" t="n">
        <v>5</v>
      </c>
      <c r="K286" t="n">
        <v>0</v>
      </c>
      <c r="L286" t="n">
        <v>0</v>
      </c>
      <c r="M286" t="n">
        <v>0</v>
      </c>
      <c r="N286" t="n">
        <v>0</v>
      </c>
      <c r="O286" t="n">
        <v>5</v>
      </c>
      <c r="P286" t="n">
        <v>0</v>
      </c>
      <c r="Q286" t="n">
        <v>7</v>
      </c>
      <c r="R286" s="2" t="inlineStr">
        <is>
          <t>Garnlav
Granticka
Gränsticka
Spillkråka
Tretåig hackspett
Lappranunkel
Revlummer</t>
        </is>
      </c>
      <c r="S286">
        <f>HYPERLINK("https://klasma.github.io/Logging_2462/artfynd/A 32456-2024 artfynd.xlsx", "A 32456-2024")</f>
        <v/>
      </c>
      <c r="T286">
        <f>HYPERLINK("https://klasma.github.io/Logging_2462/kartor/A 32456-2024 karta.png", "A 32456-2024")</f>
        <v/>
      </c>
      <c r="V286">
        <f>HYPERLINK("https://klasma.github.io/Logging_2462/klagomål/A 32456-2024 FSC-klagomål.docx", "A 32456-2024")</f>
        <v/>
      </c>
      <c r="W286">
        <f>HYPERLINK("https://klasma.github.io/Logging_2462/klagomålsmail/A 32456-2024 FSC-klagomål mail.docx", "A 32456-2024")</f>
        <v/>
      </c>
      <c r="X286">
        <f>HYPERLINK("https://klasma.github.io/Logging_2462/tillsyn/A 32456-2024 tillsynsbegäran.docx", "A 32456-2024")</f>
        <v/>
      </c>
      <c r="Y286">
        <f>HYPERLINK("https://klasma.github.io/Logging_2462/tillsynsmail/A 32456-2024 tillsynsbegäran mail.docx", "A 32456-2024")</f>
        <v/>
      </c>
      <c r="Z286">
        <f>HYPERLINK("https://klasma.github.io/Logging_2462/fåglar/A 32456-2024 prioriterade fågelarter.docx", "A 32456-2024")</f>
        <v/>
      </c>
    </row>
    <row r="287" ht="15" customHeight="1">
      <c r="A287" t="inlineStr">
        <is>
          <t>A 54391-2023</t>
        </is>
      </c>
      <c r="B287" s="1" t="n">
        <v>45226</v>
      </c>
      <c r="C287" s="1" t="n">
        <v>45971</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24811-2024</t>
        </is>
      </c>
      <c r="B288" s="1" t="n">
        <v>45460.95407407408</v>
      </c>
      <c r="C288" s="1" t="n">
        <v>45971</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11780-2025</t>
        </is>
      </c>
      <c r="B289" s="1" t="n">
        <v>45727</v>
      </c>
      <c r="C289" s="1" t="n">
        <v>45971</v>
      </c>
      <c r="D289" t="inlineStr">
        <is>
          <t>VÄSTERBOTTENS LÄN</t>
        </is>
      </c>
      <c r="E289" t="inlineStr">
        <is>
          <t>UMEÅ</t>
        </is>
      </c>
      <c r="F289" t="inlineStr">
        <is>
          <t>Kommuner</t>
        </is>
      </c>
      <c r="G289" t="n">
        <v>1.2</v>
      </c>
      <c r="H289" t="n">
        <v>1</v>
      </c>
      <c r="I289" t="n">
        <v>2</v>
      </c>
      <c r="J289" t="n">
        <v>3</v>
      </c>
      <c r="K289" t="n">
        <v>1</v>
      </c>
      <c r="L289" t="n">
        <v>0</v>
      </c>
      <c r="M289" t="n">
        <v>0</v>
      </c>
      <c r="N289" t="n">
        <v>0</v>
      </c>
      <c r="O289" t="n">
        <v>4</v>
      </c>
      <c r="P289" t="n">
        <v>1</v>
      </c>
      <c r="Q289" t="n">
        <v>7</v>
      </c>
      <c r="R289" s="2" t="inlineStr">
        <is>
          <t>Grantickeporing
Granticka
Leptoporus mollis
Ullticka
Trådticka
Vedticka
Huggorm</t>
        </is>
      </c>
      <c r="S289">
        <f>HYPERLINK("https://klasma.github.io/Logging_2480/artfynd/A 11780-2025 artfynd.xlsx", "A 11780-2025")</f>
        <v/>
      </c>
      <c r="T289">
        <f>HYPERLINK("https://klasma.github.io/Logging_2480/kartor/A 11780-2025 karta.png", "A 11780-2025")</f>
        <v/>
      </c>
      <c r="V289">
        <f>HYPERLINK("https://klasma.github.io/Logging_2480/klagomål/A 11780-2025 FSC-klagomål.docx", "A 11780-2025")</f>
        <v/>
      </c>
      <c r="W289">
        <f>HYPERLINK("https://klasma.github.io/Logging_2480/klagomålsmail/A 11780-2025 FSC-klagomål mail.docx", "A 11780-2025")</f>
        <v/>
      </c>
      <c r="X289">
        <f>HYPERLINK("https://klasma.github.io/Logging_2480/tillsyn/A 11780-2025 tillsynsbegäran.docx", "A 11780-2025")</f>
        <v/>
      </c>
      <c r="Y289">
        <f>HYPERLINK("https://klasma.github.io/Logging_2480/tillsynsmail/A 11780-2025 tillsynsbegäran mail.docx", "A 11780-2025")</f>
        <v/>
      </c>
    </row>
    <row r="290" ht="15" customHeight="1">
      <c r="A290" t="inlineStr">
        <is>
          <t>A 31833-2023</t>
        </is>
      </c>
      <c r="B290" s="1" t="n">
        <v>45106</v>
      </c>
      <c r="C290" s="1" t="n">
        <v>45971</v>
      </c>
      <c r="D290" t="inlineStr">
        <is>
          <t>VÄSTERBOTTENS LÄN</t>
        </is>
      </c>
      <c r="E290" t="inlineStr">
        <is>
          <t>SORSELE</t>
        </is>
      </c>
      <c r="G290" t="n">
        <v>10.8</v>
      </c>
      <c r="H290" t="n">
        <v>0</v>
      </c>
      <c r="I290" t="n">
        <v>0</v>
      </c>
      <c r="J290" t="n">
        <v>7</v>
      </c>
      <c r="K290" t="n">
        <v>0</v>
      </c>
      <c r="L290" t="n">
        <v>0</v>
      </c>
      <c r="M290" t="n">
        <v>0</v>
      </c>
      <c r="N290" t="n">
        <v>0</v>
      </c>
      <c r="O290" t="n">
        <v>7</v>
      </c>
      <c r="P290" t="n">
        <v>0</v>
      </c>
      <c r="Q290" t="n">
        <v>7</v>
      </c>
      <c r="R290" s="2" t="inlineStr">
        <is>
          <t>Brunpudrad nållav
Garnlav
Granticka
Gränsticka
Rosenticka
Rödbrun blekspik
Vitgrynig nållav</t>
        </is>
      </c>
      <c r="S290">
        <f>HYPERLINK("https://klasma.github.io/Logging_2422/artfynd/A 31833-2023 artfynd.xlsx", "A 31833-2023")</f>
        <v/>
      </c>
      <c r="T290">
        <f>HYPERLINK("https://klasma.github.io/Logging_2422/kartor/A 31833-2023 karta.png", "A 31833-2023")</f>
        <v/>
      </c>
      <c r="V290">
        <f>HYPERLINK("https://klasma.github.io/Logging_2422/klagomål/A 31833-2023 FSC-klagomål.docx", "A 31833-2023")</f>
        <v/>
      </c>
      <c r="W290">
        <f>HYPERLINK("https://klasma.github.io/Logging_2422/klagomålsmail/A 31833-2023 FSC-klagomål mail.docx", "A 31833-2023")</f>
        <v/>
      </c>
      <c r="X290">
        <f>HYPERLINK("https://klasma.github.io/Logging_2422/tillsyn/A 31833-2023 tillsynsbegäran.docx", "A 31833-2023")</f>
        <v/>
      </c>
      <c r="Y290">
        <f>HYPERLINK("https://klasma.github.io/Logging_2422/tillsynsmail/A 31833-2023 tillsynsbegäran mail.docx", "A 31833-2023")</f>
        <v/>
      </c>
    </row>
    <row r="291" ht="15" customHeight="1">
      <c r="A291" t="inlineStr">
        <is>
          <t>A 18298-2021</t>
        </is>
      </c>
      <c r="B291" s="1" t="n">
        <v>44305</v>
      </c>
      <c r="C291" s="1" t="n">
        <v>45971</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45971</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45971</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16100-2024</t>
        </is>
      </c>
      <c r="B294" s="1" t="n">
        <v>45406.44877314815</v>
      </c>
      <c r="C294" s="1" t="n">
        <v>45971</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23008-2022</t>
        </is>
      </c>
      <c r="B295" s="1" t="n">
        <v>44715</v>
      </c>
      <c r="C295" s="1" t="n">
        <v>45971</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62316-2023</t>
        </is>
      </c>
      <c r="B296" s="1" t="n">
        <v>45267.73364583333</v>
      </c>
      <c r="C296" s="1" t="n">
        <v>45971</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50969-2022</t>
        </is>
      </c>
      <c r="B297" s="1" t="n">
        <v>44867</v>
      </c>
      <c r="C297" s="1" t="n">
        <v>45971</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38585-2025</t>
        </is>
      </c>
      <c r="B298" s="1" t="n">
        <v>45884.47008101852</v>
      </c>
      <c r="C298" s="1" t="n">
        <v>45971</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50261-2024</t>
        </is>
      </c>
      <c r="B299" s="1" t="n">
        <v>45600.58561342592</v>
      </c>
      <c r="C299" s="1" t="n">
        <v>45971</v>
      </c>
      <c r="D299" t="inlineStr">
        <is>
          <t>VÄSTERBOTTENS LÄN</t>
        </is>
      </c>
      <c r="E299" t="inlineStr">
        <is>
          <t>NORSJÖ</t>
        </is>
      </c>
      <c r="F299" t="inlineStr">
        <is>
          <t>Holmen skog AB</t>
        </is>
      </c>
      <c r="G299" t="n">
        <v>6</v>
      </c>
      <c r="H299" t="n">
        <v>1</v>
      </c>
      <c r="I299" t="n">
        <v>3</v>
      </c>
      <c r="J299" t="n">
        <v>2</v>
      </c>
      <c r="K299" t="n">
        <v>1</v>
      </c>
      <c r="L299" t="n">
        <v>0</v>
      </c>
      <c r="M299" t="n">
        <v>0</v>
      </c>
      <c r="N299" t="n">
        <v>0</v>
      </c>
      <c r="O299" t="n">
        <v>3</v>
      </c>
      <c r="P299" t="n">
        <v>1</v>
      </c>
      <c r="Q299" t="n">
        <v>6</v>
      </c>
      <c r="R299" s="2" t="inlineStr">
        <is>
          <t>Knärot
Gammelgransskål
Vaddporing
Dropptaggsvamp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2801-2024</t>
        </is>
      </c>
      <c r="B300" s="1" t="n">
        <v>45314</v>
      </c>
      <c r="C300" s="1" t="n">
        <v>45971</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Hapalopilus aurantiacus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37141-2023</t>
        </is>
      </c>
      <c r="B301" s="1" t="n">
        <v>45154</v>
      </c>
      <c r="C301" s="1" t="n">
        <v>45971</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902-2023</t>
        </is>
      </c>
      <c r="B302" s="1" t="n">
        <v>44931.92561342593</v>
      </c>
      <c r="C302" s="1" t="n">
        <v>45971</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57099-2024</t>
        </is>
      </c>
      <c r="B303" s="1" t="n">
        <v>45629</v>
      </c>
      <c r="C303" s="1" t="n">
        <v>45971</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14108-2023</t>
        </is>
      </c>
      <c r="B304" s="1" t="n">
        <v>45009</v>
      </c>
      <c r="C304" s="1" t="n">
        <v>45971</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44833-2024</t>
        </is>
      </c>
      <c r="B305" s="1" t="n">
        <v>45574.69194444444</v>
      </c>
      <c r="C305" s="1" t="n">
        <v>45971</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33589-2024</t>
        </is>
      </c>
      <c r="B306" s="1" t="n">
        <v>45520.35296296296</v>
      </c>
      <c r="C306" s="1" t="n">
        <v>45971</v>
      </c>
      <c r="D306" t="inlineStr">
        <is>
          <t>VÄSTERBOTTENS LÄN</t>
        </is>
      </c>
      <c r="E306" t="inlineStr">
        <is>
          <t>LYCKSELE</t>
        </is>
      </c>
      <c r="F306" t="inlineStr">
        <is>
          <t>Sveaskog</t>
        </is>
      </c>
      <c r="G306" t="n">
        <v>3.5</v>
      </c>
      <c r="H306" t="n">
        <v>3</v>
      </c>
      <c r="I306" t="n">
        <v>0</v>
      </c>
      <c r="J306" t="n">
        <v>4</v>
      </c>
      <c r="K306" t="n">
        <v>0</v>
      </c>
      <c r="L306" t="n">
        <v>0</v>
      </c>
      <c r="M306" t="n">
        <v>0</v>
      </c>
      <c r="N306" t="n">
        <v>0</v>
      </c>
      <c r="O306" t="n">
        <v>4</v>
      </c>
      <c r="P306" t="n">
        <v>0</v>
      </c>
      <c r="Q306" t="n">
        <v>6</v>
      </c>
      <c r="R306" s="2" t="inlineStr">
        <is>
          <t>Garnlav
Granticka
Spillkråka
Ullticka
Lavskrika
Revlummer</t>
        </is>
      </c>
      <c r="S306">
        <f>HYPERLINK("https://klasma.github.io/Logging_2481/artfynd/A 33589-2024 artfynd.xlsx", "A 33589-2024")</f>
        <v/>
      </c>
      <c r="T306">
        <f>HYPERLINK("https://klasma.github.io/Logging_2481/kartor/A 33589-2024 karta.png", "A 33589-2024")</f>
        <v/>
      </c>
      <c r="V306">
        <f>HYPERLINK("https://klasma.github.io/Logging_2481/klagomål/A 33589-2024 FSC-klagomål.docx", "A 33589-2024")</f>
        <v/>
      </c>
      <c r="W306">
        <f>HYPERLINK("https://klasma.github.io/Logging_2481/klagomålsmail/A 33589-2024 FSC-klagomål mail.docx", "A 33589-2024")</f>
        <v/>
      </c>
      <c r="X306">
        <f>HYPERLINK("https://klasma.github.io/Logging_2481/tillsyn/A 33589-2024 tillsynsbegäran.docx", "A 33589-2024")</f>
        <v/>
      </c>
      <c r="Y306">
        <f>HYPERLINK("https://klasma.github.io/Logging_2481/tillsynsmail/A 33589-2024 tillsynsbegäran mail.docx", "A 33589-2024")</f>
        <v/>
      </c>
      <c r="Z306">
        <f>HYPERLINK("https://klasma.github.io/Logging_2481/fåglar/A 33589-2024 prioriterade fågelarter.docx", "A 33589-2024")</f>
        <v/>
      </c>
    </row>
    <row r="307" ht="15" customHeight="1">
      <c r="A307" t="inlineStr">
        <is>
          <t>A 39678-2024</t>
        </is>
      </c>
      <c r="B307" s="1" t="n">
        <v>45552</v>
      </c>
      <c r="C307" s="1" t="n">
        <v>45971</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33659-2023</t>
        </is>
      </c>
      <c r="B308" s="1" t="n">
        <v>45119</v>
      </c>
      <c r="C308" s="1" t="n">
        <v>45971</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45971</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47105-2024</t>
        </is>
      </c>
      <c r="B310" s="1" t="n">
        <v>45586.55159722222</v>
      </c>
      <c r="C310" s="1" t="n">
        <v>45971</v>
      </c>
      <c r="D310" t="inlineStr">
        <is>
          <t>VÄSTERBOTTENS LÄN</t>
        </is>
      </c>
      <c r="E310" t="inlineStr">
        <is>
          <t>VINDELN</t>
        </is>
      </c>
      <c r="F310" t="inlineStr">
        <is>
          <t>Holmen skog AB</t>
        </is>
      </c>
      <c r="G310" t="n">
        <v>7.1</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47105-2024 artfynd.xlsx", "A 47105-2024")</f>
        <v/>
      </c>
      <c r="T310">
        <f>HYPERLINK("https://klasma.github.io/Logging_2404/kartor/A 47105-2024 karta.png", "A 47105-2024")</f>
        <v/>
      </c>
      <c r="V310">
        <f>HYPERLINK("https://klasma.github.io/Logging_2404/klagomål/A 47105-2024 FSC-klagomål.docx", "A 47105-2024")</f>
        <v/>
      </c>
      <c r="W310">
        <f>HYPERLINK("https://klasma.github.io/Logging_2404/klagomålsmail/A 47105-2024 FSC-klagomål mail.docx", "A 47105-2024")</f>
        <v/>
      </c>
      <c r="X310">
        <f>HYPERLINK("https://klasma.github.io/Logging_2404/tillsyn/A 47105-2024 tillsynsbegäran.docx", "A 47105-2024")</f>
        <v/>
      </c>
      <c r="Y310">
        <f>HYPERLINK("https://klasma.github.io/Logging_2404/tillsynsmail/A 47105-2024 tillsynsbegäran mail.docx", "A 47105-2024")</f>
        <v/>
      </c>
    </row>
    <row r="311" ht="15" customHeight="1">
      <c r="A311" t="inlineStr">
        <is>
          <t>A 51569-2024</t>
        </is>
      </c>
      <c r="B311" s="1" t="n">
        <v>45604.62340277778</v>
      </c>
      <c r="C311" s="1" t="n">
        <v>45971</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18046-2025</t>
        </is>
      </c>
      <c r="B312" s="1" t="n">
        <v>45761.4652199074</v>
      </c>
      <c r="C312" s="1" t="n">
        <v>45971</v>
      </c>
      <c r="D312" t="inlineStr">
        <is>
          <t>VÄSTERBOTTENS LÄN</t>
        </is>
      </c>
      <c r="E312" t="inlineStr">
        <is>
          <t>BJURHOLM</t>
        </is>
      </c>
      <c r="G312" t="n">
        <v>10.9</v>
      </c>
      <c r="H312" t="n">
        <v>2</v>
      </c>
      <c r="I312" t="n">
        <v>2</v>
      </c>
      <c r="J312" t="n">
        <v>3</v>
      </c>
      <c r="K312" t="n">
        <v>0</v>
      </c>
      <c r="L312" t="n">
        <v>0</v>
      </c>
      <c r="M312" t="n">
        <v>0</v>
      </c>
      <c r="N312" t="n">
        <v>0</v>
      </c>
      <c r="O312" t="n">
        <v>3</v>
      </c>
      <c r="P312" t="n">
        <v>0</v>
      </c>
      <c r="Q312" t="n">
        <v>6</v>
      </c>
      <c r="R312" s="2" t="inlineStr">
        <is>
          <t>Garnlav
Granticka
Ullticka
Spindelblomster
Vedticka
Fläcknycklar</t>
        </is>
      </c>
      <c r="S312">
        <f>HYPERLINK("https://klasma.github.io/Logging_2403/artfynd/A 18046-2025 artfynd.xlsx", "A 18046-2025")</f>
        <v/>
      </c>
      <c r="T312">
        <f>HYPERLINK("https://klasma.github.io/Logging_2403/kartor/A 18046-2025 karta.png", "A 18046-2025")</f>
        <v/>
      </c>
      <c r="V312">
        <f>HYPERLINK("https://klasma.github.io/Logging_2403/klagomål/A 18046-2025 FSC-klagomål.docx", "A 18046-2025")</f>
        <v/>
      </c>
      <c r="W312">
        <f>HYPERLINK("https://klasma.github.io/Logging_2403/klagomålsmail/A 18046-2025 FSC-klagomål mail.docx", "A 18046-2025")</f>
        <v/>
      </c>
      <c r="X312">
        <f>HYPERLINK("https://klasma.github.io/Logging_2403/tillsyn/A 18046-2025 tillsynsbegäran.docx", "A 18046-2025")</f>
        <v/>
      </c>
      <c r="Y312">
        <f>HYPERLINK("https://klasma.github.io/Logging_2403/tillsynsmail/A 18046-2025 tillsynsbegäran mail.docx", "A 18046-2025")</f>
        <v/>
      </c>
    </row>
    <row r="313" ht="15" customHeight="1">
      <c r="A313" t="inlineStr">
        <is>
          <t>A 8723-2025</t>
        </is>
      </c>
      <c r="B313" s="1" t="n">
        <v>45712</v>
      </c>
      <c r="C313" s="1" t="n">
        <v>45971</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41330-2024</t>
        </is>
      </c>
      <c r="B314" s="1" t="n">
        <v>45559.66045138889</v>
      </c>
      <c r="C314" s="1" t="n">
        <v>45971</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42835-2021</t>
        </is>
      </c>
      <c r="B315" s="1" t="n">
        <v>44430</v>
      </c>
      <c r="C315" s="1" t="n">
        <v>45971</v>
      </c>
      <c r="D315" t="inlineStr">
        <is>
          <t>VÄSTERBOTTENS LÄN</t>
        </is>
      </c>
      <c r="E315" t="inlineStr">
        <is>
          <t>STORUMAN</t>
        </is>
      </c>
      <c r="F315" t="inlineStr">
        <is>
          <t>Övriga statliga verk och myndigheter</t>
        </is>
      </c>
      <c r="G315" t="n">
        <v>27.1</v>
      </c>
      <c r="H315" t="n">
        <v>2</v>
      </c>
      <c r="I315" t="n">
        <v>4</v>
      </c>
      <c r="J315" t="n">
        <v>2</v>
      </c>
      <c r="K315" t="n">
        <v>0</v>
      </c>
      <c r="L315" t="n">
        <v>0</v>
      </c>
      <c r="M315" t="n">
        <v>0</v>
      </c>
      <c r="N315" t="n">
        <v>0</v>
      </c>
      <c r="O315" t="n">
        <v>2</v>
      </c>
      <c r="P315" t="n">
        <v>0</v>
      </c>
      <c r="Q315" t="n">
        <v>6</v>
      </c>
      <c r="R315" s="2" t="inlineStr">
        <is>
          <t>Garnlav
Tretåig hackspett
Blodvaxing
Taggbräken
Tibast
Tvåblad</t>
        </is>
      </c>
      <c r="S315">
        <f>HYPERLINK("https://klasma.github.io/Logging_2421/artfynd/A 42835-2021 artfynd.xlsx", "A 42835-2021")</f>
        <v/>
      </c>
      <c r="T315">
        <f>HYPERLINK("https://klasma.github.io/Logging_2421/kartor/A 42835-2021 karta.png", "A 42835-2021")</f>
        <v/>
      </c>
      <c r="V315">
        <f>HYPERLINK("https://klasma.github.io/Logging_2421/klagomål/A 42835-2021 FSC-klagomål.docx", "A 42835-2021")</f>
        <v/>
      </c>
      <c r="W315">
        <f>HYPERLINK("https://klasma.github.io/Logging_2421/klagomålsmail/A 42835-2021 FSC-klagomål mail.docx", "A 42835-2021")</f>
        <v/>
      </c>
      <c r="X315">
        <f>HYPERLINK("https://klasma.github.io/Logging_2421/tillsyn/A 42835-2021 tillsynsbegäran.docx", "A 42835-2021")</f>
        <v/>
      </c>
      <c r="Y315">
        <f>HYPERLINK("https://klasma.github.io/Logging_2421/tillsynsmail/A 42835-2021 tillsynsbegäran mail.docx", "A 42835-2021")</f>
        <v/>
      </c>
      <c r="Z315">
        <f>HYPERLINK("https://klasma.github.io/Logging_2421/fåglar/A 42835-2021 prioriterade fågelarter.docx", "A 42835-2021")</f>
        <v/>
      </c>
    </row>
    <row r="316" ht="15" customHeight="1">
      <c r="A316" t="inlineStr">
        <is>
          <t>A 21871-2025</t>
        </is>
      </c>
      <c r="B316" s="1" t="n">
        <v>45784</v>
      </c>
      <c r="C316" s="1" t="n">
        <v>45971</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9217-2025</t>
        </is>
      </c>
      <c r="B317" s="1" t="n">
        <v>45714</v>
      </c>
      <c r="C317" s="1" t="n">
        <v>45971</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25040-2025</t>
        </is>
      </c>
      <c r="B318" s="1" t="n">
        <v>45799.65734953704</v>
      </c>
      <c r="C318" s="1" t="n">
        <v>45971</v>
      </c>
      <c r="D318" t="inlineStr">
        <is>
          <t>VÄSTERBOTTENS LÄN</t>
        </is>
      </c>
      <c r="E318" t="inlineStr">
        <is>
          <t>VILHELMINA</t>
        </is>
      </c>
      <c r="F318" t="inlineStr">
        <is>
          <t>SCA</t>
        </is>
      </c>
      <c r="G318" t="n">
        <v>2.6</v>
      </c>
      <c r="H318" t="n">
        <v>3</v>
      </c>
      <c r="I318" t="n">
        <v>1</v>
      </c>
      <c r="J318" t="n">
        <v>4</v>
      </c>
      <c r="K318" t="n">
        <v>0</v>
      </c>
      <c r="L318" t="n">
        <v>0</v>
      </c>
      <c r="M318" t="n">
        <v>0</v>
      </c>
      <c r="N318" t="n">
        <v>0</v>
      </c>
      <c r="O318" t="n">
        <v>4</v>
      </c>
      <c r="P318" t="n">
        <v>0</v>
      </c>
      <c r="Q318" t="n">
        <v>6</v>
      </c>
      <c r="R318" s="2" t="inlineStr">
        <is>
          <t>Gammelgransskål
Garnlav
Granticka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8562-2025</t>
        </is>
      </c>
      <c r="B319" s="1" t="n">
        <v>45709</v>
      </c>
      <c r="C319" s="1" t="n">
        <v>45971</v>
      </c>
      <c r="D319" t="inlineStr">
        <is>
          <t>VÄSTERBOTTENS LÄN</t>
        </is>
      </c>
      <c r="E319" t="inlineStr">
        <is>
          <t>VILHELMINA</t>
        </is>
      </c>
      <c r="G319" t="n">
        <v>3.1</v>
      </c>
      <c r="H319" t="n">
        <v>0</v>
      </c>
      <c r="I319" t="n">
        <v>0</v>
      </c>
      <c r="J319" t="n">
        <v>6</v>
      </c>
      <c r="K319" t="n">
        <v>0</v>
      </c>
      <c r="L319" t="n">
        <v>0</v>
      </c>
      <c r="M319" t="n">
        <v>0</v>
      </c>
      <c r="N319" t="n">
        <v>0</v>
      </c>
      <c r="O319" t="n">
        <v>6</v>
      </c>
      <c r="P319" t="n">
        <v>0</v>
      </c>
      <c r="Q319" t="n">
        <v>6</v>
      </c>
      <c r="R319" s="2" t="inlineStr">
        <is>
          <t>Blanksvart spiklav
Garnlav
Granticka
Harticka
Vedtrappmossa
Vitgrynig nållav</t>
        </is>
      </c>
      <c r="S319">
        <f>HYPERLINK("https://klasma.github.io/Logging_2462/artfynd/A 8562-2025 artfynd.xlsx", "A 8562-2025")</f>
        <v/>
      </c>
      <c r="T319">
        <f>HYPERLINK("https://klasma.github.io/Logging_2462/kartor/A 8562-2025 karta.png", "A 8562-2025")</f>
        <v/>
      </c>
      <c r="V319">
        <f>HYPERLINK("https://klasma.github.io/Logging_2462/klagomål/A 8562-2025 FSC-klagomål.docx", "A 8562-2025")</f>
        <v/>
      </c>
      <c r="W319">
        <f>HYPERLINK("https://klasma.github.io/Logging_2462/klagomålsmail/A 8562-2025 FSC-klagomål mail.docx", "A 8562-2025")</f>
        <v/>
      </c>
      <c r="X319">
        <f>HYPERLINK("https://klasma.github.io/Logging_2462/tillsyn/A 8562-2025 tillsynsbegäran.docx", "A 8562-2025")</f>
        <v/>
      </c>
      <c r="Y319">
        <f>HYPERLINK("https://klasma.github.io/Logging_2462/tillsynsmail/A 8562-2025 tillsynsbegäran mail.docx", "A 8562-2025")</f>
        <v/>
      </c>
    </row>
    <row r="320" ht="15" customHeight="1">
      <c r="A320" t="inlineStr">
        <is>
          <t>A 44874-2024</t>
        </is>
      </c>
      <c r="B320" s="1" t="n">
        <v>45575</v>
      </c>
      <c r="C320" s="1" t="n">
        <v>45971</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26900-2025</t>
        </is>
      </c>
      <c r="B321" s="1" t="n">
        <v>45811.34444444445</v>
      </c>
      <c r="C321" s="1" t="n">
        <v>45971</v>
      </c>
      <c r="D321" t="inlineStr">
        <is>
          <t>VÄSTERBOTTENS LÄN</t>
        </is>
      </c>
      <c r="E321" t="inlineStr">
        <is>
          <t>ÅSELE</t>
        </is>
      </c>
      <c r="F321" t="inlineStr">
        <is>
          <t>SCA</t>
        </is>
      </c>
      <c r="G321" t="n">
        <v>1.4</v>
      </c>
      <c r="H321" t="n">
        <v>1</v>
      </c>
      <c r="I321" t="n">
        <v>1</v>
      </c>
      <c r="J321" t="n">
        <v>4</v>
      </c>
      <c r="K321" t="n">
        <v>0</v>
      </c>
      <c r="L321" t="n">
        <v>0</v>
      </c>
      <c r="M321" t="n">
        <v>0</v>
      </c>
      <c r="N321" t="n">
        <v>0</v>
      </c>
      <c r="O321" t="n">
        <v>4</v>
      </c>
      <c r="P321" t="n">
        <v>0</v>
      </c>
      <c r="Q321" t="n">
        <v>6</v>
      </c>
      <c r="R321" s="2" t="inlineStr">
        <is>
          <t>Blanksvart spiklav
Garnlav
Lunglav
Vedflamlav
Stuplav
Fläcknycklar</t>
        </is>
      </c>
      <c r="S321">
        <f>HYPERLINK("https://klasma.github.io/Logging_2463/artfynd/A 26900-2025 artfynd.xlsx", "A 26900-2025")</f>
        <v/>
      </c>
      <c r="T321">
        <f>HYPERLINK("https://klasma.github.io/Logging_2463/kartor/A 26900-2025 karta.png", "A 26900-2025")</f>
        <v/>
      </c>
      <c r="V321">
        <f>HYPERLINK("https://klasma.github.io/Logging_2463/klagomål/A 26900-2025 FSC-klagomål.docx", "A 26900-2025")</f>
        <v/>
      </c>
      <c r="W321">
        <f>HYPERLINK("https://klasma.github.io/Logging_2463/klagomålsmail/A 26900-2025 FSC-klagomål mail.docx", "A 26900-2025")</f>
        <v/>
      </c>
      <c r="X321">
        <f>HYPERLINK("https://klasma.github.io/Logging_2463/tillsyn/A 26900-2025 tillsynsbegäran.docx", "A 26900-2025")</f>
        <v/>
      </c>
      <c r="Y321">
        <f>HYPERLINK("https://klasma.github.io/Logging_2463/tillsynsmail/A 26900-2025 tillsynsbegäran mail.docx", "A 26900-2025")</f>
        <v/>
      </c>
    </row>
    <row r="322" ht="15" customHeight="1">
      <c r="A322" t="inlineStr">
        <is>
          <t>A 51686-2025</t>
        </is>
      </c>
      <c r="B322" s="1" t="n">
        <v>45951.52231481481</v>
      </c>
      <c r="C322" s="1" t="n">
        <v>45971</v>
      </c>
      <c r="D322" t="inlineStr">
        <is>
          <t>VÄSTERBOTTENS LÄN</t>
        </is>
      </c>
      <c r="E322" t="inlineStr">
        <is>
          <t>SKELLEFTEÅ</t>
        </is>
      </c>
      <c r="G322" t="n">
        <v>3.5</v>
      </c>
      <c r="H322" t="n">
        <v>3</v>
      </c>
      <c r="I322" t="n">
        <v>1</v>
      </c>
      <c r="J322" t="n">
        <v>5</v>
      </c>
      <c r="K322" t="n">
        <v>0</v>
      </c>
      <c r="L322" t="n">
        <v>0</v>
      </c>
      <c r="M322" t="n">
        <v>0</v>
      </c>
      <c r="N322" t="n">
        <v>0</v>
      </c>
      <c r="O322" t="n">
        <v>5</v>
      </c>
      <c r="P322" t="n">
        <v>0</v>
      </c>
      <c r="Q322" t="n">
        <v>6</v>
      </c>
      <c r="R322" s="2" t="inlineStr">
        <is>
          <t>Garnlav
Granticka
Spillkråka
Tretåig hackspett
Ullticka
Spindelblomster</t>
        </is>
      </c>
      <c r="S322">
        <f>HYPERLINK("https://klasma.github.io/Logging_2482/artfynd/A 51686-2025 artfynd.xlsx", "A 51686-2025")</f>
        <v/>
      </c>
      <c r="T322">
        <f>HYPERLINK("https://klasma.github.io/Logging_2482/kartor/A 51686-2025 karta.png", "A 51686-2025")</f>
        <v/>
      </c>
      <c r="V322">
        <f>HYPERLINK("https://klasma.github.io/Logging_2482/klagomål/A 51686-2025 FSC-klagomål.docx", "A 51686-2025")</f>
        <v/>
      </c>
      <c r="W322">
        <f>HYPERLINK("https://klasma.github.io/Logging_2482/klagomålsmail/A 51686-2025 FSC-klagomål mail.docx", "A 51686-2025")</f>
        <v/>
      </c>
      <c r="X322">
        <f>HYPERLINK("https://klasma.github.io/Logging_2482/tillsyn/A 51686-2025 tillsynsbegäran.docx", "A 51686-2025")</f>
        <v/>
      </c>
      <c r="Y322">
        <f>HYPERLINK("https://klasma.github.io/Logging_2482/tillsynsmail/A 51686-2025 tillsynsbegäran mail.docx", "A 51686-2025")</f>
        <v/>
      </c>
      <c r="Z322">
        <f>HYPERLINK("https://klasma.github.io/Logging_2482/fåglar/A 51686-2025 prioriterade fågelarter.docx", "A 51686-2025")</f>
        <v/>
      </c>
    </row>
    <row r="323" ht="15" customHeight="1">
      <c r="A323" t="inlineStr">
        <is>
          <t>A 19644-2022</t>
        </is>
      </c>
      <c r="B323" s="1" t="n">
        <v>44694</v>
      </c>
      <c r="C323" s="1" t="n">
        <v>45971</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28430-2025</t>
        </is>
      </c>
      <c r="B324" s="1" t="n">
        <v>45819.37813657407</v>
      </c>
      <c r="C324" s="1" t="n">
        <v>45971</v>
      </c>
      <c r="D324" t="inlineStr">
        <is>
          <t>VÄSTERBOTTENS LÄN</t>
        </is>
      </c>
      <c r="E324" t="inlineStr">
        <is>
          <t>UMEÅ</t>
        </is>
      </c>
      <c r="F324" t="inlineStr">
        <is>
          <t>Holmen skog AB</t>
        </is>
      </c>
      <c r="G324" t="n">
        <v>2.4</v>
      </c>
      <c r="H324" t="n">
        <v>1</v>
      </c>
      <c r="I324" t="n">
        <v>1</v>
      </c>
      <c r="J324" t="n">
        <v>4</v>
      </c>
      <c r="K324" t="n">
        <v>1</v>
      </c>
      <c r="L324" t="n">
        <v>0</v>
      </c>
      <c r="M324" t="n">
        <v>0</v>
      </c>
      <c r="N324" t="n">
        <v>0</v>
      </c>
      <c r="O324" t="n">
        <v>5</v>
      </c>
      <c r="P324" t="n">
        <v>1</v>
      </c>
      <c r="Q324" t="n">
        <v>6</v>
      </c>
      <c r="R324" s="2" t="inlineStr">
        <is>
          <t>Rynkskinn
Garnlav
Granticka
Spillkråka
Ullticka
Vedticka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30076-2025</t>
        </is>
      </c>
      <c r="B325" s="1" t="n">
        <v>45826</v>
      </c>
      <c r="C325" s="1" t="n">
        <v>45971</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45971</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45971</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45971</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4192-2025</t>
        </is>
      </c>
      <c r="B329" s="1" t="n">
        <v>45685</v>
      </c>
      <c r="C329" s="1" t="n">
        <v>45971</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32829-2025</t>
        </is>
      </c>
      <c r="B330" s="1" t="n">
        <v>45839.55091435185</v>
      </c>
      <c r="C330" s="1" t="n">
        <v>45971</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32797-2025</t>
        </is>
      </c>
      <c r="B331" s="1" t="n">
        <v>45839</v>
      </c>
      <c r="C331" s="1" t="n">
        <v>45971</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62346-2023</t>
        </is>
      </c>
      <c r="B332" s="1" t="n">
        <v>45267</v>
      </c>
      <c r="C332" s="1" t="n">
        <v>45971</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58498-2024</t>
        </is>
      </c>
      <c r="B333" s="1" t="n">
        <v>45635</v>
      </c>
      <c r="C333" s="1" t="n">
        <v>45971</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38540-2024</t>
        </is>
      </c>
      <c r="B334" s="1" t="n">
        <v>45546</v>
      </c>
      <c r="C334" s="1" t="n">
        <v>45971</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58499-2024</t>
        </is>
      </c>
      <c r="B335" s="1" t="n">
        <v>45635</v>
      </c>
      <c r="C335" s="1" t="n">
        <v>45971</v>
      </c>
      <c r="D335" t="inlineStr">
        <is>
          <t>VÄSTERBOTTENS LÄN</t>
        </is>
      </c>
      <c r="E335" t="inlineStr">
        <is>
          <t>SORSELE</t>
        </is>
      </c>
      <c r="G335" t="n">
        <v>6</v>
      </c>
      <c r="H335" t="n">
        <v>0</v>
      </c>
      <c r="I335" t="n">
        <v>0</v>
      </c>
      <c r="J335" t="n">
        <v>6</v>
      </c>
      <c r="K335" t="n">
        <v>0</v>
      </c>
      <c r="L335" t="n">
        <v>0</v>
      </c>
      <c r="M335" t="n">
        <v>0</v>
      </c>
      <c r="N335" t="n">
        <v>0</v>
      </c>
      <c r="O335" t="n">
        <v>6</v>
      </c>
      <c r="P335" t="n">
        <v>0</v>
      </c>
      <c r="Q335" t="n">
        <v>6</v>
      </c>
      <c r="R335" s="2" t="inlineStr">
        <is>
          <t>Garnlav
Granticka
Gränsticka
Harticka
Vedskivlav
Vitgrynig nållav</t>
        </is>
      </c>
      <c r="S335">
        <f>HYPERLINK("https://klasma.github.io/Logging_2422/artfynd/A 58499-2024 artfynd.xlsx", "A 58499-2024")</f>
        <v/>
      </c>
      <c r="T335">
        <f>HYPERLINK("https://klasma.github.io/Logging_2422/kartor/A 58499-2024 karta.png", "A 58499-2024")</f>
        <v/>
      </c>
      <c r="V335">
        <f>HYPERLINK("https://klasma.github.io/Logging_2422/klagomål/A 58499-2024 FSC-klagomål.docx", "A 58499-2024")</f>
        <v/>
      </c>
      <c r="W335">
        <f>HYPERLINK("https://klasma.github.io/Logging_2422/klagomålsmail/A 58499-2024 FSC-klagomål mail.docx", "A 58499-2024")</f>
        <v/>
      </c>
      <c r="X335">
        <f>HYPERLINK("https://klasma.github.io/Logging_2422/tillsyn/A 58499-2024 tillsynsbegäran.docx", "A 58499-2024")</f>
        <v/>
      </c>
      <c r="Y335">
        <f>HYPERLINK("https://klasma.github.io/Logging_2422/tillsynsmail/A 58499-2024 tillsynsbegäran mail.docx", "A 58499-2024")</f>
        <v/>
      </c>
    </row>
    <row r="336" ht="15" customHeight="1">
      <c r="A336" t="inlineStr">
        <is>
          <t>A 50916-2022</t>
        </is>
      </c>
      <c r="B336" s="1" t="n">
        <v>44865</v>
      </c>
      <c r="C336" s="1" t="n">
        <v>45971</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45973-2025</t>
        </is>
      </c>
      <c r="B337" s="1" t="n">
        <v>45924.36732638889</v>
      </c>
      <c r="C337" s="1" t="n">
        <v>45971</v>
      </c>
      <c r="D337" t="inlineStr">
        <is>
          <t>VÄSTERBOTTENS LÄN</t>
        </is>
      </c>
      <c r="E337" t="inlineStr">
        <is>
          <t>SKELLEFTEÅ</t>
        </is>
      </c>
      <c r="F337" t="inlineStr">
        <is>
          <t>Holmen skog AB</t>
        </is>
      </c>
      <c r="G337" t="n">
        <v>16.9</v>
      </c>
      <c r="H337" t="n">
        <v>2</v>
      </c>
      <c r="I337" t="n">
        <v>2</v>
      </c>
      <c r="J337" t="n">
        <v>4</v>
      </c>
      <c r="K337" t="n">
        <v>0</v>
      </c>
      <c r="L337" t="n">
        <v>0</v>
      </c>
      <c r="M337" t="n">
        <v>0</v>
      </c>
      <c r="N337" t="n">
        <v>0</v>
      </c>
      <c r="O337" t="n">
        <v>4</v>
      </c>
      <c r="P337" t="n">
        <v>0</v>
      </c>
      <c r="Q337" t="n">
        <v>6</v>
      </c>
      <c r="R337" s="2" t="inlineStr">
        <is>
          <t>Garnlav
Granticka
Spillkråka
Tretåig hackspett
Blodticka
Vedticka</t>
        </is>
      </c>
      <c r="S337">
        <f>HYPERLINK("https://klasma.github.io/Logging_2482/artfynd/A 45973-2025 artfynd.xlsx", "A 45973-2025")</f>
        <v/>
      </c>
      <c r="T337">
        <f>HYPERLINK("https://klasma.github.io/Logging_2482/kartor/A 45973-2025 karta.png", "A 45973-2025")</f>
        <v/>
      </c>
      <c r="V337">
        <f>HYPERLINK("https://klasma.github.io/Logging_2482/klagomål/A 45973-2025 FSC-klagomål.docx", "A 45973-2025")</f>
        <v/>
      </c>
      <c r="W337">
        <f>HYPERLINK("https://klasma.github.io/Logging_2482/klagomålsmail/A 45973-2025 FSC-klagomål mail.docx", "A 45973-2025")</f>
        <v/>
      </c>
      <c r="X337">
        <f>HYPERLINK("https://klasma.github.io/Logging_2482/tillsyn/A 45973-2025 tillsynsbegäran.docx", "A 45973-2025")</f>
        <v/>
      </c>
      <c r="Y337">
        <f>HYPERLINK("https://klasma.github.io/Logging_2482/tillsynsmail/A 45973-2025 tillsynsbegäran mail.docx", "A 45973-2025")</f>
        <v/>
      </c>
      <c r="Z337">
        <f>HYPERLINK("https://klasma.github.io/Logging_2482/fåglar/A 45973-2025 prioriterade fågelarter.docx", "A 45973-2025")</f>
        <v/>
      </c>
    </row>
    <row r="338" ht="15" customHeight="1">
      <c r="A338" t="inlineStr">
        <is>
          <t>A 58497-2024</t>
        </is>
      </c>
      <c r="B338" s="1" t="n">
        <v>45635</v>
      </c>
      <c r="C338" s="1" t="n">
        <v>45971</v>
      </c>
      <c r="D338" t="inlineStr">
        <is>
          <t>VÄSTERBOTTENS LÄN</t>
        </is>
      </c>
      <c r="E338" t="inlineStr">
        <is>
          <t>SORSELE</t>
        </is>
      </c>
      <c r="G338" t="n">
        <v>4.1</v>
      </c>
      <c r="H338" t="n">
        <v>0</v>
      </c>
      <c r="I338" t="n">
        <v>0</v>
      </c>
      <c r="J338" t="n">
        <v>6</v>
      </c>
      <c r="K338" t="n">
        <v>0</v>
      </c>
      <c r="L338" t="n">
        <v>0</v>
      </c>
      <c r="M338" t="n">
        <v>0</v>
      </c>
      <c r="N338" t="n">
        <v>0</v>
      </c>
      <c r="O338" t="n">
        <v>6</v>
      </c>
      <c r="P338" t="n">
        <v>0</v>
      </c>
      <c r="Q338" t="n">
        <v>6</v>
      </c>
      <c r="R338" s="2" t="inlineStr">
        <is>
          <t>Garnlav
Granticka
Harticka
Knottrig blåslav
Vitgrynig nållav
Vitskaftad svartspik</t>
        </is>
      </c>
      <c r="S338">
        <f>HYPERLINK("https://klasma.github.io/Logging_2422/artfynd/A 58497-2024 artfynd.xlsx", "A 58497-2024")</f>
        <v/>
      </c>
      <c r="T338">
        <f>HYPERLINK("https://klasma.github.io/Logging_2422/kartor/A 58497-2024 karta.png", "A 58497-2024")</f>
        <v/>
      </c>
      <c r="V338">
        <f>HYPERLINK("https://klasma.github.io/Logging_2422/klagomål/A 58497-2024 FSC-klagomål.docx", "A 58497-2024")</f>
        <v/>
      </c>
      <c r="W338">
        <f>HYPERLINK("https://klasma.github.io/Logging_2422/klagomålsmail/A 58497-2024 FSC-klagomål mail.docx", "A 58497-2024")</f>
        <v/>
      </c>
      <c r="X338">
        <f>HYPERLINK("https://klasma.github.io/Logging_2422/tillsyn/A 58497-2024 tillsynsbegäran.docx", "A 58497-2024")</f>
        <v/>
      </c>
      <c r="Y338">
        <f>HYPERLINK("https://klasma.github.io/Logging_2422/tillsynsmail/A 58497-2024 tillsynsbegäran mail.docx", "A 58497-2024")</f>
        <v/>
      </c>
    </row>
    <row r="339" ht="15" customHeight="1">
      <c r="A339" t="inlineStr">
        <is>
          <t>A 24279-2021</t>
        </is>
      </c>
      <c r="B339" s="1" t="n">
        <v>44336</v>
      </c>
      <c r="C339" s="1" t="n">
        <v>45971</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61439-2020</t>
        </is>
      </c>
      <c r="B340" s="1" t="n">
        <v>44157</v>
      </c>
      <c r="C340" s="1" t="n">
        <v>45971</v>
      </c>
      <c r="D340" t="inlineStr">
        <is>
          <t>VÄSTERBOTTENS LÄN</t>
        </is>
      </c>
      <c r="E340" t="inlineStr">
        <is>
          <t>UMEÅ</t>
        </is>
      </c>
      <c r="G340" t="n">
        <v>11.8</v>
      </c>
      <c r="H340" t="n">
        <v>1</v>
      </c>
      <c r="I340" t="n">
        <v>0</v>
      </c>
      <c r="J340" t="n">
        <v>5</v>
      </c>
      <c r="K340" t="n">
        <v>0</v>
      </c>
      <c r="L340" t="n">
        <v>0</v>
      </c>
      <c r="M340" t="n">
        <v>0</v>
      </c>
      <c r="N340" t="n">
        <v>0</v>
      </c>
      <c r="O340" t="n">
        <v>5</v>
      </c>
      <c r="P340" t="n">
        <v>0</v>
      </c>
      <c r="Q340" t="n">
        <v>5</v>
      </c>
      <c r="R340" s="2" t="inlineStr">
        <is>
          <t>Gammelgransskål
Garnlav
Spillkråka
Ullticka
Vitgrynig nållav</t>
        </is>
      </c>
      <c r="S340">
        <f>HYPERLINK("https://klasma.github.io/Logging_2480/artfynd/A 61439-2020 artfynd.xlsx", "A 61439-2020")</f>
        <v/>
      </c>
      <c r="T340">
        <f>HYPERLINK("https://klasma.github.io/Logging_2480/kartor/A 61439-2020 karta.png", "A 61439-2020")</f>
        <v/>
      </c>
      <c r="V340">
        <f>HYPERLINK("https://klasma.github.io/Logging_2480/klagomål/A 61439-2020 FSC-klagomål.docx", "A 61439-2020")</f>
        <v/>
      </c>
      <c r="W340">
        <f>HYPERLINK("https://klasma.github.io/Logging_2480/klagomålsmail/A 61439-2020 FSC-klagomål mail.docx", "A 61439-2020")</f>
        <v/>
      </c>
      <c r="X340">
        <f>HYPERLINK("https://klasma.github.io/Logging_2480/tillsyn/A 61439-2020 tillsynsbegäran.docx", "A 61439-2020")</f>
        <v/>
      </c>
      <c r="Y340">
        <f>HYPERLINK("https://klasma.github.io/Logging_2480/tillsynsmail/A 61439-2020 tillsynsbegäran mail.docx", "A 61439-2020")</f>
        <v/>
      </c>
      <c r="Z340">
        <f>HYPERLINK("https://klasma.github.io/Logging_2480/fåglar/A 61439-2020 prioriterade fågelarter.docx", "A 61439-2020")</f>
        <v/>
      </c>
    </row>
    <row r="341" ht="15" customHeight="1">
      <c r="A341" t="inlineStr">
        <is>
          <t>A 54568-2021</t>
        </is>
      </c>
      <c r="B341" s="1" t="n">
        <v>44473</v>
      </c>
      <c r="C341" s="1" t="n">
        <v>45971</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45971</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45971</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45971</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45971</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45971</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15648-2023</t>
        </is>
      </c>
      <c r="B347" s="1" t="n">
        <v>45019</v>
      </c>
      <c r="C347" s="1" t="n">
        <v>45971</v>
      </c>
      <c r="D347" t="inlineStr">
        <is>
          <t>VÄSTERBOTTENS LÄN</t>
        </is>
      </c>
      <c r="E347" t="inlineStr">
        <is>
          <t>UMEÅ</t>
        </is>
      </c>
      <c r="F347" t="inlineStr">
        <is>
          <t>Kommuner</t>
        </is>
      </c>
      <c r="G347" t="n">
        <v>6.9</v>
      </c>
      <c r="H347" t="n">
        <v>0</v>
      </c>
      <c r="I347" t="n">
        <v>1</v>
      </c>
      <c r="J347" t="n">
        <v>4</v>
      </c>
      <c r="K347" t="n">
        <v>0</v>
      </c>
      <c r="L347" t="n">
        <v>0</v>
      </c>
      <c r="M347" t="n">
        <v>0</v>
      </c>
      <c r="N347" t="n">
        <v>0</v>
      </c>
      <c r="O347" t="n">
        <v>4</v>
      </c>
      <c r="P347" t="n">
        <v>0</v>
      </c>
      <c r="Q347" t="n">
        <v>5</v>
      </c>
      <c r="R347" s="2" t="inlineStr">
        <is>
          <t>Gammelgransskål
Garnlav
Granticka
Ullticka
Bollvitmossa</t>
        </is>
      </c>
      <c r="S347">
        <f>HYPERLINK("https://klasma.github.io/Logging_2480/artfynd/A 15648-2023 artfynd.xlsx", "A 15648-2023")</f>
        <v/>
      </c>
      <c r="T347">
        <f>HYPERLINK("https://klasma.github.io/Logging_2480/kartor/A 15648-2023 karta.png", "A 15648-2023")</f>
        <v/>
      </c>
      <c r="V347">
        <f>HYPERLINK("https://klasma.github.io/Logging_2480/klagomål/A 15648-2023 FSC-klagomål.docx", "A 15648-2023")</f>
        <v/>
      </c>
      <c r="W347">
        <f>HYPERLINK("https://klasma.github.io/Logging_2480/klagomålsmail/A 15648-2023 FSC-klagomål mail.docx", "A 15648-2023")</f>
        <v/>
      </c>
      <c r="X347">
        <f>HYPERLINK("https://klasma.github.io/Logging_2480/tillsyn/A 15648-2023 tillsynsbegäran.docx", "A 15648-2023")</f>
        <v/>
      </c>
      <c r="Y347">
        <f>HYPERLINK("https://klasma.github.io/Logging_2480/tillsynsmail/A 15648-2023 tillsynsbegäran mail.docx", "A 15648-2023")</f>
        <v/>
      </c>
    </row>
    <row r="348" ht="15" customHeight="1">
      <c r="A348" t="inlineStr">
        <is>
          <t>A 32237-2024</t>
        </is>
      </c>
      <c r="B348" s="1" t="n">
        <v>45511.92913194445</v>
      </c>
      <c r="C348" s="1" t="n">
        <v>45971</v>
      </c>
      <c r="D348" t="inlineStr">
        <is>
          <t>VÄSTERBOTTENS LÄN</t>
        </is>
      </c>
      <c r="E348" t="inlineStr">
        <is>
          <t>NORSJÖ</t>
        </is>
      </c>
      <c r="G348" t="n">
        <v>10</v>
      </c>
      <c r="H348" t="n">
        <v>0</v>
      </c>
      <c r="I348" t="n">
        <v>1</v>
      </c>
      <c r="J348" t="n">
        <v>3</v>
      </c>
      <c r="K348" t="n">
        <v>1</v>
      </c>
      <c r="L348" t="n">
        <v>0</v>
      </c>
      <c r="M348" t="n">
        <v>0</v>
      </c>
      <c r="N348" t="n">
        <v>0</v>
      </c>
      <c r="O348" t="n">
        <v>4</v>
      </c>
      <c r="P348" t="n">
        <v>1</v>
      </c>
      <c r="Q348" t="n">
        <v>5</v>
      </c>
      <c r="R348" s="2" t="inlineStr">
        <is>
          <t>Torrmusseron
Blå taggsvamp
Motaggsvamp
Skrovlig taggsvamp
Dropptaggsvamp</t>
        </is>
      </c>
      <c r="S348">
        <f>HYPERLINK("https://klasma.github.io/Logging_2417/artfynd/A 32237-2024 artfynd.xlsx", "A 32237-2024")</f>
        <v/>
      </c>
      <c r="T348">
        <f>HYPERLINK("https://klasma.github.io/Logging_2417/kartor/A 32237-2024 karta.png", "A 32237-2024")</f>
        <v/>
      </c>
      <c r="V348">
        <f>HYPERLINK("https://klasma.github.io/Logging_2417/klagomål/A 32237-2024 FSC-klagomål.docx", "A 32237-2024")</f>
        <v/>
      </c>
      <c r="W348">
        <f>HYPERLINK("https://klasma.github.io/Logging_2417/klagomålsmail/A 32237-2024 FSC-klagomål mail.docx", "A 32237-2024")</f>
        <v/>
      </c>
      <c r="X348">
        <f>HYPERLINK("https://klasma.github.io/Logging_2417/tillsyn/A 32237-2024 tillsynsbegäran.docx", "A 32237-2024")</f>
        <v/>
      </c>
      <c r="Y348">
        <f>HYPERLINK("https://klasma.github.io/Logging_2417/tillsynsmail/A 32237-2024 tillsynsbegäran mail.docx", "A 32237-2024")</f>
        <v/>
      </c>
    </row>
    <row r="349" ht="15" customHeight="1">
      <c r="A349" t="inlineStr">
        <is>
          <t>A 8655-2024</t>
        </is>
      </c>
      <c r="B349" s="1" t="n">
        <v>45356</v>
      </c>
      <c r="C349" s="1" t="n">
        <v>45971</v>
      </c>
      <c r="D349" t="inlineStr">
        <is>
          <t>VÄSTERBOTTENS LÄN</t>
        </is>
      </c>
      <c r="E349" t="inlineStr">
        <is>
          <t>ÅSELE</t>
        </is>
      </c>
      <c r="F349" t="inlineStr">
        <is>
          <t>SCA</t>
        </is>
      </c>
      <c r="G349" t="n">
        <v>12.3</v>
      </c>
      <c r="H349" t="n">
        <v>0</v>
      </c>
      <c r="I349" t="n">
        <v>2</v>
      </c>
      <c r="J349" t="n">
        <v>3</v>
      </c>
      <c r="K349" t="n">
        <v>0</v>
      </c>
      <c r="L349" t="n">
        <v>0</v>
      </c>
      <c r="M349" t="n">
        <v>0</v>
      </c>
      <c r="N349" t="n">
        <v>0</v>
      </c>
      <c r="O349" t="n">
        <v>3</v>
      </c>
      <c r="P349" t="n">
        <v>0</v>
      </c>
      <c r="Q349" t="n">
        <v>5</v>
      </c>
      <c r="R349" s="2" t="inlineStr">
        <is>
          <t>Garnlav
Lunglav
Skrovellav
Bårdlav
Stuplav</t>
        </is>
      </c>
      <c r="S349">
        <f>HYPERLINK("https://klasma.github.io/Logging_2463/artfynd/A 8655-2024 artfynd.xlsx", "A 8655-2024")</f>
        <v/>
      </c>
      <c r="T349">
        <f>HYPERLINK("https://klasma.github.io/Logging_2463/kartor/A 8655-2024 karta.png", "A 8655-2024")</f>
        <v/>
      </c>
      <c r="V349">
        <f>HYPERLINK("https://klasma.github.io/Logging_2463/klagomål/A 8655-2024 FSC-klagomål.docx", "A 8655-2024")</f>
        <v/>
      </c>
      <c r="W349">
        <f>HYPERLINK("https://klasma.github.io/Logging_2463/klagomålsmail/A 8655-2024 FSC-klagomål mail.docx", "A 8655-2024")</f>
        <v/>
      </c>
      <c r="X349">
        <f>HYPERLINK("https://klasma.github.io/Logging_2463/tillsyn/A 8655-2024 tillsynsbegäran.docx", "A 8655-2024")</f>
        <v/>
      </c>
      <c r="Y349">
        <f>HYPERLINK("https://klasma.github.io/Logging_2463/tillsynsmail/A 8655-2024 tillsynsbegäran mail.docx", "A 8655-2024")</f>
        <v/>
      </c>
    </row>
    <row r="350" ht="15" customHeight="1">
      <c r="A350" t="inlineStr">
        <is>
          <t>A 11867-2022</t>
        </is>
      </c>
      <c r="B350" s="1" t="n">
        <v>44635</v>
      </c>
      <c r="C350" s="1" t="n">
        <v>45971</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45971</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28831-2024</t>
        </is>
      </c>
      <c r="B352" s="1" t="n">
        <v>45478.67707175926</v>
      </c>
      <c r="C352" s="1" t="n">
        <v>45971</v>
      </c>
      <c r="D352" t="inlineStr">
        <is>
          <t>VÄSTERBOTTENS LÄN</t>
        </is>
      </c>
      <c r="E352" t="inlineStr">
        <is>
          <t>VINDELN</t>
        </is>
      </c>
      <c r="F352" t="inlineStr">
        <is>
          <t>Holmen skog AB</t>
        </is>
      </c>
      <c r="G352" t="n">
        <v>1.6</v>
      </c>
      <c r="H352" t="n">
        <v>2</v>
      </c>
      <c r="I352" t="n">
        <v>1</v>
      </c>
      <c r="J352" t="n">
        <v>4</v>
      </c>
      <c r="K352" t="n">
        <v>0</v>
      </c>
      <c r="L352" t="n">
        <v>0</v>
      </c>
      <c r="M352" t="n">
        <v>0</v>
      </c>
      <c r="N352" t="n">
        <v>0</v>
      </c>
      <c r="O352" t="n">
        <v>4</v>
      </c>
      <c r="P352" t="n">
        <v>0</v>
      </c>
      <c r="Q352" t="n">
        <v>5</v>
      </c>
      <c r="R352" s="2" t="inlineStr">
        <is>
          <t>Garnlav
Spillkråka
Tretåig hackspett
Ullticka
Vedticka</t>
        </is>
      </c>
      <c r="S352">
        <f>HYPERLINK("https://klasma.github.io/Logging_2404/artfynd/A 28831-2024 artfynd.xlsx", "A 28831-2024")</f>
        <v/>
      </c>
      <c r="T352">
        <f>HYPERLINK("https://klasma.github.io/Logging_2404/kartor/A 28831-2024 karta.png", "A 28831-2024")</f>
        <v/>
      </c>
      <c r="V352">
        <f>HYPERLINK("https://klasma.github.io/Logging_2404/klagomål/A 28831-2024 FSC-klagomål.docx", "A 28831-2024")</f>
        <v/>
      </c>
      <c r="W352">
        <f>HYPERLINK("https://klasma.github.io/Logging_2404/klagomålsmail/A 28831-2024 FSC-klagomål mail.docx", "A 28831-2024")</f>
        <v/>
      </c>
      <c r="X352">
        <f>HYPERLINK("https://klasma.github.io/Logging_2404/tillsyn/A 28831-2024 tillsynsbegäran.docx", "A 28831-2024")</f>
        <v/>
      </c>
      <c r="Y352">
        <f>HYPERLINK("https://klasma.github.io/Logging_2404/tillsynsmail/A 28831-2024 tillsynsbegäran mail.docx", "A 28831-2024")</f>
        <v/>
      </c>
      <c r="Z352">
        <f>HYPERLINK("https://klasma.github.io/Logging_2404/fåglar/A 28831-2024 prioriterade fågelarter.docx", "A 28831-2024")</f>
        <v/>
      </c>
    </row>
    <row r="353" ht="15" customHeight="1">
      <c r="A353" t="inlineStr">
        <is>
          <t>A 63239-2020</t>
        </is>
      </c>
      <c r="B353" s="1" t="n">
        <v>44163</v>
      </c>
      <c r="C353" s="1" t="n">
        <v>45971</v>
      </c>
      <c r="D353" t="inlineStr">
        <is>
          <t>VÄSTERBOTTENS LÄN</t>
        </is>
      </c>
      <c r="E353" t="inlineStr">
        <is>
          <t>ROBERTSFORS</t>
        </is>
      </c>
      <c r="F353" t="inlineStr">
        <is>
          <t>Sveaskog</t>
        </is>
      </c>
      <c r="G353" t="n">
        <v>6.1</v>
      </c>
      <c r="H353" t="n">
        <v>0</v>
      </c>
      <c r="I353" t="n">
        <v>2</v>
      </c>
      <c r="J353" t="n">
        <v>3</v>
      </c>
      <c r="K353" t="n">
        <v>0</v>
      </c>
      <c r="L353" t="n">
        <v>0</v>
      </c>
      <c r="M353" t="n">
        <v>0</v>
      </c>
      <c r="N353" t="n">
        <v>0</v>
      </c>
      <c r="O353" t="n">
        <v>3</v>
      </c>
      <c r="P353" t="n">
        <v>0</v>
      </c>
      <c r="Q353" t="n">
        <v>5</v>
      </c>
      <c r="R353" s="2" t="inlineStr">
        <is>
          <t>Gammelgransskål
Stjärntagging
Ullticka
Bronshjon
Vedticka</t>
        </is>
      </c>
      <c r="S353">
        <f>HYPERLINK("https://klasma.github.io/Logging_2409/artfynd/A 63239-2020 artfynd.xlsx", "A 63239-2020")</f>
        <v/>
      </c>
      <c r="T353">
        <f>HYPERLINK("https://klasma.github.io/Logging_2409/kartor/A 63239-2020 karta.png", "A 63239-2020")</f>
        <v/>
      </c>
      <c r="V353">
        <f>HYPERLINK("https://klasma.github.io/Logging_2409/klagomål/A 63239-2020 FSC-klagomål.docx", "A 63239-2020")</f>
        <v/>
      </c>
      <c r="W353">
        <f>HYPERLINK("https://klasma.github.io/Logging_2409/klagomålsmail/A 63239-2020 FSC-klagomål mail.docx", "A 63239-2020")</f>
        <v/>
      </c>
      <c r="X353">
        <f>HYPERLINK("https://klasma.github.io/Logging_2409/tillsyn/A 63239-2020 tillsynsbegäran.docx", "A 63239-2020")</f>
        <v/>
      </c>
      <c r="Y353">
        <f>HYPERLINK("https://klasma.github.io/Logging_2409/tillsynsmail/A 63239-2020 tillsynsbegäran mail.docx", "A 63239-2020")</f>
        <v/>
      </c>
    </row>
    <row r="354" ht="15" customHeight="1">
      <c r="A354" t="inlineStr">
        <is>
          <t>A 10345-2023</t>
        </is>
      </c>
      <c r="B354" s="1" t="n">
        <v>44980</v>
      </c>
      <c r="C354" s="1" t="n">
        <v>45971</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45971</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52787-2023</t>
        </is>
      </c>
      <c r="B356" s="1" t="n">
        <v>45219</v>
      </c>
      <c r="C356" s="1" t="n">
        <v>45971</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49243-2023</t>
        </is>
      </c>
      <c r="B357" s="1" t="n">
        <v>45210.65243055556</v>
      </c>
      <c r="C357" s="1" t="n">
        <v>45971</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Leptoporus mollis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42046-2023</t>
        </is>
      </c>
      <c r="B358" s="1" t="n">
        <v>45177</v>
      </c>
      <c r="C358" s="1" t="n">
        <v>45971</v>
      </c>
      <c r="D358" t="inlineStr">
        <is>
          <t>VÄSTERBOTTENS LÄN</t>
        </is>
      </c>
      <c r="E358" t="inlineStr">
        <is>
          <t>ÅSELE</t>
        </is>
      </c>
      <c r="F358" t="inlineStr">
        <is>
          <t>Holmen skog AB</t>
        </is>
      </c>
      <c r="G358" t="n">
        <v>3.6</v>
      </c>
      <c r="H358" t="n">
        <v>0</v>
      </c>
      <c r="I358" t="n">
        <v>1</v>
      </c>
      <c r="J358" t="n">
        <v>4</v>
      </c>
      <c r="K358" t="n">
        <v>0</v>
      </c>
      <c r="L358" t="n">
        <v>0</v>
      </c>
      <c r="M358" t="n">
        <v>0</v>
      </c>
      <c r="N358" t="n">
        <v>0</v>
      </c>
      <c r="O358" t="n">
        <v>4</v>
      </c>
      <c r="P358" t="n">
        <v>0</v>
      </c>
      <c r="Q358" t="n">
        <v>5</v>
      </c>
      <c r="R358" s="2" t="inlineStr">
        <is>
          <t>Granticka
Kortskaftad ärgspik
Lunglav
Skrovellav
Luddlav</t>
        </is>
      </c>
      <c r="S358">
        <f>HYPERLINK("https://klasma.github.io/Logging_2463/artfynd/A 42046-2023 artfynd.xlsx", "A 42046-2023")</f>
        <v/>
      </c>
      <c r="T358">
        <f>HYPERLINK("https://klasma.github.io/Logging_2463/kartor/A 42046-2023 karta.png", "A 42046-2023")</f>
        <v/>
      </c>
      <c r="V358">
        <f>HYPERLINK("https://klasma.github.io/Logging_2463/klagomål/A 42046-2023 FSC-klagomål.docx", "A 42046-2023")</f>
        <v/>
      </c>
      <c r="W358">
        <f>HYPERLINK("https://klasma.github.io/Logging_2463/klagomålsmail/A 42046-2023 FSC-klagomål mail.docx", "A 42046-2023")</f>
        <v/>
      </c>
      <c r="X358">
        <f>HYPERLINK("https://klasma.github.io/Logging_2463/tillsyn/A 42046-2023 tillsynsbegäran.docx", "A 42046-2023")</f>
        <v/>
      </c>
      <c r="Y358">
        <f>HYPERLINK("https://klasma.github.io/Logging_2463/tillsynsmail/A 42046-2023 tillsynsbegäran mail.docx", "A 42046-2023")</f>
        <v/>
      </c>
    </row>
    <row r="359" ht="15" customHeight="1">
      <c r="A359" t="inlineStr">
        <is>
          <t>A 55009-2022</t>
        </is>
      </c>
      <c r="B359" s="1" t="n">
        <v>44881</v>
      </c>
      <c r="C359" s="1" t="n">
        <v>45971</v>
      </c>
      <c r="D359" t="inlineStr">
        <is>
          <t>VÄSTERBOTTENS LÄN</t>
        </is>
      </c>
      <c r="E359" t="inlineStr">
        <is>
          <t>BJURHOLM</t>
        </is>
      </c>
      <c r="G359" t="n">
        <v>11.2</v>
      </c>
      <c r="H359" t="n">
        <v>0</v>
      </c>
      <c r="I359" t="n">
        <v>3</v>
      </c>
      <c r="J359" t="n">
        <v>2</v>
      </c>
      <c r="K359" t="n">
        <v>0</v>
      </c>
      <c r="L359" t="n">
        <v>0</v>
      </c>
      <c r="M359" t="n">
        <v>0</v>
      </c>
      <c r="N359" t="n">
        <v>0</v>
      </c>
      <c r="O359" t="n">
        <v>2</v>
      </c>
      <c r="P359" t="n">
        <v>0</v>
      </c>
      <c r="Q359" t="n">
        <v>5</v>
      </c>
      <c r="R359" s="2" t="inlineStr">
        <is>
          <t>Lunglav
Mörk kolflarnlav
Skinnlav
Stuplav
Vedticka</t>
        </is>
      </c>
      <c r="S359">
        <f>HYPERLINK("https://klasma.github.io/Logging_2403/artfynd/A 55009-2022 artfynd.xlsx", "A 55009-2022")</f>
        <v/>
      </c>
      <c r="T359">
        <f>HYPERLINK("https://klasma.github.io/Logging_2403/kartor/A 55009-2022 karta.png", "A 55009-2022")</f>
        <v/>
      </c>
      <c r="V359">
        <f>HYPERLINK("https://klasma.github.io/Logging_2403/klagomål/A 55009-2022 FSC-klagomål.docx", "A 55009-2022")</f>
        <v/>
      </c>
      <c r="W359">
        <f>HYPERLINK("https://klasma.github.io/Logging_2403/klagomålsmail/A 55009-2022 FSC-klagomål mail.docx", "A 55009-2022")</f>
        <v/>
      </c>
      <c r="X359">
        <f>HYPERLINK("https://klasma.github.io/Logging_2403/tillsyn/A 55009-2022 tillsynsbegäran.docx", "A 55009-2022")</f>
        <v/>
      </c>
      <c r="Y359">
        <f>HYPERLINK("https://klasma.github.io/Logging_2403/tillsynsmail/A 55009-2022 tillsynsbegäran mail.docx", "A 55009-2022")</f>
        <v/>
      </c>
    </row>
    <row r="360" ht="15" customHeight="1">
      <c r="A360" t="inlineStr">
        <is>
          <t>A 56053-2024</t>
        </is>
      </c>
      <c r="B360" s="1" t="n">
        <v>45624</v>
      </c>
      <c r="C360" s="1" t="n">
        <v>45971</v>
      </c>
      <c r="D360" t="inlineStr">
        <is>
          <t>VÄSTERBOTTENS LÄN</t>
        </is>
      </c>
      <c r="E360" t="inlineStr">
        <is>
          <t>LYCKSELE</t>
        </is>
      </c>
      <c r="F360" t="inlineStr">
        <is>
          <t>Sveaskog</t>
        </is>
      </c>
      <c r="G360" t="n">
        <v>8.1</v>
      </c>
      <c r="H360" t="n">
        <v>0</v>
      </c>
      <c r="I360" t="n">
        <v>2</v>
      </c>
      <c r="J360" t="n">
        <v>3</v>
      </c>
      <c r="K360" t="n">
        <v>0</v>
      </c>
      <c r="L360" t="n">
        <v>0</v>
      </c>
      <c r="M360" t="n">
        <v>0</v>
      </c>
      <c r="N360" t="n">
        <v>0</v>
      </c>
      <c r="O360" t="n">
        <v>3</v>
      </c>
      <c r="P360" t="n">
        <v>0</v>
      </c>
      <c r="Q360" t="n">
        <v>5</v>
      </c>
      <c r="R360" s="2" t="inlineStr">
        <is>
          <t>Granticka
Rosenticka
Vedskivlav
Trådticka
Vedticka</t>
        </is>
      </c>
      <c r="S360">
        <f>HYPERLINK("https://klasma.github.io/Logging_2481/artfynd/A 56053-2024 artfynd.xlsx", "A 56053-2024")</f>
        <v/>
      </c>
      <c r="T360">
        <f>HYPERLINK("https://klasma.github.io/Logging_2481/kartor/A 56053-2024 karta.png", "A 56053-2024")</f>
        <v/>
      </c>
      <c r="V360">
        <f>HYPERLINK("https://klasma.github.io/Logging_2481/klagomål/A 56053-2024 FSC-klagomål.docx", "A 56053-2024")</f>
        <v/>
      </c>
      <c r="W360">
        <f>HYPERLINK("https://klasma.github.io/Logging_2481/klagomålsmail/A 56053-2024 FSC-klagomål mail.docx", "A 56053-2024")</f>
        <v/>
      </c>
      <c r="X360">
        <f>HYPERLINK("https://klasma.github.io/Logging_2481/tillsyn/A 56053-2024 tillsynsbegäran.docx", "A 56053-2024")</f>
        <v/>
      </c>
      <c r="Y360">
        <f>HYPERLINK("https://klasma.github.io/Logging_2481/tillsynsmail/A 56053-2024 tillsynsbegäran mail.docx", "A 56053-2024")</f>
        <v/>
      </c>
    </row>
    <row r="361" ht="15" customHeight="1">
      <c r="A361" t="inlineStr">
        <is>
          <t>A 42193-2024</t>
        </is>
      </c>
      <c r="B361" s="1" t="n">
        <v>45562.50009259259</v>
      </c>
      <c r="C361" s="1" t="n">
        <v>45971</v>
      </c>
      <c r="D361" t="inlineStr">
        <is>
          <t>VÄSTERBOTTENS LÄN</t>
        </is>
      </c>
      <c r="E361" t="inlineStr">
        <is>
          <t>UMEÅ</t>
        </is>
      </c>
      <c r="F361" t="inlineStr">
        <is>
          <t>Kommuner</t>
        </is>
      </c>
      <c r="G361" t="n">
        <v>2.2</v>
      </c>
      <c r="H361" t="n">
        <v>1</v>
      </c>
      <c r="I361" t="n">
        <v>1</v>
      </c>
      <c r="J361" t="n">
        <v>3</v>
      </c>
      <c r="K361" t="n">
        <v>1</v>
      </c>
      <c r="L361" t="n">
        <v>0</v>
      </c>
      <c r="M361" t="n">
        <v>0</v>
      </c>
      <c r="N361" t="n">
        <v>0</v>
      </c>
      <c r="O361" t="n">
        <v>4</v>
      </c>
      <c r="P361" t="n">
        <v>1</v>
      </c>
      <c r="Q361" t="n">
        <v>5</v>
      </c>
      <c r="R361" s="2" t="inlineStr">
        <is>
          <t>Smalfotad taggsvamp
Mjölsvärting
Skrovlig taggsvamp
Talltita
Dropptaggsvamp</t>
        </is>
      </c>
      <c r="S361">
        <f>HYPERLINK("https://klasma.github.io/Logging_2480/artfynd/A 42193-2024 artfynd.xlsx", "A 42193-2024")</f>
        <v/>
      </c>
      <c r="T361">
        <f>HYPERLINK("https://klasma.github.io/Logging_2480/kartor/A 42193-2024 karta.png", "A 42193-2024")</f>
        <v/>
      </c>
      <c r="V361">
        <f>HYPERLINK("https://klasma.github.io/Logging_2480/klagomål/A 42193-2024 FSC-klagomål.docx", "A 42193-2024")</f>
        <v/>
      </c>
      <c r="W361">
        <f>HYPERLINK("https://klasma.github.io/Logging_2480/klagomålsmail/A 42193-2024 FSC-klagomål mail.docx", "A 42193-2024")</f>
        <v/>
      </c>
      <c r="X361">
        <f>HYPERLINK("https://klasma.github.io/Logging_2480/tillsyn/A 42193-2024 tillsynsbegäran.docx", "A 42193-2024")</f>
        <v/>
      </c>
      <c r="Y361">
        <f>HYPERLINK("https://klasma.github.io/Logging_2480/tillsynsmail/A 42193-2024 tillsynsbegäran mail.docx", "A 42193-2024")</f>
        <v/>
      </c>
      <c r="Z361">
        <f>HYPERLINK("https://klasma.github.io/Logging_2480/fåglar/A 42193-2024 prioriterade fågelarter.docx", "A 42193-2024")</f>
        <v/>
      </c>
    </row>
    <row r="362" ht="15" customHeight="1">
      <c r="A362" t="inlineStr">
        <is>
          <t>A 33941-2024</t>
        </is>
      </c>
      <c r="B362" s="1" t="n">
        <v>45523.44668981482</v>
      </c>
      <c r="C362" s="1" t="n">
        <v>45971</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20701-2023</t>
        </is>
      </c>
      <c r="B363" s="1" t="n">
        <v>45055</v>
      </c>
      <c r="C363" s="1" t="n">
        <v>45971</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45971</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63255-2023</t>
        </is>
      </c>
      <c r="B365" s="1" t="n">
        <v>45273</v>
      </c>
      <c r="C365" s="1" t="n">
        <v>45971</v>
      </c>
      <c r="D365" t="inlineStr">
        <is>
          <t>VÄSTERBOTTENS LÄN</t>
        </is>
      </c>
      <c r="E365" t="inlineStr">
        <is>
          <t>NORDMALING</t>
        </is>
      </c>
      <c r="G365" t="n">
        <v>2.4</v>
      </c>
      <c r="H365" t="n">
        <v>1</v>
      </c>
      <c r="I365" t="n">
        <v>4</v>
      </c>
      <c r="J365" t="n">
        <v>1</v>
      </c>
      <c r="K365" t="n">
        <v>0</v>
      </c>
      <c r="L365" t="n">
        <v>0</v>
      </c>
      <c r="M365" t="n">
        <v>0</v>
      </c>
      <c r="N365" t="n">
        <v>0</v>
      </c>
      <c r="O365" t="n">
        <v>1</v>
      </c>
      <c r="P365" t="n">
        <v>0</v>
      </c>
      <c r="Q365" t="n">
        <v>5</v>
      </c>
      <c r="R365" s="2" t="inlineStr">
        <is>
          <t>Svartvit flugsnappare
Dropptaggsvamp
Nästlav
Skinnlav
Trådticka</t>
        </is>
      </c>
      <c r="S365">
        <f>HYPERLINK("https://klasma.github.io/Logging_2401/artfynd/A 63255-2023 artfynd.xlsx", "A 63255-2023")</f>
        <v/>
      </c>
      <c r="T365">
        <f>HYPERLINK("https://klasma.github.io/Logging_2401/kartor/A 63255-2023 karta.png", "A 63255-2023")</f>
        <v/>
      </c>
      <c r="V365">
        <f>HYPERLINK("https://klasma.github.io/Logging_2401/klagomål/A 63255-2023 FSC-klagomål.docx", "A 63255-2023")</f>
        <v/>
      </c>
      <c r="W365">
        <f>HYPERLINK("https://klasma.github.io/Logging_2401/klagomålsmail/A 63255-2023 FSC-klagomål mail.docx", "A 63255-2023")</f>
        <v/>
      </c>
      <c r="X365">
        <f>HYPERLINK("https://klasma.github.io/Logging_2401/tillsyn/A 63255-2023 tillsynsbegäran.docx", "A 63255-2023")</f>
        <v/>
      </c>
      <c r="Y365">
        <f>HYPERLINK("https://klasma.github.io/Logging_2401/tillsynsmail/A 63255-2023 tillsynsbegäran mail.docx", "A 63255-2023")</f>
        <v/>
      </c>
      <c r="Z365">
        <f>HYPERLINK("https://klasma.github.io/Logging_2401/fåglar/A 63255-2023 prioriterade fågelarter.docx", "A 63255-2023")</f>
        <v/>
      </c>
    </row>
    <row r="366" ht="15" customHeight="1">
      <c r="A366" t="inlineStr">
        <is>
          <t>A 54340-2024</t>
        </is>
      </c>
      <c r="B366" s="1" t="n">
        <v>45617</v>
      </c>
      <c r="C366" s="1" t="n">
        <v>45971</v>
      </c>
      <c r="D366" t="inlineStr">
        <is>
          <t>VÄSTERBOTTENS LÄN</t>
        </is>
      </c>
      <c r="E366" t="inlineStr">
        <is>
          <t>ÅSELE</t>
        </is>
      </c>
      <c r="F366" t="inlineStr">
        <is>
          <t>SCA</t>
        </is>
      </c>
      <c r="G366" t="n">
        <v>15.4</v>
      </c>
      <c r="H366" t="n">
        <v>0</v>
      </c>
      <c r="I366" t="n">
        <v>0</v>
      </c>
      <c r="J366" t="n">
        <v>5</v>
      </c>
      <c r="K366" t="n">
        <v>0</v>
      </c>
      <c r="L366" t="n">
        <v>0</v>
      </c>
      <c r="M366" t="n">
        <v>0</v>
      </c>
      <c r="N366" t="n">
        <v>0</v>
      </c>
      <c r="O366" t="n">
        <v>5</v>
      </c>
      <c r="P366" t="n">
        <v>0</v>
      </c>
      <c r="Q366" t="n">
        <v>5</v>
      </c>
      <c r="R366" s="2" t="inlineStr">
        <is>
          <t>Gammelgransskål
Garnlav
Granticka
Ullticka
Vitgrynig nållav</t>
        </is>
      </c>
      <c r="S366">
        <f>HYPERLINK("https://klasma.github.io/Logging_2463/artfynd/A 54340-2024 artfynd.xlsx", "A 54340-2024")</f>
        <v/>
      </c>
      <c r="T366">
        <f>HYPERLINK("https://klasma.github.io/Logging_2463/kartor/A 54340-2024 karta.png", "A 54340-2024")</f>
        <v/>
      </c>
      <c r="V366">
        <f>HYPERLINK("https://klasma.github.io/Logging_2463/klagomål/A 54340-2024 FSC-klagomål.docx", "A 54340-2024")</f>
        <v/>
      </c>
      <c r="W366">
        <f>HYPERLINK("https://klasma.github.io/Logging_2463/klagomålsmail/A 54340-2024 FSC-klagomål mail.docx", "A 54340-2024")</f>
        <v/>
      </c>
      <c r="X366">
        <f>HYPERLINK("https://klasma.github.io/Logging_2463/tillsyn/A 54340-2024 tillsynsbegäran.docx", "A 54340-2024")</f>
        <v/>
      </c>
      <c r="Y366">
        <f>HYPERLINK("https://klasma.github.io/Logging_2463/tillsynsmail/A 54340-2024 tillsynsbegäran mail.docx", "A 54340-2024")</f>
        <v/>
      </c>
    </row>
    <row r="367" ht="15" customHeight="1">
      <c r="A367" t="inlineStr">
        <is>
          <t>A 11796-2025</t>
        </is>
      </c>
      <c r="B367" s="1" t="n">
        <v>45727</v>
      </c>
      <c r="C367" s="1" t="n">
        <v>45971</v>
      </c>
      <c r="D367" t="inlineStr">
        <is>
          <t>VÄSTERBOTTENS LÄN</t>
        </is>
      </c>
      <c r="E367" t="inlineStr">
        <is>
          <t>UMEÅ</t>
        </is>
      </c>
      <c r="F367" t="inlineStr">
        <is>
          <t>Kommuner</t>
        </is>
      </c>
      <c r="G367" t="n">
        <v>2.5</v>
      </c>
      <c r="H367" t="n">
        <v>0</v>
      </c>
      <c r="I367" t="n">
        <v>1</v>
      </c>
      <c r="J367" t="n">
        <v>4</v>
      </c>
      <c r="K367" t="n">
        <v>0</v>
      </c>
      <c r="L367" t="n">
        <v>0</v>
      </c>
      <c r="M367" t="n">
        <v>0</v>
      </c>
      <c r="N367" t="n">
        <v>0</v>
      </c>
      <c r="O367" t="n">
        <v>4</v>
      </c>
      <c r="P367" t="n">
        <v>0</v>
      </c>
      <c r="Q367" t="n">
        <v>5</v>
      </c>
      <c r="R367" s="2" t="inlineStr">
        <is>
          <t>Granticka
Harticka
Stjärntagging
Ullticka
Vedticka</t>
        </is>
      </c>
      <c r="S367">
        <f>HYPERLINK("https://klasma.github.io/Logging_2480/artfynd/A 11796-2025 artfynd.xlsx", "A 11796-2025")</f>
        <v/>
      </c>
      <c r="T367">
        <f>HYPERLINK("https://klasma.github.io/Logging_2480/kartor/A 11796-2025 karta.png", "A 11796-2025")</f>
        <v/>
      </c>
      <c r="V367">
        <f>HYPERLINK("https://klasma.github.io/Logging_2480/klagomål/A 11796-2025 FSC-klagomål.docx", "A 11796-2025")</f>
        <v/>
      </c>
      <c r="W367">
        <f>HYPERLINK("https://klasma.github.io/Logging_2480/klagomålsmail/A 11796-2025 FSC-klagomål mail.docx", "A 11796-2025")</f>
        <v/>
      </c>
      <c r="X367">
        <f>HYPERLINK("https://klasma.github.io/Logging_2480/tillsyn/A 11796-2025 tillsynsbegäran.docx", "A 11796-2025")</f>
        <v/>
      </c>
      <c r="Y367">
        <f>HYPERLINK("https://klasma.github.io/Logging_2480/tillsynsmail/A 11796-2025 tillsynsbegäran mail.docx", "A 11796-2025")</f>
        <v/>
      </c>
    </row>
    <row r="368" ht="15" customHeight="1">
      <c r="A368" t="inlineStr">
        <is>
          <t>A 49806-2025</t>
        </is>
      </c>
      <c r="B368" s="1" t="n">
        <v>45940.41746527778</v>
      </c>
      <c r="C368" s="1" t="n">
        <v>45971</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55814-2023</t>
        </is>
      </c>
      <c r="B369" s="1" t="n">
        <v>45239</v>
      </c>
      <c r="C369" s="1" t="n">
        <v>45971</v>
      </c>
      <c r="D369" t="inlineStr">
        <is>
          <t>VÄSTERBOTTENS LÄN</t>
        </is>
      </c>
      <c r="E369" t="inlineStr">
        <is>
          <t>NORDMALING</t>
        </is>
      </c>
      <c r="G369" t="n">
        <v>2.7</v>
      </c>
      <c r="H369" t="n">
        <v>1</v>
      </c>
      <c r="I369" t="n">
        <v>1</v>
      </c>
      <c r="J369" t="n">
        <v>4</v>
      </c>
      <c r="K369" t="n">
        <v>0</v>
      </c>
      <c r="L369" t="n">
        <v>0</v>
      </c>
      <c r="M369" t="n">
        <v>0</v>
      </c>
      <c r="N369" t="n">
        <v>0</v>
      </c>
      <c r="O369" t="n">
        <v>4</v>
      </c>
      <c r="P369" t="n">
        <v>0</v>
      </c>
      <c r="Q369" t="n">
        <v>5</v>
      </c>
      <c r="R369" s="2" t="inlineStr">
        <is>
          <t>Garnlav
Granticka
Tretåig hackspett
Ullticka
Vågbandad barkbock</t>
        </is>
      </c>
      <c r="S369">
        <f>HYPERLINK("https://klasma.github.io/Logging_2401/artfynd/A 55814-2023 artfynd.xlsx", "A 55814-2023")</f>
        <v/>
      </c>
      <c r="T369">
        <f>HYPERLINK("https://klasma.github.io/Logging_2401/kartor/A 55814-2023 karta.png", "A 55814-2023")</f>
        <v/>
      </c>
      <c r="V369">
        <f>HYPERLINK("https://klasma.github.io/Logging_2401/klagomål/A 55814-2023 FSC-klagomål.docx", "A 55814-2023")</f>
        <v/>
      </c>
      <c r="W369">
        <f>HYPERLINK("https://klasma.github.io/Logging_2401/klagomålsmail/A 55814-2023 FSC-klagomål mail.docx", "A 55814-2023")</f>
        <v/>
      </c>
      <c r="X369">
        <f>HYPERLINK("https://klasma.github.io/Logging_2401/tillsyn/A 55814-2023 tillsynsbegäran.docx", "A 55814-2023")</f>
        <v/>
      </c>
      <c r="Y369">
        <f>HYPERLINK("https://klasma.github.io/Logging_2401/tillsynsmail/A 55814-2023 tillsynsbegäran mail.docx", "A 55814-2023")</f>
        <v/>
      </c>
      <c r="Z369">
        <f>HYPERLINK("https://klasma.github.io/Logging_2401/fåglar/A 55814-2023 prioriterade fågelarter.docx", "A 55814-2023")</f>
        <v/>
      </c>
    </row>
    <row r="370" ht="15" customHeight="1">
      <c r="A370" t="inlineStr">
        <is>
          <t>A 49502-2025</t>
        </is>
      </c>
      <c r="B370" s="1" t="n">
        <v>45939.36972222223</v>
      </c>
      <c r="C370" s="1" t="n">
        <v>45971</v>
      </c>
      <c r="D370" t="inlineStr">
        <is>
          <t>VÄSTERBOTTENS LÄN</t>
        </is>
      </c>
      <c r="E370" t="inlineStr">
        <is>
          <t>ÅSELE</t>
        </is>
      </c>
      <c r="F370" t="inlineStr">
        <is>
          <t>Sveaskog</t>
        </is>
      </c>
      <c r="G370" t="n">
        <v>7.6</v>
      </c>
      <c r="H370" t="n">
        <v>0</v>
      </c>
      <c r="I370" t="n">
        <v>1</v>
      </c>
      <c r="J370" t="n">
        <v>4</v>
      </c>
      <c r="K370" t="n">
        <v>0</v>
      </c>
      <c r="L370" t="n">
        <v>0</v>
      </c>
      <c r="M370" t="n">
        <v>0</v>
      </c>
      <c r="N370" t="n">
        <v>0</v>
      </c>
      <c r="O370" t="n">
        <v>4</v>
      </c>
      <c r="P370" t="n">
        <v>0</v>
      </c>
      <c r="Q370" t="n">
        <v>5</v>
      </c>
      <c r="R370" s="2" t="inlineStr">
        <is>
          <t>Blanksvart spiklav
Blå taggsvamp
Motaggsvamp
Skrovlig taggsvamp
Dropptaggsvamp</t>
        </is>
      </c>
      <c r="S370">
        <f>HYPERLINK("https://klasma.github.io/Logging_2463/artfynd/A 49502-2025 artfynd.xlsx", "A 49502-2025")</f>
        <v/>
      </c>
      <c r="T370">
        <f>HYPERLINK("https://klasma.github.io/Logging_2463/kartor/A 49502-2025 karta.png", "A 49502-2025")</f>
        <v/>
      </c>
      <c r="V370">
        <f>HYPERLINK("https://klasma.github.io/Logging_2463/klagomål/A 49502-2025 FSC-klagomål.docx", "A 49502-2025")</f>
        <v/>
      </c>
      <c r="W370">
        <f>HYPERLINK("https://klasma.github.io/Logging_2463/klagomålsmail/A 49502-2025 FSC-klagomål mail.docx", "A 49502-2025")</f>
        <v/>
      </c>
      <c r="X370">
        <f>HYPERLINK("https://klasma.github.io/Logging_2463/tillsyn/A 49502-2025 tillsynsbegäran.docx", "A 49502-2025")</f>
        <v/>
      </c>
      <c r="Y370">
        <f>HYPERLINK("https://klasma.github.io/Logging_2463/tillsynsmail/A 49502-2025 tillsynsbegäran mail.docx", "A 49502-2025")</f>
        <v/>
      </c>
    </row>
    <row r="371" ht="15" customHeight="1">
      <c r="A371" t="inlineStr">
        <is>
          <t>A 2274-2024</t>
        </is>
      </c>
      <c r="B371" s="1" t="n">
        <v>45310</v>
      </c>
      <c r="C371" s="1" t="n">
        <v>45971</v>
      </c>
      <c r="D371" t="inlineStr">
        <is>
          <t>VÄSTERBOTTENS LÄN</t>
        </is>
      </c>
      <c r="E371" t="inlineStr">
        <is>
          <t>VINDELN</t>
        </is>
      </c>
      <c r="G371" t="n">
        <v>7.9</v>
      </c>
      <c r="H371" t="n">
        <v>1</v>
      </c>
      <c r="I371" t="n">
        <v>1</v>
      </c>
      <c r="J371" t="n">
        <v>3</v>
      </c>
      <c r="K371" t="n">
        <v>1</v>
      </c>
      <c r="L371" t="n">
        <v>0</v>
      </c>
      <c r="M371" t="n">
        <v>0</v>
      </c>
      <c r="N371" t="n">
        <v>0</v>
      </c>
      <c r="O371" t="n">
        <v>4</v>
      </c>
      <c r="P371" t="n">
        <v>1</v>
      </c>
      <c r="Q371" t="n">
        <v>5</v>
      </c>
      <c r="R371" s="2" t="inlineStr">
        <is>
          <t>Knärot
Garnlav
Lunglav
Stiftgelélav
Bårdlav</t>
        </is>
      </c>
      <c r="S371">
        <f>HYPERLINK("https://klasma.github.io/Logging_2404/artfynd/A 2274-2024 artfynd.xlsx", "A 2274-2024")</f>
        <v/>
      </c>
      <c r="T371">
        <f>HYPERLINK("https://klasma.github.io/Logging_2404/kartor/A 2274-2024 karta.png", "A 2274-2024")</f>
        <v/>
      </c>
      <c r="U371">
        <f>HYPERLINK("https://klasma.github.io/Logging_2404/knärot/A 2274-2024 karta knärot.png", "A 2274-2024")</f>
        <v/>
      </c>
      <c r="V371">
        <f>HYPERLINK("https://klasma.github.io/Logging_2404/klagomål/A 2274-2024 FSC-klagomål.docx", "A 2274-2024")</f>
        <v/>
      </c>
      <c r="W371">
        <f>HYPERLINK("https://klasma.github.io/Logging_2404/klagomålsmail/A 2274-2024 FSC-klagomål mail.docx", "A 2274-2024")</f>
        <v/>
      </c>
      <c r="X371">
        <f>HYPERLINK("https://klasma.github.io/Logging_2404/tillsyn/A 2274-2024 tillsynsbegäran.docx", "A 2274-2024")</f>
        <v/>
      </c>
      <c r="Y371">
        <f>HYPERLINK("https://klasma.github.io/Logging_2404/tillsynsmail/A 2274-2024 tillsynsbegäran mail.docx", "A 2274-2024")</f>
        <v/>
      </c>
    </row>
    <row r="372" ht="15" customHeight="1">
      <c r="A372" t="inlineStr">
        <is>
          <t>A 23310-2025</t>
        </is>
      </c>
      <c r="B372" s="1" t="n">
        <v>45791.60834490741</v>
      </c>
      <c r="C372" s="1" t="n">
        <v>45971</v>
      </c>
      <c r="D372" t="inlineStr">
        <is>
          <t>VÄSTERBOTTENS LÄN</t>
        </is>
      </c>
      <c r="E372" t="inlineStr">
        <is>
          <t>LYCKSELE</t>
        </is>
      </c>
      <c r="F372" t="inlineStr">
        <is>
          <t>Sveaskog</t>
        </is>
      </c>
      <c r="G372" t="n">
        <v>12</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23310-2025 artfynd.xlsx", "A 23310-2025")</f>
        <v/>
      </c>
      <c r="T372">
        <f>HYPERLINK("https://klasma.github.io/Logging_2481/kartor/A 23310-2025 karta.png", "A 23310-2025")</f>
        <v/>
      </c>
      <c r="V372">
        <f>HYPERLINK("https://klasma.github.io/Logging_2481/klagomål/A 23310-2025 FSC-klagomål.docx", "A 23310-2025")</f>
        <v/>
      </c>
      <c r="W372">
        <f>HYPERLINK("https://klasma.github.io/Logging_2481/klagomålsmail/A 23310-2025 FSC-klagomål mail.docx", "A 23310-2025")</f>
        <v/>
      </c>
      <c r="X372">
        <f>HYPERLINK("https://klasma.github.io/Logging_2481/tillsyn/A 23310-2025 tillsynsbegäran.docx", "A 23310-2025")</f>
        <v/>
      </c>
      <c r="Y372">
        <f>HYPERLINK("https://klasma.github.io/Logging_2481/tillsynsmail/A 23310-2025 tillsynsbegäran mail.docx", "A 23310-2025")</f>
        <v/>
      </c>
    </row>
    <row r="373" ht="15" customHeight="1">
      <c r="A373" t="inlineStr">
        <is>
          <t>A 19007-2022</t>
        </is>
      </c>
      <c r="B373" s="1" t="n">
        <v>44690</v>
      </c>
      <c r="C373" s="1" t="n">
        <v>45971</v>
      </c>
      <c r="D373" t="inlineStr">
        <is>
          <t>VÄSTERBOTTENS LÄN</t>
        </is>
      </c>
      <c r="E373" t="inlineStr">
        <is>
          <t>VINDELN</t>
        </is>
      </c>
      <c r="F373" t="inlineStr">
        <is>
          <t>SCA</t>
        </is>
      </c>
      <c r="G373" t="n">
        <v>5.1</v>
      </c>
      <c r="H373" t="n">
        <v>0</v>
      </c>
      <c r="I373" t="n">
        <v>1</v>
      </c>
      <c r="J373" t="n">
        <v>4</v>
      </c>
      <c r="K373" t="n">
        <v>0</v>
      </c>
      <c r="L373" t="n">
        <v>0</v>
      </c>
      <c r="M373" t="n">
        <v>0</v>
      </c>
      <c r="N373" t="n">
        <v>0</v>
      </c>
      <c r="O373" t="n">
        <v>4</v>
      </c>
      <c r="P373" t="n">
        <v>0</v>
      </c>
      <c r="Q373" t="n">
        <v>5</v>
      </c>
      <c r="R373" s="2" t="inlineStr">
        <is>
          <t>Blå taggsvamp
Motaggsvamp
Orange taggsvamp
Svart taggsvamp
Dropptaggsvamp</t>
        </is>
      </c>
      <c r="S373">
        <f>HYPERLINK("https://klasma.github.io/Logging_2404/artfynd/A 19007-2022 artfynd.xlsx", "A 19007-2022")</f>
        <v/>
      </c>
      <c r="T373">
        <f>HYPERLINK("https://klasma.github.io/Logging_2404/kartor/A 19007-2022 karta.png", "A 19007-2022")</f>
        <v/>
      </c>
      <c r="V373">
        <f>HYPERLINK("https://klasma.github.io/Logging_2404/klagomål/A 19007-2022 FSC-klagomål.docx", "A 19007-2022")</f>
        <v/>
      </c>
      <c r="W373">
        <f>HYPERLINK("https://klasma.github.io/Logging_2404/klagomålsmail/A 19007-2022 FSC-klagomål mail.docx", "A 19007-2022")</f>
        <v/>
      </c>
      <c r="X373">
        <f>HYPERLINK("https://klasma.github.io/Logging_2404/tillsyn/A 19007-2022 tillsynsbegäran.docx", "A 19007-2022")</f>
        <v/>
      </c>
      <c r="Y373">
        <f>HYPERLINK("https://klasma.github.io/Logging_2404/tillsynsmail/A 19007-2022 tillsynsbegäran mail.docx", "A 19007-2022")</f>
        <v/>
      </c>
    </row>
    <row r="374" ht="15" customHeight="1">
      <c r="A374" t="inlineStr">
        <is>
          <t>A 55409-2024</t>
        </is>
      </c>
      <c r="B374" s="1" t="n">
        <v>45622</v>
      </c>
      <c r="C374" s="1" t="n">
        <v>45971</v>
      </c>
      <c r="D374" t="inlineStr">
        <is>
          <t>VÄSTERBOTTENS LÄN</t>
        </is>
      </c>
      <c r="E374" t="inlineStr">
        <is>
          <t>VINDELN</t>
        </is>
      </c>
      <c r="F374" t="inlineStr">
        <is>
          <t>Sveaskog</t>
        </is>
      </c>
      <c r="G374" t="n">
        <v>12.4</v>
      </c>
      <c r="H374" t="n">
        <v>0</v>
      </c>
      <c r="I374" t="n">
        <v>0</v>
      </c>
      <c r="J374" t="n">
        <v>4</v>
      </c>
      <c r="K374" t="n">
        <v>1</v>
      </c>
      <c r="L374" t="n">
        <v>0</v>
      </c>
      <c r="M374" t="n">
        <v>0</v>
      </c>
      <c r="N374" t="n">
        <v>0</v>
      </c>
      <c r="O374" t="n">
        <v>5</v>
      </c>
      <c r="P374" t="n">
        <v>1</v>
      </c>
      <c r="Q374" t="n">
        <v>5</v>
      </c>
      <c r="R374" s="2" t="inlineStr">
        <is>
          <t>Smalfotad taggsvamp
Blå taggsvamp
Lunglav
Vaddporing
Violettgrå tagellav</t>
        </is>
      </c>
      <c r="S374">
        <f>HYPERLINK("https://klasma.github.io/Logging_2404/artfynd/A 55409-2024 artfynd.xlsx", "A 55409-2024")</f>
        <v/>
      </c>
      <c r="T374">
        <f>HYPERLINK("https://klasma.github.io/Logging_2404/kartor/A 55409-2024 karta.png", "A 55409-2024")</f>
        <v/>
      </c>
      <c r="V374">
        <f>HYPERLINK("https://klasma.github.io/Logging_2404/klagomål/A 55409-2024 FSC-klagomål.docx", "A 55409-2024")</f>
        <v/>
      </c>
      <c r="W374">
        <f>HYPERLINK("https://klasma.github.io/Logging_2404/klagomålsmail/A 55409-2024 FSC-klagomål mail.docx", "A 55409-2024")</f>
        <v/>
      </c>
      <c r="X374">
        <f>HYPERLINK("https://klasma.github.io/Logging_2404/tillsyn/A 55409-2024 tillsynsbegäran.docx", "A 55409-2024")</f>
        <v/>
      </c>
      <c r="Y374">
        <f>HYPERLINK("https://klasma.github.io/Logging_2404/tillsynsmail/A 55409-2024 tillsynsbegäran mail.docx", "A 55409-2024")</f>
        <v/>
      </c>
    </row>
    <row r="375" ht="15" customHeight="1">
      <c r="A375" t="inlineStr">
        <is>
          <t>A 896-2025</t>
        </is>
      </c>
      <c r="B375" s="1" t="n">
        <v>45665</v>
      </c>
      <c r="C375" s="1" t="n">
        <v>45971</v>
      </c>
      <c r="D375" t="inlineStr">
        <is>
          <t>VÄSTERBOTTENS LÄN</t>
        </is>
      </c>
      <c r="E375" t="inlineStr">
        <is>
          <t>VILHELMINA</t>
        </is>
      </c>
      <c r="G375" t="n">
        <v>24.8</v>
      </c>
      <c r="H375" t="n">
        <v>1</v>
      </c>
      <c r="I375" t="n">
        <v>0</v>
      </c>
      <c r="J375" t="n">
        <v>4</v>
      </c>
      <c r="K375" t="n">
        <v>1</v>
      </c>
      <c r="L375" t="n">
        <v>0</v>
      </c>
      <c r="M375" t="n">
        <v>0</v>
      </c>
      <c r="N375" t="n">
        <v>0</v>
      </c>
      <c r="O375" t="n">
        <v>5</v>
      </c>
      <c r="P375" t="n">
        <v>1</v>
      </c>
      <c r="Q375" t="n">
        <v>5</v>
      </c>
      <c r="R375" s="2" t="inlineStr">
        <is>
          <t>Rynkskinn
Garnlav
Granticka
Tretåig hackspett
Ullticka</t>
        </is>
      </c>
      <c r="S375">
        <f>HYPERLINK("https://klasma.github.io/Logging_2462/artfynd/A 896-2025 artfynd.xlsx", "A 896-2025")</f>
        <v/>
      </c>
      <c r="T375">
        <f>HYPERLINK("https://klasma.github.io/Logging_2462/kartor/A 896-2025 karta.png", "A 896-2025")</f>
        <v/>
      </c>
      <c r="V375">
        <f>HYPERLINK("https://klasma.github.io/Logging_2462/klagomål/A 896-2025 FSC-klagomål.docx", "A 896-2025")</f>
        <v/>
      </c>
      <c r="W375">
        <f>HYPERLINK("https://klasma.github.io/Logging_2462/klagomålsmail/A 896-2025 FSC-klagomål mail.docx", "A 896-2025")</f>
        <v/>
      </c>
      <c r="X375">
        <f>HYPERLINK("https://klasma.github.io/Logging_2462/tillsyn/A 896-2025 tillsynsbegäran.docx", "A 896-2025")</f>
        <v/>
      </c>
      <c r="Y375">
        <f>HYPERLINK("https://klasma.github.io/Logging_2462/tillsynsmail/A 896-2025 tillsynsbegäran mail.docx", "A 896-2025")</f>
        <v/>
      </c>
      <c r="Z375">
        <f>HYPERLINK("https://klasma.github.io/Logging_2462/fåglar/A 896-2025 prioriterade fågelarter.docx", "A 896-2025")</f>
        <v/>
      </c>
    </row>
    <row r="376" ht="15" customHeight="1">
      <c r="A376" t="inlineStr">
        <is>
          <t>A 18951-2023</t>
        </is>
      </c>
      <c r="B376" s="1" t="n">
        <v>45043</v>
      </c>
      <c r="C376" s="1" t="n">
        <v>45971</v>
      </c>
      <c r="D376" t="inlineStr">
        <is>
          <t>VÄSTERBOTTENS LÄN</t>
        </is>
      </c>
      <c r="E376" t="inlineStr">
        <is>
          <t>BJURHOLM</t>
        </is>
      </c>
      <c r="G376" t="n">
        <v>0.7</v>
      </c>
      <c r="H376" t="n">
        <v>0</v>
      </c>
      <c r="I376" t="n">
        <v>2</v>
      </c>
      <c r="J376" t="n">
        <v>3</v>
      </c>
      <c r="K376" t="n">
        <v>0</v>
      </c>
      <c r="L376" t="n">
        <v>0</v>
      </c>
      <c r="M376" t="n">
        <v>0</v>
      </c>
      <c r="N376" t="n">
        <v>0</v>
      </c>
      <c r="O376" t="n">
        <v>3</v>
      </c>
      <c r="P376" t="n">
        <v>0</v>
      </c>
      <c r="Q376" t="n">
        <v>5</v>
      </c>
      <c r="R376" s="2" t="inlineStr">
        <is>
          <t>Lunglav
Småflikig brosklav
Violettgrå tagellav
Stuplav
Vedticka</t>
        </is>
      </c>
      <c r="S376">
        <f>HYPERLINK("https://klasma.github.io/Logging_2403/artfynd/A 18951-2023 artfynd.xlsx", "A 18951-2023")</f>
        <v/>
      </c>
      <c r="T376">
        <f>HYPERLINK("https://klasma.github.io/Logging_2403/kartor/A 18951-2023 karta.png", "A 18951-2023")</f>
        <v/>
      </c>
      <c r="V376">
        <f>HYPERLINK("https://klasma.github.io/Logging_2403/klagomål/A 18951-2023 FSC-klagomål.docx", "A 18951-2023")</f>
        <v/>
      </c>
      <c r="W376">
        <f>HYPERLINK("https://klasma.github.io/Logging_2403/klagomålsmail/A 18951-2023 FSC-klagomål mail.docx", "A 18951-2023")</f>
        <v/>
      </c>
      <c r="X376">
        <f>HYPERLINK("https://klasma.github.io/Logging_2403/tillsyn/A 18951-2023 tillsynsbegäran.docx", "A 18951-2023")</f>
        <v/>
      </c>
      <c r="Y376">
        <f>HYPERLINK("https://klasma.github.io/Logging_2403/tillsynsmail/A 18951-2023 tillsynsbegäran mail.docx", "A 18951-2023")</f>
        <v/>
      </c>
    </row>
    <row r="377" ht="15" customHeight="1">
      <c r="A377" t="inlineStr">
        <is>
          <t>A 26791-2025</t>
        </is>
      </c>
      <c r="B377" s="1" t="n">
        <v>45810</v>
      </c>
      <c r="C377" s="1" t="n">
        <v>45971</v>
      </c>
      <c r="D377" t="inlineStr">
        <is>
          <t>VÄSTERBOTTENS LÄN</t>
        </is>
      </c>
      <c r="E377" t="inlineStr">
        <is>
          <t>ÅSELE</t>
        </is>
      </c>
      <c r="F377" t="inlineStr">
        <is>
          <t>SCA</t>
        </is>
      </c>
      <c r="G377" t="n">
        <v>3.9</v>
      </c>
      <c r="H377" t="n">
        <v>1</v>
      </c>
      <c r="I377" t="n">
        <v>1</v>
      </c>
      <c r="J377" t="n">
        <v>4</v>
      </c>
      <c r="K377" t="n">
        <v>0</v>
      </c>
      <c r="L377" t="n">
        <v>0</v>
      </c>
      <c r="M377" t="n">
        <v>0</v>
      </c>
      <c r="N377" t="n">
        <v>0</v>
      </c>
      <c r="O377" t="n">
        <v>4</v>
      </c>
      <c r="P377" t="n">
        <v>0</v>
      </c>
      <c r="Q377" t="n">
        <v>5</v>
      </c>
      <c r="R377" s="2" t="inlineStr">
        <is>
          <t>Dvärgbägarlav
Garnlav
Spillkråka
Vedskivlav
Norrlandslav</t>
        </is>
      </c>
      <c r="S377">
        <f>HYPERLINK("https://klasma.github.io/Logging_2463/artfynd/A 26791-2025 artfynd.xlsx", "A 26791-2025")</f>
        <v/>
      </c>
      <c r="T377">
        <f>HYPERLINK("https://klasma.github.io/Logging_2463/kartor/A 26791-2025 karta.png", "A 26791-2025")</f>
        <v/>
      </c>
      <c r="V377">
        <f>HYPERLINK("https://klasma.github.io/Logging_2463/klagomål/A 26791-2025 FSC-klagomål.docx", "A 26791-2025")</f>
        <v/>
      </c>
      <c r="W377">
        <f>HYPERLINK("https://klasma.github.io/Logging_2463/klagomålsmail/A 26791-2025 FSC-klagomål mail.docx", "A 26791-2025")</f>
        <v/>
      </c>
      <c r="X377">
        <f>HYPERLINK("https://klasma.github.io/Logging_2463/tillsyn/A 26791-2025 tillsynsbegäran.docx", "A 26791-2025")</f>
        <v/>
      </c>
      <c r="Y377">
        <f>HYPERLINK("https://klasma.github.io/Logging_2463/tillsynsmail/A 26791-2025 tillsynsbegäran mail.docx", "A 26791-2025")</f>
        <v/>
      </c>
      <c r="Z377">
        <f>HYPERLINK("https://klasma.github.io/Logging_2463/fåglar/A 26791-2025 prioriterade fågelarter.docx", "A 26791-2025")</f>
        <v/>
      </c>
    </row>
    <row r="378" ht="15" customHeight="1">
      <c r="A378" t="inlineStr">
        <is>
          <t>A 26589-2025</t>
        </is>
      </c>
      <c r="B378" s="1" t="n">
        <v>45807.83921296296</v>
      </c>
      <c r="C378" s="1" t="n">
        <v>45971</v>
      </c>
      <c r="D378" t="inlineStr">
        <is>
          <t>VÄSTERBOTTENS LÄN</t>
        </is>
      </c>
      <c r="E378" t="inlineStr">
        <is>
          <t>SKELLEFTEÅ</t>
        </is>
      </c>
      <c r="F378" t="inlineStr">
        <is>
          <t>Sveaskog</t>
        </is>
      </c>
      <c r="G378" t="n">
        <v>19.8</v>
      </c>
      <c r="H378" t="n">
        <v>4</v>
      </c>
      <c r="I378" t="n">
        <v>2</v>
      </c>
      <c r="J378" t="n">
        <v>1</v>
      </c>
      <c r="K378" t="n">
        <v>0</v>
      </c>
      <c r="L378" t="n">
        <v>0</v>
      </c>
      <c r="M378" t="n">
        <v>0</v>
      </c>
      <c r="N378" t="n">
        <v>0</v>
      </c>
      <c r="O378" t="n">
        <v>1</v>
      </c>
      <c r="P378" t="n">
        <v>0</v>
      </c>
      <c r="Q378" t="n">
        <v>5</v>
      </c>
      <c r="R378" s="2" t="inlineStr">
        <is>
          <t>Nordfladdermus
Plattlummer
Stuplav
Fläcknycklar
Revlummer</t>
        </is>
      </c>
      <c r="S378">
        <f>HYPERLINK("https://klasma.github.io/Logging_2482/artfynd/A 26589-2025 artfynd.xlsx", "A 26589-2025")</f>
        <v/>
      </c>
      <c r="T378">
        <f>HYPERLINK("https://klasma.github.io/Logging_2482/kartor/A 26589-2025 karta.png", "A 26589-2025")</f>
        <v/>
      </c>
      <c r="V378">
        <f>HYPERLINK("https://klasma.github.io/Logging_2482/klagomål/A 26589-2025 FSC-klagomål.docx", "A 26589-2025")</f>
        <v/>
      </c>
      <c r="W378">
        <f>HYPERLINK("https://klasma.github.io/Logging_2482/klagomålsmail/A 26589-2025 FSC-klagomål mail.docx", "A 26589-2025")</f>
        <v/>
      </c>
      <c r="X378">
        <f>HYPERLINK("https://klasma.github.io/Logging_2482/tillsyn/A 26589-2025 tillsynsbegäran.docx", "A 26589-2025")</f>
        <v/>
      </c>
      <c r="Y378">
        <f>HYPERLINK("https://klasma.github.io/Logging_2482/tillsynsmail/A 26589-2025 tillsynsbegäran mail.docx", "A 26589-2025")</f>
        <v/>
      </c>
    </row>
    <row r="379" ht="15" customHeight="1">
      <c r="A379" t="inlineStr">
        <is>
          <t>A 56000-2024</t>
        </is>
      </c>
      <c r="B379" s="1" t="n">
        <v>45623.70361111111</v>
      </c>
      <c r="C379" s="1" t="n">
        <v>45971</v>
      </c>
      <c r="D379" t="inlineStr">
        <is>
          <t>VÄSTERBOTTENS LÄN</t>
        </is>
      </c>
      <c r="E379" t="inlineStr">
        <is>
          <t>LYCKSELE</t>
        </is>
      </c>
      <c r="G379" t="n">
        <v>1.4</v>
      </c>
      <c r="H379" t="n">
        <v>1</v>
      </c>
      <c r="I379" t="n">
        <v>2</v>
      </c>
      <c r="J379" t="n">
        <v>2</v>
      </c>
      <c r="K379" t="n">
        <v>0</v>
      </c>
      <c r="L379" t="n">
        <v>0</v>
      </c>
      <c r="M379" t="n">
        <v>0</v>
      </c>
      <c r="N379" t="n">
        <v>0</v>
      </c>
      <c r="O379" t="n">
        <v>2</v>
      </c>
      <c r="P379" t="n">
        <v>0</v>
      </c>
      <c r="Q379" t="n">
        <v>5</v>
      </c>
      <c r="R379" s="2" t="inlineStr">
        <is>
          <t>Garnlav
Rosenticka
Dropptaggsvamp
Norrlandslav
Tjäder</t>
        </is>
      </c>
      <c r="S379">
        <f>HYPERLINK("https://klasma.github.io/Logging_2481/artfynd/A 56000-2024 artfynd.xlsx", "A 56000-2024")</f>
        <v/>
      </c>
      <c r="T379">
        <f>HYPERLINK("https://klasma.github.io/Logging_2481/kartor/A 56000-2024 karta.png", "A 56000-2024")</f>
        <v/>
      </c>
      <c r="V379">
        <f>HYPERLINK("https://klasma.github.io/Logging_2481/klagomål/A 56000-2024 FSC-klagomål.docx", "A 56000-2024")</f>
        <v/>
      </c>
      <c r="W379">
        <f>HYPERLINK("https://klasma.github.io/Logging_2481/klagomålsmail/A 56000-2024 FSC-klagomål mail.docx", "A 56000-2024")</f>
        <v/>
      </c>
      <c r="X379">
        <f>HYPERLINK("https://klasma.github.io/Logging_2481/tillsyn/A 56000-2024 tillsynsbegäran.docx", "A 56000-2024")</f>
        <v/>
      </c>
      <c r="Y379">
        <f>HYPERLINK("https://klasma.github.io/Logging_2481/tillsynsmail/A 56000-2024 tillsynsbegäran mail.docx", "A 56000-2024")</f>
        <v/>
      </c>
      <c r="Z379">
        <f>HYPERLINK("https://klasma.github.io/Logging_2481/fåglar/A 56000-2024 prioriterade fågelarter.docx", "A 56000-2024")</f>
        <v/>
      </c>
    </row>
    <row r="380" ht="15" customHeight="1">
      <c r="A380" t="inlineStr">
        <is>
          <t>A 34043-2024</t>
        </is>
      </c>
      <c r="B380" s="1" t="n">
        <v>45523.60096064815</v>
      </c>
      <c r="C380" s="1" t="n">
        <v>45971</v>
      </c>
      <c r="D380" t="inlineStr">
        <is>
          <t>VÄSTERBOTTENS LÄN</t>
        </is>
      </c>
      <c r="E380" t="inlineStr">
        <is>
          <t>NORSJÖ</t>
        </is>
      </c>
      <c r="F380" t="inlineStr">
        <is>
          <t>Sveaskog</t>
        </is>
      </c>
      <c r="G380" t="n">
        <v>13.6</v>
      </c>
      <c r="H380" t="n">
        <v>2</v>
      </c>
      <c r="I380" t="n">
        <v>2</v>
      </c>
      <c r="J380" t="n">
        <v>1</v>
      </c>
      <c r="K380" t="n">
        <v>1</v>
      </c>
      <c r="L380" t="n">
        <v>0</v>
      </c>
      <c r="M380" t="n">
        <v>0</v>
      </c>
      <c r="N380" t="n">
        <v>0</v>
      </c>
      <c r="O380" t="n">
        <v>2</v>
      </c>
      <c r="P380" t="n">
        <v>1</v>
      </c>
      <c r="Q380" t="n">
        <v>5</v>
      </c>
      <c r="R380" s="2" t="inlineStr">
        <is>
          <t>Goliatmusseron
Blå taggsvamp
Dropptaggsvamp
Plattlummer
Revlummer</t>
        </is>
      </c>
      <c r="S380">
        <f>HYPERLINK("https://klasma.github.io/Logging_2417/artfynd/A 34043-2024 artfynd.xlsx", "A 34043-2024")</f>
        <v/>
      </c>
      <c r="T380">
        <f>HYPERLINK("https://klasma.github.io/Logging_2417/kartor/A 34043-2024 karta.png", "A 34043-2024")</f>
        <v/>
      </c>
      <c r="V380">
        <f>HYPERLINK("https://klasma.github.io/Logging_2417/klagomål/A 34043-2024 FSC-klagomål.docx", "A 34043-2024")</f>
        <v/>
      </c>
      <c r="W380">
        <f>HYPERLINK("https://klasma.github.io/Logging_2417/klagomålsmail/A 34043-2024 FSC-klagomål mail.docx", "A 34043-2024")</f>
        <v/>
      </c>
      <c r="X380">
        <f>HYPERLINK("https://klasma.github.io/Logging_2417/tillsyn/A 34043-2024 tillsynsbegäran.docx", "A 34043-2024")</f>
        <v/>
      </c>
      <c r="Y380">
        <f>HYPERLINK("https://klasma.github.io/Logging_2417/tillsynsmail/A 34043-2024 tillsynsbegäran mail.docx", "A 34043-2024")</f>
        <v/>
      </c>
    </row>
    <row r="381" ht="15" customHeight="1">
      <c r="A381" t="inlineStr">
        <is>
          <t>A 29693-2025</t>
        </is>
      </c>
      <c r="B381" s="1" t="n">
        <v>45825.54184027778</v>
      </c>
      <c r="C381" s="1" t="n">
        <v>45971</v>
      </c>
      <c r="D381" t="inlineStr">
        <is>
          <t>VÄSTERBOTTENS LÄN</t>
        </is>
      </c>
      <c r="E381" t="inlineStr">
        <is>
          <t>SKELLEFTEÅ</t>
        </is>
      </c>
      <c r="G381" t="n">
        <v>17.8</v>
      </c>
      <c r="H381" t="n">
        <v>1</v>
      </c>
      <c r="I381" t="n">
        <v>2</v>
      </c>
      <c r="J381" t="n">
        <v>3</v>
      </c>
      <c r="K381" t="n">
        <v>0</v>
      </c>
      <c r="L381" t="n">
        <v>0</v>
      </c>
      <c r="M381" t="n">
        <v>0</v>
      </c>
      <c r="N381" t="n">
        <v>0</v>
      </c>
      <c r="O381" t="n">
        <v>3</v>
      </c>
      <c r="P381" t="n">
        <v>0</v>
      </c>
      <c r="Q381" t="n">
        <v>5</v>
      </c>
      <c r="R381" s="2" t="inlineStr">
        <is>
          <t>Garnlav
Orange taggsvamp
Talltita
Dropptaggsvamp
Nästlav</t>
        </is>
      </c>
      <c r="S381">
        <f>HYPERLINK("https://klasma.github.io/Logging_2482/artfynd/A 29693-2025 artfynd.xlsx", "A 29693-2025")</f>
        <v/>
      </c>
      <c r="T381">
        <f>HYPERLINK("https://klasma.github.io/Logging_2482/kartor/A 29693-2025 karta.png", "A 29693-2025")</f>
        <v/>
      </c>
      <c r="V381">
        <f>HYPERLINK("https://klasma.github.io/Logging_2482/klagomål/A 29693-2025 FSC-klagomål.docx", "A 29693-2025")</f>
        <v/>
      </c>
      <c r="W381">
        <f>HYPERLINK("https://klasma.github.io/Logging_2482/klagomålsmail/A 29693-2025 FSC-klagomål mail.docx", "A 29693-2025")</f>
        <v/>
      </c>
      <c r="X381">
        <f>HYPERLINK("https://klasma.github.io/Logging_2482/tillsyn/A 29693-2025 tillsynsbegäran.docx", "A 29693-2025")</f>
        <v/>
      </c>
      <c r="Y381">
        <f>HYPERLINK("https://klasma.github.io/Logging_2482/tillsynsmail/A 29693-2025 tillsynsbegäran mail.docx", "A 29693-2025")</f>
        <v/>
      </c>
      <c r="Z381">
        <f>HYPERLINK("https://klasma.github.io/Logging_2482/fåglar/A 29693-2025 prioriterade fågelarter.docx", "A 29693-2025")</f>
        <v/>
      </c>
    </row>
    <row r="382" ht="15" customHeight="1">
      <c r="A382" t="inlineStr">
        <is>
          <t>A 53568-2025</t>
        </is>
      </c>
      <c r="B382" s="1" t="n">
        <v>45960.41017361111</v>
      </c>
      <c r="C382" s="1" t="n">
        <v>45971</v>
      </c>
      <c r="D382" t="inlineStr">
        <is>
          <t>VÄSTERBOTTENS LÄN</t>
        </is>
      </c>
      <c r="E382" t="inlineStr">
        <is>
          <t>LYCKSELE</t>
        </is>
      </c>
      <c r="F382" t="inlineStr">
        <is>
          <t>Sveaskog</t>
        </is>
      </c>
      <c r="G382" t="n">
        <v>12.8</v>
      </c>
      <c r="H382" t="n">
        <v>1</v>
      </c>
      <c r="I382" t="n">
        <v>2</v>
      </c>
      <c r="J382" t="n">
        <v>3</v>
      </c>
      <c r="K382" t="n">
        <v>0</v>
      </c>
      <c r="L382" t="n">
        <v>0</v>
      </c>
      <c r="M382" t="n">
        <v>0</v>
      </c>
      <c r="N382" t="n">
        <v>0</v>
      </c>
      <c r="O382" t="n">
        <v>3</v>
      </c>
      <c r="P382" t="n">
        <v>0</v>
      </c>
      <c r="Q382" t="n">
        <v>5</v>
      </c>
      <c r="R382" s="2" t="inlineStr">
        <is>
          <t>Blå taggsvamp
Garnlav
Kolflarnlav
Dropptaggsvamp
Plattlummer</t>
        </is>
      </c>
      <c r="S382">
        <f>HYPERLINK("https://klasma.github.io/Logging_2481/artfynd/A 53568-2025 artfynd.xlsx", "A 53568-2025")</f>
        <v/>
      </c>
      <c r="T382">
        <f>HYPERLINK("https://klasma.github.io/Logging_2481/kartor/A 53568-2025 karta.png", "A 53568-2025")</f>
        <v/>
      </c>
      <c r="V382">
        <f>HYPERLINK("https://klasma.github.io/Logging_2481/klagomål/A 53568-2025 FSC-klagomål.docx", "A 53568-2025")</f>
        <v/>
      </c>
      <c r="W382">
        <f>HYPERLINK("https://klasma.github.io/Logging_2481/klagomålsmail/A 53568-2025 FSC-klagomål mail.docx", "A 53568-2025")</f>
        <v/>
      </c>
      <c r="X382">
        <f>HYPERLINK("https://klasma.github.io/Logging_2481/tillsyn/A 53568-2025 tillsynsbegäran.docx", "A 53568-2025")</f>
        <v/>
      </c>
      <c r="Y382">
        <f>HYPERLINK("https://klasma.github.io/Logging_2481/tillsynsmail/A 53568-2025 tillsynsbegäran mail.docx", "A 53568-2025")</f>
        <v/>
      </c>
    </row>
    <row r="383" ht="15" customHeight="1">
      <c r="A383" t="inlineStr">
        <is>
          <t>A 32739-2025</t>
        </is>
      </c>
      <c r="B383" s="1" t="n">
        <v>45839.42177083333</v>
      </c>
      <c r="C383" s="1" t="n">
        <v>45971</v>
      </c>
      <c r="D383" t="inlineStr">
        <is>
          <t>VÄSTERBOTTENS LÄN</t>
        </is>
      </c>
      <c r="E383" t="inlineStr">
        <is>
          <t>SKELLEFTEÅ</t>
        </is>
      </c>
      <c r="G383" t="n">
        <v>3.5</v>
      </c>
      <c r="H383" t="n">
        <v>2</v>
      </c>
      <c r="I383" t="n">
        <v>2</v>
      </c>
      <c r="J383" t="n">
        <v>2</v>
      </c>
      <c r="K383" t="n">
        <v>1</v>
      </c>
      <c r="L383" t="n">
        <v>0</v>
      </c>
      <c r="M383" t="n">
        <v>0</v>
      </c>
      <c r="N383" t="n">
        <v>0</v>
      </c>
      <c r="O383" t="n">
        <v>3</v>
      </c>
      <c r="P383" t="n">
        <v>1</v>
      </c>
      <c r="Q383" t="n">
        <v>5</v>
      </c>
      <c r="R383" s="2" t="inlineStr">
        <is>
          <t>Knärot
Talltita
Ullticka
Grönpyrola
Späd brosklav</t>
        </is>
      </c>
      <c r="S383">
        <f>HYPERLINK("https://klasma.github.io/Logging_2482/artfynd/A 32739-2025 artfynd.xlsx", "A 32739-2025")</f>
        <v/>
      </c>
      <c r="T383">
        <f>HYPERLINK("https://klasma.github.io/Logging_2482/kartor/A 32739-2025 karta.png", "A 32739-2025")</f>
        <v/>
      </c>
      <c r="U383">
        <f>HYPERLINK("https://klasma.github.io/Logging_2482/knärot/A 32739-2025 karta knärot.png", "A 32739-2025")</f>
        <v/>
      </c>
      <c r="V383">
        <f>HYPERLINK("https://klasma.github.io/Logging_2482/klagomål/A 32739-2025 FSC-klagomål.docx", "A 32739-2025")</f>
        <v/>
      </c>
      <c r="W383">
        <f>HYPERLINK("https://klasma.github.io/Logging_2482/klagomålsmail/A 32739-2025 FSC-klagomål mail.docx", "A 32739-2025")</f>
        <v/>
      </c>
      <c r="X383">
        <f>HYPERLINK("https://klasma.github.io/Logging_2482/tillsyn/A 32739-2025 tillsynsbegäran.docx", "A 32739-2025")</f>
        <v/>
      </c>
      <c r="Y383">
        <f>HYPERLINK("https://klasma.github.io/Logging_2482/tillsynsmail/A 32739-2025 tillsynsbegäran mail.docx", "A 32739-2025")</f>
        <v/>
      </c>
      <c r="Z383">
        <f>HYPERLINK("https://klasma.github.io/Logging_2482/fåglar/A 32739-2025 prioriterade fågelarter.docx", "A 32739-2025")</f>
        <v/>
      </c>
    </row>
    <row r="384" ht="15" customHeight="1">
      <c r="A384" t="inlineStr">
        <is>
          <t>A 32316-2022</t>
        </is>
      </c>
      <c r="B384" s="1" t="n">
        <v>44781</v>
      </c>
      <c r="C384" s="1" t="n">
        <v>45971</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21509-2025</t>
        </is>
      </c>
      <c r="B385" s="1" t="n">
        <v>45782.62307870371</v>
      </c>
      <c r="C385" s="1" t="n">
        <v>45971</v>
      </c>
      <c r="D385" t="inlineStr">
        <is>
          <t>VÄSTERBOTTENS LÄN</t>
        </is>
      </c>
      <c r="E385" t="inlineStr">
        <is>
          <t>LYCKSELE</t>
        </is>
      </c>
      <c r="F385" t="inlineStr">
        <is>
          <t>Sveaskog</t>
        </is>
      </c>
      <c r="G385" t="n">
        <v>13.3</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21509-2025 artfynd.xlsx", "A 21509-2025")</f>
        <v/>
      </c>
      <c r="T385">
        <f>HYPERLINK("https://klasma.github.io/Logging_2481/kartor/A 21509-2025 karta.png", "A 21509-2025")</f>
        <v/>
      </c>
      <c r="V385">
        <f>HYPERLINK("https://klasma.github.io/Logging_2481/klagomål/A 21509-2025 FSC-klagomål.docx", "A 21509-2025")</f>
        <v/>
      </c>
      <c r="W385">
        <f>HYPERLINK("https://klasma.github.io/Logging_2481/klagomålsmail/A 21509-2025 FSC-klagomål mail.docx", "A 21509-2025")</f>
        <v/>
      </c>
      <c r="X385">
        <f>HYPERLINK("https://klasma.github.io/Logging_2481/tillsyn/A 21509-2025 tillsynsbegäran.docx", "A 21509-2025")</f>
        <v/>
      </c>
      <c r="Y385">
        <f>HYPERLINK("https://klasma.github.io/Logging_2481/tillsynsmail/A 21509-2025 tillsynsbegäran mail.docx", "A 21509-2025")</f>
        <v/>
      </c>
    </row>
    <row r="386" ht="15" customHeight="1">
      <c r="A386" t="inlineStr">
        <is>
          <t>A 53928-2025</t>
        </is>
      </c>
      <c r="B386" s="1" t="n">
        <v>45961.4696412037</v>
      </c>
      <c r="C386" s="1" t="n">
        <v>45971</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8853-2024</t>
        </is>
      </c>
      <c r="B387" s="1" t="n">
        <v>45356</v>
      </c>
      <c r="C387" s="1" t="n">
        <v>45971</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45210-2025</t>
        </is>
      </c>
      <c r="B388" s="1" t="n">
        <v>45919.56964120371</v>
      </c>
      <c r="C388" s="1" t="n">
        <v>45971</v>
      </c>
      <c r="D388" t="inlineStr">
        <is>
          <t>VÄSTERBOTTENS LÄN</t>
        </is>
      </c>
      <c r="E388" t="inlineStr">
        <is>
          <t>SKELLEFTEÅ</t>
        </is>
      </c>
      <c r="F388" t="inlineStr">
        <is>
          <t>Holmen skog AB</t>
        </is>
      </c>
      <c r="G388" t="n">
        <v>38.1</v>
      </c>
      <c r="H388" t="n">
        <v>1</v>
      </c>
      <c r="I388" t="n">
        <v>1</v>
      </c>
      <c r="J388" t="n">
        <v>2</v>
      </c>
      <c r="K388" t="n">
        <v>1</v>
      </c>
      <c r="L388" t="n">
        <v>0</v>
      </c>
      <c r="M388" t="n">
        <v>0</v>
      </c>
      <c r="N388" t="n">
        <v>0</v>
      </c>
      <c r="O388" t="n">
        <v>3</v>
      </c>
      <c r="P388" t="n">
        <v>1</v>
      </c>
      <c r="Q388" t="n">
        <v>5</v>
      </c>
      <c r="R388" s="2" t="inlineStr">
        <is>
          <t>Smalfotad taggsvamp
Blå taggsvamp
Vedskivlav
Dropptaggsvamp
Tjäder</t>
        </is>
      </c>
      <c r="S388">
        <f>HYPERLINK("https://klasma.github.io/Logging_2482/artfynd/A 45210-2025 artfynd.xlsx", "A 45210-2025")</f>
        <v/>
      </c>
      <c r="T388">
        <f>HYPERLINK("https://klasma.github.io/Logging_2482/kartor/A 45210-2025 karta.png", "A 45210-2025")</f>
        <v/>
      </c>
      <c r="V388">
        <f>HYPERLINK("https://klasma.github.io/Logging_2482/klagomål/A 45210-2025 FSC-klagomål.docx", "A 45210-2025")</f>
        <v/>
      </c>
      <c r="W388">
        <f>HYPERLINK("https://klasma.github.io/Logging_2482/klagomålsmail/A 45210-2025 FSC-klagomål mail.docx", "A 45210-2025")</f>
        <v/>
      </c>
      <c r="X388">
        <f>HYPERLINK("https://klasma.github.io/Logging_2482/tillsyn/A 45210-2025 tillsynsbegäran.docx", "A 45210-2025")</f>
        <v/>
      </c>
      <c r="Y388">
        <f>HYPERLINK("https://klasma.github.io/Logging_2482/tillsynsmail/A 45210-2025 tillsynsbegäran mail.docx", "A 45210-2025")</f>
        <v/>
      </c>
      <c r="Z388">
        <f>HYPERLINK("https://klasma.github.io/Logging_2482/fåglar/A 45210-2025 prioriterade fågelarter.docx", "A 45210-2025")</f>
        <v/>
      </c>
    </row>
    <row r="389" ht="15" customHeight="1">
      <c r="A389" t="inlineStr">
        <is>
          <t>A 51811-2022</t>
        </is>
      </c>
      <c r="B389" s="1" t="n">
        <v>44867</v>
      </c>
      <c r="C389" s="1" t="n">
        <v>45971</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35215-2025</t>
        </is>
      </c>
      <c r="B390" s="1" t="n">
        <v>45853.48318287037</v>
      </c>
      <c r="C390" s="1" t="n">
        <v>45971</v>
      </c>
      <c r="D390" t="inlineStr">
        <is>
          <t>VÄSTERBOTTENS LÄN</t>
        </is>
      </c>
      <c r="E390" t="inlineStr">
        <is>
          <t>LYCKSELE</t>
        </is>
      </c>
      <c r="F390" t="inlineStr">
        <is>
          <t>Sveaskog</t>
        </is>
      </c>
      <c r="G390" t="n">
        <v>18.7</v>
      </c>
      <c r="H390" t="n">
        <v>0</v>
      </c>
      <c r="I390" t="n">
        <v>3</v>
      </c>
      <c r="J390" t="n">
        <v>2</v>
      </c>
      <c r="K390" t="n">
        <v>0</v>
      </c>
      <c r="L390" t="n">
        <v>0</v>
      </c>
      <c r="M390" t="n">
        <v>0</v>
      </c>
      <c r="N390" t="n">
        <v>0</v>
      </c>
      <c r="O390" t="n">
        <v>2</v>
      </c>
      <c r="P390" t="n">
        <v>0</v>
      </c>
      <c r="Q390" t="n">
        <v>5</v>
      </c>
      <c r="R390" s="2" t="inlineStr">
        <is>
          <t>Gammelgransskål
Kolflarnlav
Dropptaggsvamp
Grönpyrola
Stuplav</t>
        </is>
      </c>
      <c r="S390">
        <f>HYPERLINK("https://klasma.github.io/Logging_2481/artfynd/A 35215-2025 artfynd.xlsx", "A 35215-2025")</f>
        <v/>
      </c>
      <c r="T390">
        <f>HYPERLINK("https://klasma.github.io/Logging_2481/kartor/A 35215-2025 karta.png", "A 35215-2025")</f>
        <v/>
      </c>
      <c r="V390">
        <f>HYPERLINK("https://klasma.github.io/Logging_2481/klagomål/A 35215-2025 FSC-klagomål.docx", "A 35215-2025")</f>
        <v/>
      </c>
      <c r="W390">
        <f>HYPERLINK("https://klasma.github.io/Logging_2481/klagomålsmail/A 35215-2025 FSC-klagomål mail.docx", "A 35215-2025")</f>
        <v/>
      </c>
      <c r="X390">
        <f>HYPERLINK("https://klasma.github.io/Logging_2481/tillsyn/A 35215-2025 tillsynsbegäran.docx", "A 35215-2025")</f>
        <v/>
      </c>
      <c r="Y390">
        <f>HYPERLINK("https://klasma.github.io/Logging_2481/tillsynsmail/A 35215-2025 tillsynsbegäran mail.docx", "A 35215-2025")</f>
        <v/>
      </c>
    </row>
    <row r="391" ht="15" customHeight="1">
      <c r="A391" t="inlineStr">
        <is>
          <t>A 32798-2025</t>
        </is>
      </c>
      <c r="B391" s="1" t="n">
        <v>45839</v>
      </c>
      <c r="C391" s="1" t="n">
        <v>45971</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35761-2025</t>
        </is>
      </c>
      <c r="B392" s="1" t="n">
        <v>45860.6172337963</v>
      </c>
      <c r="C392" s="1" t="n">
        <v>45971</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39692-2024</t>
        </is>
      </c>
      <c r="B393" s="1" t="n">
        <v>45552.55893518519</v>
      </c>
      <c r="C393" s="1" t="n">
        <v>45971</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31524-2024</t>
        </is>
      </c>
      <c r="B394" s="1" t="n">
        <v>45505</v>
      </c>
      <c r="C394" s="1" t="n">
        <v>45971</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36893-2025</t>
        </is>
      </c>
      <c r="B395" s="1" t="n">
        <v>45874.46988425926</v>
      </c>
      <c r="C395" s="1" t="n">
        <v>45971</v>
      </c>
      <c r="D395" t="inlineStr">
        <is>
          <t>VÄSTERBOTTENS LÄN</t>
        </is>
      </c>
      <c r="E395" t="inlineStr">
        <is>
          <t>UMEÅ</t>
        </is>
      </c>
      <c r="G395" t="n">
        <v>11.4</v>
      </c>
      <c r="H395" t="n">
        <v>1</v>
      </c>
      <c r="I395" t="n">
        <v>2</v>
      </c>
      <c r="J395" t="n">
        <v>3</v>
      </c>
      <c r="K395" t="n">
        <v>0</v>
      </c>
      <c r="L395" t="n">
        <v>0</v>
      </c>
      <c r="M395" t="n">
        <v>0</v>
      </c>
      <c r="N395" t="n">
        <v>0</v>
      </c>
      <c r="O395" t="n">
        <v>3</v>
      </c>
      <c r="P395" t="n">
        <v>0</v>
      </c>
      <c r="Q395" t="n">
        <v>5</v>
      </c>
      <c r="R395" s="2" t="inlineStr">
        <is>
          <t>Garnlav
Granticka
Järpe
Thomsons trägnagare
Trådticka</t>
        </is>
      </c>
      <c r="S395">
        <f>HYPERLINK("https://klasma.github.io/Logging_2480/artfynd/A 36893-2025 artfynd.xlsx", "A 36893-2025")</f>
        <v/>
      </c>
      <c r="T395">
        <f>HYPERLINK("https://klasma.github.io/Logging_2480/kartor/A 36893-2025 karta.png", "A 36893-2025")</f>
        <v/>
      </c>
      <c r="V395">
        <f>HYPERLINK("https://klasma.github.io/Logging_2480/klagomål/A 36893-2025 FSC-klagomål.docx", "A 36893-2025")</f>
        <v/>
      </c>
      <c r="W395">
        <f>HYPERLINK("https://klasma.github.io/Logging_2480/klagomålsmail/A 36893-2025 FSC-klagomål mail.docx", "A 36893-2025")</f>
        <v/>
      </c>
      <c r="X395">
        <f>HYPERLINK("https://klasma.github.io/Logging_2480/tillsyn/A 36893-2025 tillsynsbegäran.docx", "A 36893-2025")</f>
        <v/>
      </c>
      <c r="Y395">
        <f>HYPERLINK("https://klasma.github.io/Logging_2480/tillsynsmail/A 36893-2025 tillsynsbegäran mail.docx", "A 36893-2025")</f>
        <v/>
      </c>
      <c r="Z395">
        <f>HYPERLINK("https://klasma.github.io/Logging_2480/fåglar/A 36893-2025 prioriterade fågelarter.docx", "A 36893-2025")</f>
        <v/>
      </c>
    </row>
    <row r="396" ht="15" customHeight="1">
      <c r="A396" t="inlineStr">
        <is>
          <t>A 46196-2025</t>
        </is>
      </c>
      <c r="B396" s="1" t="n">
        <v>45924.6880787037</v>
      </c>
      <c r="C396" s="1" t="n">
        <v>45971</v>
      </c>
      <c r="D396" t="inlineStr">
        <is>
          <t>VÄSTERBOTTENS LÄN</t>
        </is>
      </c>
      <c r="E396" t="inlineStr">
        <is>
          <t>VINDELN</t>
        </is>
      </c>
      <c r="G396" t="n">
        <v>5.3</v>
      </c>
      <c r="H396" t="n">
        <v>3</v>
      </c>
      <c r="I396" t="n">
        <v>0</v>
      </c>
      <c r="J396" t="n">
        <v>4</v>
      </c>
      <c r="K396" t="n">
        <v>1</v>
      </c>
      <c r="L396" t="n">
        <v>0</v>
      </c>
      <c r="M396" t="n">
        <v>0</v>
      </c>
      <c r="N396" t="n">
        <v>0</v>
      </c>
      <c r="O396" t="n">
        <v>5</v>
      </c>
      <c r="P396" t="n">
        <v>1</v>
      </c>
      <c r="Q396" t="n">
        <v>5</v>
      </c>
      <c r="R396" s="2" t="inlineStr">
        <is>
          <t>Knärot
Garnlav
Lunglav
Spillkråka
Talltita</t>
        </is>
      </c>
      <c r="S396">
        <f>HYPERLINK("https://klasma.github.io/Logging_2404/artfynd/A 46196-2025 artfynd.xlsx", "A 46196-2025")</f>
        <v/>
      </c>
      <c r="T396">
        <f>HYPERLINK("https://klasma.github.io/Logging_2404/kartor/A 46196-2025 karta.png", "A 46196-2025")</f>
        <v/>
      </c>
      <c r="U396">
        <f>HYPERLINK("https://klasma.github.io/Logging_2404/knärot/A 46196-2025 karta knärot.png", "A 46196-2025")</f>
        <v/>
      </c>
      <c r="V396">
        <f>HYPERLINK("https://klasma.github.io/Logging_2404/klagomål/A 46196-2025 FSC-klagomål.docx", "A 46196-2025")</f>
        <v/>
      </c>
      <c r="W396">
        <f>HYPERLINK("https://klasma.github.io/Logging_2404/klagomålsmail/A 46196-2025 FSC-klagomål mail.docx", "A 46196-2025")</f>
        <v/>
      </c>
      <c r="X396">
        <f>HYPERLINK("https://klasma.github.io/Logging_2404/tillsyn/A 46196-2025 tillsynsbegäran.docx", "A 46196-2025")</f>
        <v/>
      </c>
      <c r="Y396">
        <f>HYPERLINK("https://klasma.github.io/Logging_2404/tillsynsmail/A 46196-2025 tillsynsbegäran mail.docx", "A 46196-2025")</f>
        <v/>
      </c>
      <c r="Z396">
        <f>HYPERLINK("https://klasma.github.io/Logging_2404/fåglar/A 46196-2025 prioriterade fågelarter.docx", "A 46196-2025")</f>
        <v/>
      </c>
    </row>
    <row r="397" ht="15" customHeight="1">
      <c r="A397" t="inlineStr">
        <is>
          <t>A 59408-2020</t>
        </is>
      </c>
      <c r="B397" s="1" t="n">
        <v>44147</v>
      </c>
      <c r="C397" s="1" t="n">
        <v>45971</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16687-2021</t>
        </is>
      </c>
      <c r="B398" s="1" t="n">
        <v>44295</v>
      </c>
      <c r="C398" s="1" t="n">
        <v>45971</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45971</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45971</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45971</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45971</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45971</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43740-2021</t>
        </is>
      </c>
      <c r="B404" s="1" t="n">
        <v>44433</v>
      </c>
      <c r="C404" s="1" t="n">
        <v>45971</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33350-2022</t>
        </is>
      </c>
      <c r="B405" s="1" t="n">
        <v>44788</v>
      </c>
      <c r="C405" s="1" t="n">
        <v>45971</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38688-2021</t>
        </is>
      </c>
      <c r="B406" s="1" t="n">
        <v>44407</v>
      </c>
      <c r="C406" s="1" t="n">
        <v>45971</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45971</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38686-2021</t>
        </is>
      </c>
      <c r="B408" s="1" t="n">
        <v>44407</v>
      </c>
      <c r="C408" s="1" t="n">
        <v>45971</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4365-2022</t>
        </is>
      </c>
      <c r="B409" s="1" t="n">
        <v>44588</v>
      </c>
      <c r="C409" s="1" t="n">
        <v>45971</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45971</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52764-2024</t>
        </is>
      </c>
      <c r="B411" s="1" t="n">
        <v>45610.51162037037</v>
      </c>
      <c r="C411" s="1" t="n">
        <v>45971</v>
      </c>
      <c r="D411" t="inlineStr">
        <is>
          <t>VÄSTERBOTTENS LÄN</t>
        </is>
      </c>
      <c r="E411" t="inlineStr">
        <is>
          <t>UMEÅ</t>
        </is>
      </c>
      <c r="G411" t="n">
        <v>4.8</v>
      </c>
      <c r="H411" t="n">
        <v>0</v>
      </c>
      <c r="I411" t="n">
        <v>2</v>
      </c>
      <c r="J411" t="n">
        <v>2</v>
      </c>
      <c r="K411" t="n">
        <v>0</v>
      </c>
      <c r="L411" t="n">
        <v>0</v>
      </c>
      <c r="M411" t="n">
        <v>0</v>
      </c>
      <c r="N411" t="n">
        <v>0</v>
      </c>
      <c r="O411" t="n">
        <v>2</v>
      </c>
      <c r="P411" t="n">
        <v>0</v>
      </c>
      <c r="Q411" t="n">
        <v>4</v>
      </c>
      <c r="R411" s="2" t="inlineStr">
        <is>
          <t>Granticka
Violettgrå tagellav
Trådticka
Vågbandad barkbock</t>
        </is>
      </c>
      <c r="S411">
        <f>HYPERLINK("https://klasma.github.io/Logging_2480/artfynd/A 52764-2024 artfynd.xlsx", "A 52764-2024")</f>
        <v/>
      </c>
      <c r="T411">
        <f>HYPERLINK("https://klasma.github.io/Logging_2480/kartor/A 52764-2024 karta.png", "A 52764-2024")</f>
        <v/>
      </c>
      <c r="V411">
        <f>HYPERLINK("https://klasma.github.io/Logging_2480/klagomål/A 52764-2024 FSC-klagomål.docx", "A 52764-2024")</f>
        <v/>
      </c>
      <c r="W411">
        <f>HYPERLINK("https://klasma.github.io/Logging_2480/klagomålsmail/A 52764-2024 FSC-klagomål mail.docx", "A 52764-2024")</f>
        <v/>
      </c>
      <c r="X411">
        <f>HYPERLINK("https://klasma.github.io/Logging_2480/tillsyn/A 52764-2024 tillsynsbegäran.docx", "A 52764-2024")</f>
        <v/>
      </c>
      <c r="Y411">
        <f>HYPERLINK("https://klasma.github.io/Logging_2480/tillsynsmail/A 52764-2024 tillsynsbegäran mail.docx", "A 52764-2024")</f>
        <v/>
      </c>
    </row>
    <row r="412" ht="15" customHeight="1">
      <c r="A412" t="inlineStr">
        <is>
          <t>A 23555-2024</t>
        </is>
      </c>
      <c r="B412" s="1" t="n">
        <v>45453</v>
      </c>
      <c r="C412" s="1" t="n">
        <v>45971</v>
      </c>
      <c r="D412" t="inlineStr">
        <is>
          <t>VÄSTERBOTTENS LÄN</t>
        </is>
      </c>
      <c r="E412" t="inlineStr">
        <is>
          <t>DOROTEA</t>
        </is>
      </c>
      <c r="F412" t="inlineStr">
        <is>
          <t>SCA</t>
        </is>
      </c>
      <c r="G412" t="n">
        <v>16.3</v>
      </c>
      <c r="H412" t="n">
        <v>3</v>
      </c>
      <c r="I412" t="n">
        <v>1</v>
      </c>
      <c r="J412" t="n">
        <v>1</v>
      </c>
      <c r="K412" t="n">
        <v>0</v>
      </c>
      <c r="L412" t="n">
        <v>0</v>
      </c>
      <c r="M412" t="n">
        <v>0</v>
      </c>
      <c r="N412" t="n">
        <v>0</v>
      </c>
      <c r="O412" t="n">
        <v>1</v>
      </c>
      <c r="P412" t="n">
        <v>0</v>
      </c>
      <c r="Q412" t="n">
        <v>4</v>
      </c>
      <c r="R412" s="2" t="inlineStr">
        <is>
          <t>Garnlav
Spindelblomster
Vanlig groda
Fläcknycklar</t>
        </is>
      </c>
      <c r="S412">
        <f>HYPERLINK("https://klasma.github.io/Logging_2425/artfynd/A 23555-2024 artfynd.xlsx", "A 23555-2024")</f>
        <v/>
      </c>
      <c r="T412">
        <f>HYPERLINK("https://klasma.github.io/Logging_2425/kartor/A 23555-2024 karta.png", "A 23555-2024")</f>
        <v/>
      </c>
      <c r="V412">
        <f>HYPERLINK("https://klasma.github.io/Logging_2425/klagomål/A 23555-2024 FSC-klagomål.docx", "A 23555-2024")</f>
        <v/>
      </c>
      <c r="W412">
        <f>HYPERLINK("https://klasma.github.io/Logging_2425/klagomålsmail/A 23555-2024 FSC-klagomål mail.docx", "A 23555-2024")</f>
        <v/>
      </c>
      <c r="X412">
        <f>HYPERLINK("https://klasma.github.io/Logging_2425/tillsyn/A 23555-2024 tillsynsbegäran.docx", "A 23555-2024")</f>
        <v/>
      </c>
      <c r="Y412">
        <f>HYPERLINK("https://klasma.github.io/Logging_2425/tillsynsmail/A 23555-2024 tillsynsbegäran mail.docx", "A 23555-2024")</f>
        <v/>
      </c>
    </row>
    <row r="413" ht="15" customHeight="1">
      <c r="A413" t="inlineStr">
        <is>
          <t>A 21628-2021</t>
        </is>
      </c>
      <c r="B413" s="1" t="n">
        <v>44321.91877314815</v>
      </c>
      <c r="C413" s="1" t="n">
        <v>45971</v>
      </c>
      <c r="D413" t="inlineStr">
        <is>
          <t>VÄSTERBOTTENS LÄN</t>
        </is>
      </c>
      <c r="E413" t="inlineStr">
        <is>
          <t>UMEÅ</t>
        </is>
      </c>
      <c r="G413" t="n">
        <v>4</v>
      </c>
      <c r="H413" t="n">
        <v>2</v>
      </c>
      <c r="I413" t="n">
        <v>0</v>
      </c>
      <c r="J413" t="n">
        <v>3</v>
      </c>
      <c r="K413" t="n">
        <v>0</v>
      </c>
      <c r="L413" t="n">
        <v>0</v>
      </c>
      <c r="M413" t="n">
        <v>0</v>
      </c>
      <c r="N413" t="n">
        <v>0</v>
      </c>
      <c r="O413" t="n">
        <v>3</v>
      </c>
      <c r="P413" t="n">
        <v>0</v>
      </c>
      <c r="Q413" t="n">
        <v>4</v>
      </c>
      <c r="R413" s="2" t="inlineStr">
        <is>
          <t>Garnlav
Granticka
Spillkråka
Revlummer</t>
        </is>
      </c>
      <c r="S413">
        <f>HYPERLINK("https://klasma.github.io/Logging_2480/artfynd/A 21628-2021 artfynd.xlsx", "A 21628-2021")</f>
        <v/>
      </c>
      <c r="T413">
        <f>HYPERLINK("https://klasma.github.io/Logging_2480/kartor/A 21628-2021 karta.png", "A 21628-2021")</f>
        <v/>
      </c>
      <c r="V413">
        <f>HYPERLINK("https://klasma.github.io/Logging_2480/klagomål/A 21628-2021 FSC-klagomål.docx", "A 21628-2021")</f>
        <v/>
      </c>
      <c r="W413">
        <f>HYPERLINK("https://klasma.github.io/Logging_2480/klagomålsmail/A 21628-2021 FSC-klagomål mail.docx", "A 21628-2021")</f>
        <v/>
      </c>
      <c r="X413">
        <f>HYPERLINK("https://klasma.github.io/Logging_2480/tillsyn/A 21628-2021 tillsynsbegäran.docx", "A 21628-2021")</f>
        <v/>
      </c>
      <c r="Y413">
        <f>HYPERLINK("https://klasma.github.io/Logging_2480/tillsynsmail/A 21628-2021 tillsynsbegäran mail.docx", "A 21628-2021")</f>
        <v/>
      </c>
      <c r="Z413">
        <f>HYPERLINK("https://klasma.github.io/Logging_2480/fåglar/A 21628-2021 prioriterade fågelarter.docx", "A 21628-2021")</f>
        <v/>
      </c>
    </row>
    <row r="414" ht="15" customHeight="1">
      <c r="A414" t="inlineStr">
        <is>
          <t>A 684-2023</t>
        </is>
      </c>
      <c r="B414" s="1" t="n">
        <v>44925</v>
      </c>
      <c r="C414" s="1" t="n">
        <v>45971</v>
      </c>
      <c r="D414" t="inlineStr">
        <is>
          <t>VÄSTERBOTTENS LÄN</t>
        </is>
      </c>
      <c r="E414" t="inlineStr">
        <is>
          <t>UMEÅ</t>
        </is>
      </c>
      <c r="G414" t="n">
        <v>22.6</v>
      </c>
      <c r="H414" t="n">
        <v>3</v>
      </c>
      <c r="I414" t="n">
        <v>0</v>
      </c>
      <c r="J414" t="n">
        <v>4</v>
      </c>
      <c r="K414" t="n">
        <v>0</v>
      </c>
      <c r="L414" t="n">
        <v>0</v>
      </c>
      <c r="M414" t="n">
        <v>0</v>
      </c>
      <c r="N414" t="n">
        <v>0</v>
      </c>
      <c r="O414" t="n">
        <v>4</v>
      </c>
      <c r="P414" t="n">
        <v>0</v>
      </c>
      <c r="Q414" t="n">
        <v>4</v>
      </c>
      <c r="R414" s="2" t="inlineStr">
        <is>
          <t>Kolflarnlav
Spillkråka
Talltita
Tretåig hackspett</t>
        </is>
      </c>
      <c r="S414">
        <f>HYPERLINK("https://klasma.github.io/Logging_2480/artfynd/A 684-2023 artfynd.xlsx", "A 684-2023")</f>
        <v/>
      </c>
      <c r="T414">
        <f>HYPERLINK("https://klasma.github.io/Logging_2480/kartor/A 684-2023 karta.png", "A 684-2023")</f>
        <v/>
      </c>
      <c r="V414">
        <f>HYPERLINK("https://klasma.github.io/Logging_2480/klagomål/A 684-2023 FSC-klagomål.docx", "A 684-2023")</f>
        <v/>
      </c>
      <c r="W414">
        <f>HYPERLINK("https://klasma.github.io/Logging_2480/klagomålsmail/A 684-2023 FSC-klagomål mail.docx", "A 684-2023")</f>
        <v/>
      </c>
      <c r="X414">
        <f>HYPERLINK("https://klasma.github.io/Logging_2480/tillsyn/A 684-2023 tillsynsbegäran.docx", "A 684-2023")</f>
        <v/>
      </c>
      <c r="Y414">
        <f>HYPERLINK("https://klasma.github.io/Logging_2480/tillsynsmail/A 684-2023 tillsynsbegäran mail.docx", "A 684-2023")</f>
        <v/>
      </c>
      <c r="Z414">
        <f>HYPERLINK("https://klasma.github.io/Logging_2480/fåglar/A 684-2023 prioriterade fågelarter.docx", "A 684-2023")</f>
        <v/>
      </c>
    </row>
    <row r="415" ht="15" customHeight="1">
      <c r="A415" t="inlineStr">
        <is>
          <t>A 28706-2024</t>
        </is>
      </c>
      <c r="B415" s="1" t="n">
        <v>45478.51454861111</v>
      </c>
      <c r="C415" s="1" t="n">
        <v>45971</v>
      </c>
      <c r="D415" t="inlineStr">
        <is>
          <t>VÄSTERBOTTENS LÄN</t>
        </is>
      </c>
      <c r="E415" t="inlineStr">
        <is>
          <t>VINDELN</t>
        </is>
      </c>
      <c r="F415" t="inlineStr">
        <is>
          <t>Holmen skog AB</t>
        </is>
      </c>
      <c r="G415" t="n">
        <v>2.2</v>
      </c>
      <c r="H415" t="n">
        <v>3</v>
      </c>
      <c r="I415" t="n">
        <v>0</v>
      </c>
      <c r="J415" t="n">
        <v>3</v>
      </c>
      <c r="K415" t="n">
        <v>0</v>
      </c>
      <c r="L415" t="n">
        <v>0</v>
      </c>
      <c r="M415" t="n">
        <v>0</v>
      </c>
      <c r="N415" t="n">
        <v>0</v>
      </c>
      <c r="O415" t="n">
        <v>3</v>
      </c>
      <c r="P415" t="n">
        <v>0</v>
      </c>
      <c r="Q415" t="n">
        <v>4</v>
      </c>
      <c r="R415" s="2" t="inlineStr">
        <is>
          <t>Spillkråka
Tretåig hackspett
Ullticka
Fläcknycklar</t>
        </is>
      </c>
      <c r="S415">
        <f>HYPERLINK("https://klasma.github.io/Logging_2404/artfynd/A 28706-2024 artfynd.xlsx", "A 28706-2024")</f>
        <v/>
      </c>
      <c r="T415">
        <f>HYPERLINK("https://klasma.github.io/Logging_2404/kartor/A 28706-2024 karta.png", "A 28706-2024")</f>
        <v/>
      </c>
      <c r="U415">
        <f>HYPERLINK("https://klasma.github.io/Logging_2404/knärot/A 28706-2024 karta knärot.png", "A 28706-2024")</f>
        <v/>
      </c>
      <c r="V415">
        <f>HYPERLINK("https://klasma.github.io/Logging_2404/klagomål/A 28706-2024 FSC-klagomål.docx", "A 28706-2024")</f>
        <v/>
      </c>
      <c r="W415">
        <f>HYPERLINK("https://klasma.github.io/Logging_2404/klagomålsmail/A 28706-2024 FSC-klagomål mail.docx", "A 28706-2024")</f>
        <v/>
      </c>
      <c r="X415">
        <f>HYPERLINK("https://klasma.github.io/Logging_2404/tillsyn/A 28706-2024 tillsynsbegäran.docx", "A 28706-2024")</f>
        <v/>
      </c>
      <c r="Y415">
        <f>HYPERLINK("https://klasma.github.io/Logging_2404/tillsynsmail/A 28706-2024 tillsynsbegäran mail.docx", "A 28706-2024")</f>
        <v/>
      </c>
      <c r="Z415">
        <f>HYPERLINK("https://klasma.github.io/Logging_2404/fåglar/A 28706-2024 prioriterade fågelarter.docx", "A 28706-2024")</f>
        <v/>
      </c>
    </row>
    <row r="416" ht="15" customHeight="1">
      <c r="A416" t="inlineStr">
        <is>
          <t>A 40760-2024</t>
        </is>
      </c>
      <c r="B416" s="1" t="n">
        <v>45558.46092592592</v>
      </c>
      <c r="C416" s="1" t="n">
        <v>45971</v>
      </c>
      <c r="D416" t="inlineStr">
        <is>
          <t>VÄSTERBOTTENS LÄN</t>
        </is>
      </c>
      <c r="E416" t="inlineStr">
        <is>
          <t>VINDELN</t>
        </is>
      </c>
      <c r="F416" t="inlineStr">
        <is>
          <t>Holmen skog AB</t>
        </is>
      </c>
      <c r="G416" t="n">
        <v>8.1</v>
      </c>
      <c r="H416" t="n">
        <v>0</v>
      </c>
      <c r="I416" t="n">
        <v>2</v>
      </c>
      <c r="J416" t="n">
        <v>2</v>
      </c>
      <c r="K416" t="n">
        <v>0</v>
      </c>
      <c r="L416" t="n">
        <v>0</v>
      </c>
      <c r="M416" t="n">
        <v>0</v>
      </c>
      <c r="N416" t="n">
        <v>0</v>
      </c>
      <c r="O416" t="n">
        <v>2</v>
      </c>
      <c r="P416" t="n">
        <v>0</v>
      </c>
      <c r="Q416" t="n">
        <v>4</v>
      </c>
      <c r="R416" s="2" t="inlineStr">
        <is>
          <t>Granticka
Ullticka
Skinnlav
Trådticka</t>
        </is>
      </c>
      <c r="S416">
        <f>HYPERLINK("https://klasma.github.io/Logging_2404/artfynd/A 40760-2024 artfynd.xlsx", "A 40760-2024")</f>
        <v/>
      </c>
      <c r="T416">
        <f>HYPERLINK("https://klasma.github.io/Logging_2404/kartor/A 40760-2024 karta.png", "A 40760-2024")</f>
        <v/>
      </c>
      <c r="V416">
        <f>HYPERLINK("https://klasma.github.io/Logging_2404/klagomål/A 40760-2024 FSC-klagomål.docx", "A 40760-2024")</f>
        <v/>
      </c>
      <c r="W416">
        <f>HYPERLINK("https://klasma.github.io/Logging_2404/klagomålsmail/A 40760-2024 FSC-klagomål mail.docx", "A 40760-2024")</f>
        <v/>
      </c>
      <c r="X416">
        <f>HYPERLINK("https://klasma.github.io/Logging_2404/tillsyn/A 40760-2024 tillsynsbegäran.docx", "A 40760-2024")</f>
        <v/>
      </c>
      <c r="Y416">
        <f>HYPERLINK("https://klasma.github.io/Logging_2404/tillsynsmail/A 40760-2024 tillsynsbegäran mail.docx", "A 40760-2024")</f>
        <v/>
      </c>
    </row>
    <row r="417" ht="15" customHeight="1">
      <c r="A417" t="inlineStr">
        <is>
          <t>A 31198-2023</t>
        </is>
      </c>
      <c r="B417" s="1" t="n">
        <v>45113</v>
      </c>
      <c r="C417" s="1" t="n">
        <v>45971</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38654-2025</t>
        </is>
      </c>
      <c r="B418" s="1" t="n">
        <v>45884.59638888889</v>
      </c>
      <c r="C418" s="1" t="n">
        <v>45971</v>
      </c>
      <c r="D418" t="inlineStr">
        <is>
          <t>VÄSTERBOTTENS LÄN</t>
        </is>
      </c>
      <c r="E418" t="inlineStr">
        <is>
          <t>SKELLEFTEÅ</t>
        </is>
      </c>
      <c r="F418" t="inlineStr">
        <is>
          <t>Holmen skog AB</t>
        </is>
      </c>
      <c r="G418" t="n">
        <v>5.6</v>
      </c>
      <c r="H418" t="n">
        <v>3</v>
      </c>
      <c r="I418" t="n">
        <v>0</v>
      </c>
      <c r="J418" t="n">
        <v>1</v>
      </c>
      <c r="K418" t="n">
        <v>0</v>
      </c>
      <c r="L418" t="n">
        <v>0</v>
      </c>
      <c r="M418" t="n">
        <v>0</v>
      </c>
      <c r="N418" t="n">
        <v>0</v>
      </c>
      <c r="O418" t="n">
        <v>1</v>
      </c>
      <c r="P418" t="n">
        <v>0</v>
      </c>
      <c r="Q418" t="n">
        <v>4</v>
      </c>
      <c r="R418" s="2" t="inlineStr">
        <is>
          <t>Gammelgransskål
Kopparödla
Brudsporre
Nattviol</t>
        </is>
      </c>
      <c r="S418">
        <f>HYPERLINK("https://klasma.github.io/Logging_2482/artfynd/A 38654-2025 artfynd.xlsx", "A 38654-2025")</f>
        <v/>
      </c>
      <c r="T418">
        <f>HYPERLINK("https://klasma.github.io/Logging_2482/kartor/A 38654-2025 karta.png", "A 38654-2025")</f>
        <v/>
      </c>
      <c r="V418">
        <f>HYPERLINK("https://klasma.github.io/Logging_2482/klagomål/A 38654-2025 FSC-klagomål.docx", "A 38654-2025")</f>
        <v/>
      </c>
      <c r="W418">
        <f>HYPERLINK("https://klasma.github.io/Logging_2482/klagomålsmail/A 38654-2025 FSC-klagomål mail.docx", "A 38654-2025")</f>
        <v/>
      </c>
      <c r="X418">
        <f>HYPERLINK("https://klasma.github.io/Logging_2482/tillsyn/A 38654-2025 tillsynsbegäran.docx", "A 38654-2025")</f>
        <v/>
      </c>
      <c r="Y418">
        <f>HYPERLINK("https://klasma.github.io/Logging_2482/tillsynsmail/A 38654-2025 tillsynsbegäran mail.docx", "A 38654-2025")</f>
        <v/>
      </c>
    </row>
    <row r="419" ht="15" customHeight="1">
      <c r="A419" t="inlineStr">
        <is>
          <t>A 27558-2024</t>
        </is>
      </c>
      <c r="B419" s="1" t="n">
        <v>45474.62412037037</v>
      </c>
      <c r="C419" s="1" t="n">
        <v>45971</v>
      </c>
      <c r="D419" t="inlineStr">
        <is>
          <t>VÄSTERBOTTENS LÄN</t>
        </is>
      </c>
      <c r="E419" t="inlineStr">
        <is>
          <t>STORUMAN</t>
        </is>
      </c>
      <c r="F419" t="inlineStr">
        <is>
          <t>Sveaskog</t>
        </is>
      </c>
      <c r="G419" t="n">
        <v>5.7</v>
      </c>
      <c r="H419" t="n">
        <v>2</v>
      </c>
      <c r="I419" t="n">
        <v>0</v>
      </c>
      <c r="J419" t="n">
        <v>3</v>
      </c>
      <c r="K419" t="n">
        <v>0</v>
      </c>
      <c r="L419" t="n">
        <v>0</v>
      </c>
      <c r="M419" t="n">
        <v>0</v>
      </c>
      <c r="N419" t="n">
        <v>0</v>
      </c>
      <c r="O419" t="n">
        <v>3</v>
      </c>
      <c r="P419" t="n">
        <v>0</v>
      </c>
      <c r="Q419" t="n">
        <v>4</v>
      </c>
      <c r="R419" s="2" t="inlineStr">
        <is>
          <t>Garnlav
Järpe
Kolflarnlav
Fläcknycklar</t>
        </is>
      </c>
      <c r="S419">
        <f>HYPERLINK("https://klasma.github.io/Logging_2421/artfynd/A 27558-2024 artfynd.xlsx", "A 27558-2024")</f>
        <v/>
      </c>
      <c r="T419">
        <f>HYPERLINK("https://klasma.github.io/Logging_2421/kartor/A 27558-2024 karta.png", "A 27558-2024")</f>
        <v/>
      </c>
      <c r="V419">
        <f>HYPERLINK("https://klasma.github.io/Logging_2421/klagomål/A 27558-2024 FSC-klagomål.docx", "A 27558-2024")</f>
        <v/>
      </c>
      <c r="W419">
        <f>HYPERLINK("https://klasma.github.io/Logging_2421/klagomålsmail/A 27558-2024 FSC-klagomål mail.docx", "A 27558-2024")</f>
        <v/>
      </c>
      <c r="X419">
        <f>HYPERLINK("https://klasma.github.io/Logging_2421/tillsyn/A 27558-2024 tillsynsbegäran.docx", "A 27558-2024")</f>
        <v/>
      </c>
      <c r="Y419">
        <f>HYPERLINK("https://klasma.github.io/Logging_2421/tillsynsmail/A 27558-2024 tillsynsbegäran mail.docx", "A 27558-2024")</f>
        <v/>
      </c>
      <c r="Z419">
        <f>HYPERLINK("https://klasma.github.io/Logging_2421/fåglar/A 27558-2024 prioriterade fågelarter.docx", "A 27558-2024")</f>
        <v/>
      </c>
    </row>
    <row r="420" ht="15" customHeight="1">
      <c r="A420" t="inlineStr">
        <is>
          <t>A 28867-2024</t>
        </is>
      </c>
      <c r="B420" s="1" t="n">
        <v>45478</v>
      </c>
      <c r="C420" s="1" t="n">
        <v>45971</v>
      </c>
      <c r="D420" t="inlineStr">
        <is>
          <t>VÄSTERBOTTENS LÄN</t>
        </is>
      </c>
      <c r="E420" t="inlineStr">
        <is>
          <t>VILHELMINA</t>
        </is>
      </c>
      <c r="F420" t="inlineStr">
        <is>
          <t>SCA</t>
        </is>
      </c>
      <c r="G420" t="n">
        <v>1</v>
      </c>
      <c r="H420" t="n">
        <v>1</v>
      </c>
      <c r="I420" t="n">
        <v>0</v>
      </c>
      <c r="J420" t="n">
        <v>4</v>
      </c>
      <c r="K420" t="n">
        <v>0</v>
      </c>
      <c r="L420" t="n">
        <v>0</v>
      </c>
      <c r="M420" t="n">
        <v>0</v>
      </c>
      <c r="N420" t="n">
        <v>0</v>
      </c>
      <c r="O420" t="n">
        <v>4</v>
      </c>
      <c r="P420" t="n">
        <v>0</v>
      </c>
      <c r="Q420" t="n">
        <v>4</v>
      </c>
      <c r="R420" s="2" t="inlineStr">
        <is>
          <t>Garnlav
Granticka
Liten svartspik
Tretåig hackspett</t>
        </is>
      </c>
      <c r="S420">
        <f>HYPERLINK("https://klasma.github.io/Logging_2462/artfynd/A 28867-2024 artfynd.xlsx", "A 28867-2024")</f>
        <v/>
      </c>
      <c r="T420">
        <f>HYPERLINK("https://klasma.github.io/Logging_2462/kartor/A 28867-2024 karta.png", "A 28867-2024")</f>
        <v/>
      </c>
      <c r="V420">
        <f>HYPERLINK("https://klasma.github.io/Logging_2462/klagomål/A 28867-2024 FSC-klagomål.docx", "A 28867-2024")</f>
        <v/>
      </c>
      <c r="W420">
        <f>HYPERLINK("https://klasma.github.io/Logging_2462/klagomålsmail/A 28867-2024 FSC-klagomål mail.docx", "A 28867-2024")</f>
        <v/>
      </c>
      <c r="X420">
        <f>HYPERLINK("https://klasma.github.io/Logging_2462/tillsyn/A 28867-2024 tillsynsbegäran.docx", "A 28867-2024")</f>
        <v/>
      </c>
      <c r="Y420">
        <f>HYPERLINK("https://klasma.github.io/Logging_2462/tillsynsmail/A 28867-2024 tillsynsbegäran mail.docx", "A 28867-2024")</f>
        <v/>
      </c>
      <c r="Z420">
        <f>HYPERLINK("https://klasma.github.io/Logging_2462/fåglar/A 28867-2024 prioriterade fågelarter.docx", "A 28867-2024")</f>
        <v/>
      </c>
    </row>
    <row r="421" ht="15" customHeight="1">
      <c r="A421" t="inlineStr">
        <is>
          <t>A 5700-2023</t>
        </is>
      </c>
      <c r="B421" s="1" t="n">
        <v>44960</v>
      </c>
      <c r="C421" s="1" t="n">
        <v>45971</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58835-2021</t>
        </is>
      </c>
      <c r="B422" s="1" t="n">
        <v>44489</v>
      </c>
      <c r="C422" s="1" t="n">
        <v>45971</v>
      </c>
      <c r="D422" t="inlineStr">
        <is>
          <t>VÄSTERBOTTENS LÄN</t>
        </is>
      </c>
      <c r="E422" t="inlineStr">
        <is>
          <t>SKELLEFTEÅ</t>
        </is>
      </c>
      <c r="G422" t="n">
        <v>10.2</v>
      </c>
      <c r="H422" t="n">
        <v>0</v>
      </c>
      <c r="I422" t="n">
        <v>0</v>
      </c>
      <c r="J422" t="n">
        <v>4</v>
      </c>
      <c r="K422" t="n">
        <v>0</v>
      </c>
      <c r="L422" t="n">
        <v>0</v>
      </c>
      <c r="M422" t="n">
        <v>0</v>
      </c>
      <c r="N422" t="n">
        <v>0</v>
      </c>
      <c r="O422" t="n">
        <v>4</v>
      </c>
      <c r="P422" t="n">
        <v>0</v>
      </c>
      <c r="Q422" t="n">
        <v>4</v>
      </c>
      <c r="R422" s="2" t="inlineStr">
        <is>
          <t>Doftskinn
Gammelgransskål
Stjärntagging
Ullticka</t>
        </is>
      </c>
      <c r="S422">
        <f>HYPERLINK("https://klasma.github.io/Logging_2482/artfynd/A 58835-2021 artfynd.xlsx", "A 58835-2021")</f>
        <v/>
      </c>
      <c r="T422">
        <f>HYPERLINK("https://klasma.github.io/Logging_2482/kartor/A 58835-2021 karta.png", "A 58835-2021")</f>
        <v/>
      </c>
      <c r="V422">
        <f>HYPERLINK("https://klasma.github.io/Logging_2482/klagomål/A 58835-2021 FSC-klagomål.docx", "A 58835-2021")</f>
        <v/>
      </c>
      <c r="W422">
        <f>HYPERLINK("https://klasma.github.io/Logging_2482/klagomålsmail/A 58835-2021 FSC-klagomål mail.docx", "A 58835-2021")</f>
        <v/>
      </c>
      <c r="X422">
        <f>HYPERLINK("https://klasma.github.io/Logging_2482/tillsyn/A 58835-2021 tillsynsbegäran.docx", "A 58835-2021")</f>
        <v/>
      </c>
      <c r="Y422">
        <f>HYPERLINK("https://klasma.github.io/Logging_2482/tillsynsmail/A 58835-2021 tillsynsbegäran mail.docx", "A 58835-2021")</f>
        <v/>
      </c>
    </row>
    <row r="423" ht="15" customHeight="1">
      <c r="A423" t="inlineStr">
        <is>
          <t>A 49528-2022</t>
        </is>
      </c>
      <c r="B423" s="1" t="n">
        <v>44861</v>
      </c>
      <c r="C423" s="1" t="n">
        <v>45971</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57409-2021</t>
        </is>
      </c>
      <c r="B424" s="1" t="n">
        <v>44483</v>
      </c>
      <c r="C424" s="1" t="n">
        <v>45971</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55235-2024</t>
        </is>
      </c>
      <c r="B425" s="1" t="n">
        <v>45620</v>
      </c>
      <c r="C425" s="1" t="n">
        <v>45971</v>
      </c>
      <c r="D425" t="inlineStr">
        <is>
          <t>VÄSTERBOTTENS LÄN</t>
        </is>
      </c>
      <c r="E425" t="inlineStr">
        <is>
          <t>SKELLEFTEÅ</t>
        </is>
      </c>
      <c r="G425" t="n">
        <v>0.9</v>
      </c>
      <c r="H425" t="n">
        <v>1</v>
      </c>
      <c r="I425" t="n">
        <v>1</v>
      </c>
      <c r="J425" t="n">
        <v>2</v>
      </c>
      <c r="K425" t="n">
        <v>1</v>
      </c>
      <c r="L425" t="n">
        <v>0</v>
      </c>
      <c r="M425" t="n">
        <v>0</v>
      </c>
      <c r="N425" t="n">
        <v>0</v>
      </c>
      <c r="O425" t="n">
        <v>3</v>
      </c>
      <c r="P425" t="n">
        <v>1</v>
      </c>
      <c r="Q425" t="n">
        <v>4</v>
      </c>
      <c r="R425" s="2" t="inlineStr">
        <is>
          <t>Doftticka
Barkporlav
Lunglav
Bårdlav</t>
        </is>
      </c>
      <c r="S425">
        <f>HYPERLINK("https://klasma.github.io/Logging_2482/artfynd/A 55235-2024 artfynd.xlsx", "A 55235-2024")</f>
        <v/>
      </c>
      <c r="T425">
        <f>HYPERLINK("https://klasma.github.io/Logging_2482/kartor/A 55235-2024 karta.png", "A 55235-2024")</f>
        <v/>
      </c>
      <c r="V425">
        <f>HYPERLINK("https://klasma.github.io/Logging_2482/klagomål/A 55235-2024 FSC-klagomål.docx", "A 55235-2024")</f>
        <v/>
      </c>
      <c r="W425">
        <f>HYPERLINK("https://klasma.github.io/Logging_2482/klagomålsmail/A 55235-2024 FSC-klagomål mail.docx", "A 55235-2024")</f>
        <v/>
      </c>
      <c r="X425">
        <f>HYPERLINK("https://klasma.github.io/Logging_2482/tillsyn/A 55235-2024 tillsynsbegäran.docx", "A 55235-2024")</f>
        <v/>
      </c>
      <c r="Y425">
        <f>HYPERLINK("https://klasma.github.io/Logging_2482/tillsynsmail/A 55235-2024 tillsynsbegäran mail.docx", "A 55235-2024")</f>
        <v/>
      </c>
    </row>
    <row r="426" ht="15" customHeight="1">
      <c r="A426" t="inlineStr">
        <is>
          <t>A 66443-2021</t>
        </is>
      </c>
      <c r="B426" s="1" t="n">
        <v>44518</v>
      </c>
      <c r="C426" s="1" t="n">
        <v>45971</v>
      </c>
      <c r="D426" t="inlineStr">
        <is>
          <t>VÄSTERBOTTENS LÄN</t>
        </is>
      </c>
      <c r="E426" t="inlineStr">
        <is>
          <t>SORSELE</t>
        </is>
      </c>
      <c r="G426" t="n">
        <v>15.5</v>
      </c>
      <c r="H426" t="n">
        <v>1</v>
      </c>
      <c r="I426" t="n">
        <v>0</v>
      </c>
      <c r="J426" t="n">
        <v>4</v>
      </c>
      <c r="K426" t="n">
        <v>0</v>
      </c>
      <c r="L426" t="n">
        <v>0</v>
      </c>
      <c r="M426" t="n">
        <v>0</v>
      </c>
      <c r="N426" t="n">
        <v>0</v>
      </c>
      <c r="O426" t="n">
        <v>4</v>
      </c>
      <c r="P426" t="n">
        <v>0</v>
      </c>
      <c r="Q426" t="n">
        <v>4</v>
      </c>
      <c r="R426" s="2" t="inlineStr">
        <is>
          <t>Dvärgbägarlav
Granticka
Harticka
Talltita</t>
        </is>
      </c>
      <c r="S426">
        <f>HYPERLINK("https://klasma.github.io/Logging_2422/artfynd/A 66443-2021 artfynd.xlsx", "A 66443-2021")</f>
        <v/>
      </c>
      <c r="T426">
        <f>HYPERLINK("https://klasma.github.io/Logging_2422/kartor/A 66443-2021 karta.png", "A 66443-2021")</f>
        <v/>
      </c>
      <c r="V426">
        <f>HYPERLINK("https://klasma.github.io/Logging_2422/klagomål/A 66443-2021 FSC-klagomål.docx", "A 66443-2021")</f>
        <v/>
      </c>
      <c r="W426">
        <f>HYPERLINK("https://klasma.github.io/Logging_2422/klagomålsmail/A 66443-2021 FSC-klagomål mail.docx", "A 66443-2021")</f>
        <v/>
      </c>
      <c r="X426">
        <f>HYPERLINK("https://klasma.github.io/Logging_2422/tillsyn/A 66443-2021 tillsynsbegäran.docx", "A 66443-2021")</f>
        <v/>
      </c>
      <c r="Y426">
        <f>HYPERLINK("https://klasma.github.io/Logging_2422/tillsynsmail/A 66443-2021 tillsynsbegäran mail.docx", "A 66443-2021")</f>
        <v/>
      </c>
      <c r="Z426">
        <f>HYPERLINK("https://klasma.github.io/Logging_2422/fåglar/A 66443-2021 prioriterade fågelarter.docx", "A 66443-2021")</f>
        <v/>
      </c>
    </row>
    <row r="427" ht="15" customHeight="1">
      <c r="A427" t="inlineStr">
        <is>
          <t>A 2643-2025</t>
        </is>
      </c>
      <c r="B427" s="1" t="n">
        <v>45676.48310185185</v>
      </c>
      <c r="C427" s="1" t="n">
        <v>45971</v>
      </c>
      <c r="D427" t="inlineStr">
        <is>
          <t>VÄSTERBOTTENS LÄN</t>
        </is>
      </c>
      <c r="E427" t="inlineStr">
        <is>
          <t>UMEÅ</t>
        </is>
      </c>
      <c r="F427" t="inlineStr">
        <is>
          <t>Övriga Aktiebolag</t>
        </is>
      </c>
      <c r="G427" t="n">
        <v>12.6</v>
      </c>
      <c r="H427" t="n">
        <v>0</v>
      </c>
      <c r="I427" t="n">
        <v>1</v>
      </c>
      <c r="J427" t="n">
        <v>3</v>
      </c>
      <c r="K427" t="n">
        <v>0</v>
      </c>
      <c r="L427" t="n">
        <v>0</v>
      </c>
      <c r="M427" t="n">
        <v>0</v>
      </c>
      <c r="N427" t="n">
        <v>0</v>
      </c>
      <c r="O427" t="n">
        <v>3</v>
      </c>
      <c r="P427" t="n">
        <v>0</v>
      </c>
      <c r="Q427" t="n">
        <v>4</v>
      </c>
      <c r="R427" s="2" t="inlineStr">
        <is>
          <t>Garnlav
Kolflarnlav
Ullticka
Dropptaggsvamp</t>
        </is>
      </c>
      <c r="S427">
        <f>HYPERLINK("https://klasma.github.io/Logging_2480/artfynd/A 2643-2025 artfynd.xlsx", "A 2643-2025")</f>
        <v/>
      </c>
      <c r="T427">
        <f>HYPERLINK("https://klasma.github.io/Logging_2480/kartor/A 2643-2025 karta.png", "A 2643-2025")</f>
        <v/>
      </c>
      <c r="V427">
        <f>HYPERLINK("https://klasma.github.io/Logging_2480/klagomål/A 2643-2025 FSC-klagomål.docx", "A 2643-2025")</f>
        <v/>
      </c>
      <c r="W427">
        <f>HYPERLINK("https://klasma.github.io/Logging_2480/klagomålsmail/A 2643-2025 FSC-klagomål mail.docx", "A 2643-2025")</f>
        <v/>
      </c>
      <c r="X427">
        <f>HYPERLINK("https://klasma.github.io/Logging_2480/tillsyn/A 2643-2025 tillsynsbegäran.docx", "A 2643-2025")</f>
        <v/>
      </c>
      <c r="Y427">
        <f>HYPERLINK("https://klasma.github.io/Logging_2480/tillsynsmail/A 2643-2025 tillsynsbegäran mail.docx", "A 2643-2025")</f>
        <v/>
      </c>
    </row>
    <row r="428" ht="15" customHeight="1">
      <c r="A428" t="inlineStr">
        <is>
          <t>A 54905-2024</t>
        </is>
      </c>
      <c r="B428" s="1" t="n">
        <v>45618.66777777778</v>
      </c>
      <c r="C428" s="1" t="n">
        <v>45971</v>
      </c>
      <c r="D428" t="inlineStr">
        <is>
          <t>VÄSTERBOTTENS LÄN</t>
        </is>
      </c>
      <c r="E428" t="inlineStr">
        <is>
          <t>LYCKSELE</t>
        </is>
      </c>
      <c r="F428" t="inlineStr">
        <is>
          <t>Sveaskog</t>
        </is>
      </c>
      <c r="G428" t="n">
        <v>2.2</v>
      </c>
      <c r="H428" t="n">
        <v>0</v>
      </c>
      <c r="I428" t="n">
        <v>1</v>
      </c>
      <c r="J428" t="n">
        <v>2</v>
      </c>
      <c r="K428" t="n">
        <v>1</v>
      </c>
      <c r="L428" t="n">
        <v>0</v>
      </c>
      <c r="M428" t="n">
        <v>0</v>
      </c>
      <c r="N428" t="n">
        <v>0</v>
      </c>
      <c r="O428" t="n">
        <v>3</v>
      </c>
      <c r="P428" t="n">
        <v>1</v>
      </c>
      <c r="Q428" t="n">
        <v>4</v>
      </c>
      <c r="R428" s="2" t="inlineStr">
        <is>
          <t>Fläckporing
Garnlav
Kolflarnlav
Dropptaggsvamp</t>
        </is>
      </c>
      <c r="S428">
        <f>HYPERLINK("https://klasma.github.io/Logging_2481/artfynd/A 54905-2024 artfynd.xlsx", "A 54905-2024")</f>
        <v/>
      </c>
      <c r="T428">
        <f>HYPERLINK("https://klasma.github.io/Logging_2481/kartor/A 54905-2024 karta.png", "A 54905-2024")</f>
        <v/>
      </c>
      <c r="V428">
        <f>HYPERLINK("https://klasma.github.io/Logging_2481/klagomål/A 54905-2024 FSC-klagomål.docx", "A 54905-2024")</f>
        <v/>
      </c>
      <c r="W428">
        <f>HYPERLINK("https://klasma.github.io/Logging_2481/klagomålsmail/A 54905-2024 FSC-klagomål mail.docx", "A 54905-2024")</f>
        <v/>
      </c>
      <c r="X428">
        <f>HYPERLINK("https://klasma.github.io/Logging_2481/tillsyn/A 54905-2024 tillsynsbegäran.docx", "A 54905-2024")</f>
        <v/>
      </c>
      <c r="Y428">
        <f>HYPERLINK("https://klasma.github.io/Logging_2481/tillsynsmail/A 54905-2024 tillsynsbegäran mail.docx", "A 54905-2024")</f>
        <v/>
      </c>
    </row>
    <row r="429" ht="15" customHeight="1">
      <c r="A429" t="inlineStr">
        <is>
          <t>A 45691-2023</t>
        </is>
      </c>
      <c r="B429" s="1" t="n">
        <v>45195</v>
      </c>
      <c r="C429" s="1" t="n">
        <v>45971</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17099-2025</t>
        </is>
      </c>
      <c r="B430" s="1" t="n">
        <v>45755.65731481482</v>
      </c>
      <c r="C430" s="1" t="n">
        <v>45971</v>
      </c>
      <c r="D430" t="inlineStr">
        <is>
          <t>VÄSTERBOTTENS LÄN</t>
        </is>
      </c>
      <c r="E430" t="inlineStr">
        <is>
          <t>VINDELN</t>
        </is>
      </c>
      <c r="F430" t="inlineStr">
        <is>
          <t>SCA</t>
        </is>
      </c>
      <c r="G430" t="n">
        <v>32.8</v>
      </c>
      <c r="H430" t="n">
        <v>0</v>
      </c>
      <c r="I430" t="n">
        <v>1</v>
      </c>
      <c r="J430" t="n">
        <v>3</v>
      </c>
      <c r="K430" t="n">
        <v>0</v>
      </c>
      <c r="L430" t="n">
        <v>0</v>
      </c>
      <c r="M430" t="n">
        <v>0</v>
      </c>
      <c r="N430" t="n">
        <v>0</v>
      </c>
      <c r="O430" t="n">
        <v>3</v>
      </c>
      <c r="P430" t="n">
        <v>0</v>
      </c>
      <c r="Q430" t="n">
        <v>4</v>
      </c>
      <c r="R430" s="2" t="inlineStr">
        <is>
          <t>Garnlav
Granticka
Lunglav
Stuplav</t>
        </is>
      </c>
      <c r="S430">
        <f>HYPERLINK("https://klasma.github.io/Logging_2404/artfynd/A 17099-2025 artfynd.xlsx", "A 17099-2025")</f>
        <v/>
      </c>
      <c r="T430">
        <f>HYPERLINK("https://klasma.github.io/Logging_2404/kartor/A 17099-2025 karta.png", "A 17099-2025")</f>
        <v/>
      </c>
      <c r="V430">
        <f>HYPERLINK("https://klasma.github.io/Logging_2404/klagomål/A 17099-2025 FSC-klagomål.docx", "A 17099-2025")</f>
        <v/>
      </c>
      <c r="W430">
        <f>HYPERLINK("https://klasma.github.io/Logging_2404/klagomålsmail/A 17099-2025 FSC-klagomål mail.docx", "A 17099-2025")</f>
        <v/>
      </c>
      <c r="X430">
        <f>HYPERLINK("https://klasma.github.io/Logging_2404/tillsyn/A 17099-2025 tillsynsbegäran.docx", "A 17099-2025")</f>
        <v/>
      </c>
      <c r="Y430">
        <f>HYPERLINK("https://klasma.github.io/Logging_2404/tillsynsmail/A 17099-2025 tillsynsbegäran mail.docx", "A 17099-2025")</f>
        <v/>
      </c>
    </row>
    <row r="431" ht="15" customHeight="1">
      <c r="A431" t="inlineStr">
        <is>
          <t>A 5029-2022</t>
        </is>
      </c>
      <c r="B431" s="1" t="n">
        <v>44593.65526620371</v>
      </c>
      <c r="C431" s="1" t="n">
        <v>45971</v>
      </c>
      <c r="D431" t="inlineStr">
        <is>
          <t>VÄSTERBOTTENS LÄN</t>
        </is>
      </c>
      <c r="E431" t="inlineStr">
        <is>
          <t>UMEÅ</t>
        </is>
      </c>
      <c r="G431" t="n">
        <v>9.300000000000001</v>
      </c>
      <c r="H431" t="n">
        <v>0</v>
      </c>
      <c r="I431" t="n">
        <v>1</v>
      </c>
      <c r="J431" t="n">
        <v>2</v>
      </c>
      <c r="K431" t="n">
        <v>1</v>
      </c>
      <c r="L431" t="n">
        <v>0</v>
      </c>
      <c r="M431" t="n">
        <v>0</v>
      </c>
      <c r="N431" t="n">
        <v>0</v>
      </c>
      <c r="O431" t="n">
        <v>3</v>
      </c>
      <c r="P431" t="n">
        <v>1</v>
      </c>
      <c r="Q431" t="n">
        <v>4</v>
      </c>
      <c r="R431" s="2" t="inlineStr">
        <is>
          <t>Rynkskinn
Granticka
Ullticka
Vedticka</t>
        </is>
      </c>
      <c r="S431">
        <f>HYPERLINK("https://klasma.github.io/Logging_2480/artfynd/A 5029-2022 artfynd.xlsx", "A 5029-2022")</f>
        <v/>
      </c>
      <c r="T431">
        <f>HYPERLINK("https://klasma.github.io/Logging_2480/kartor/A 5029-2022 karta.png", "A 5029-2022")</f>
        <v/>
      </c>
      <c r="V431">
        <f>HYPERLINK("https://klasma.github.io/Logging_2480/klagomål/A 5029-2022 FSC-klagomål.docx", "A 5029-2022")</f>
        <v/>
      </c>
      <c r="W431">
        <f>HYPERLINK("https://klasma.github.io/Logging_2480/klagomålsmail/A 5029-2022 FSC-klagomål mail.docx", "A 5029-2022")</f>
        <v/>
      </c>
      <c r="X431">
        <f>HYPERLINK("https://klasma.github.io/Logging_2480/tillsyn/A 5029-2022 tillsynsbegäran.docx", "A 5029-2022")</f>
        <v/>
      </c>
      <c r="Y431">
        <f>HYPERLINK("https://klasma.github.io/Logging_2480/tillsynsmail/A 5029-2022 tillsynsbegäran mail.docx", "A 5029-2022")</f>
        <v/>
      </c>
    </row>
    <row r="432" ht="15" customHeight="1">
      <c r="A432" t="inlineStr">
        <is>
          <t>A 39528-2025</t>
        </is>
      </c>
      <c r="B432" s="1" t="n">
        <v>45890.44530092592</v>
      </c>
      <c r="C432" s="1" t="n">
        <v>45971</v>
      </c>
      <c r="D432" t="inlineStr">
        <is>
          <t>VÄSTERBOTTENS LÄN</t>
        </is>
      </c>
      <c r="E432" t="inlineStr">
        <is>
          <t>LYCKSELE</t>
        </is>
      </c>
      <c r="F432" t="inlineStr">
        <is>
          <t>Sveaskog</t>
        </is>
      </c>
      <c r="G432" t="n">
        <v>24.9</v>
      </c>
      <c r="H432" t="n">
        <v>0</v>
      </c>
      <c r="I432" t="n">
        <v>1</v>
      </c>
      <c r="J432" t="n">
        <v>3</v>
      </c>
      <c r="K432" t="n">
        <v>0</v>
      </c>
      <c r="L432" t="n">
        <v>0</v>
      </c>
      <c r="M432" t="n">
        <v>0</v>
      </c>
      <c r="N432" t="n">
        <v>0</v>
      </c>
      <c r="O432" t="n">
        <v>3</v>
      </c>
      <c r="P432" t="n">
        <v>0</v>
      </c>
      <c r="Q432" t="n">
        <v>4</v>
      </c>
      <c r="R432" s="2" t="inlineStr">
        <is>
          <t>Kolflarnlav
Lunglav
Mörk kolflarnlav
Dropptaggsvamp</t>
        </is>
      </c>
      <c r="S432">
        <f>HYPERLINK("https://klasma.github.io/Logging_2481/artfynd/A 39528-2025 artfynd.xlsx", "A 39528-2025")</f>
        <v/>
      </c>
      <c r="T432">
        <f>HYPERLINK("https://klasma.github.io/Logging_2481/kartor/A 39528-2025 karta.png", "A 39528-2025")</f>
        <v/>
      </c>
      <c r="V432">
        <f>HYPERLINK("https://klasma.github.io/Logging_2481/klagomål/A 39528-2025 FSC-klagomål.docx", "A 39528-2025")</f>
        <v/>
      </c>
      <c r="W432">
        <f>HYPERLINK("https://klasma.github.io/Logging_2481/klagomålsmail/A 39528-2025 FSC-klagomål mail.docx", "A 39528-2025")</f>
        <v/>
      </c>
      <c r="X432">
        <f>HYPERLINK("https://klasma.github.io/Logging_2481/tillsyn/A 39528-2025 tillsynsbegäran.docx", "A 39528-2025")</f>
        <v/>
      </c>
      <c r="Y432">
        <f>HYPERLINK("https://klasma.github.io/Logging_2481/tillsynsmail/A 39528-2025 tillsynsbegäran mail.docx", "A 39528-2025")</f>
        <v/>
      </c>
    </row>
    <row r="433" ht="15" customHeight="1">
      <c r="A433" t="inlineStr">
        <is>
          <t>A 18725-2024</t>
        </is>
      </c>
      <c r="B433" s="1" t="n">
        <v>45426</v>
      </c>
      <c r="C433" s="1" t="n">
        <v>45971</v>
      </c>
      <c r="D433" t="inlineStr">
        <is>
          <t>VÄSTERBOTTENS LÄN</t>
        </is>
      </c>
      <c r="E433" t="inlineStr">
        <is>
          <t>UMEÅ</t>
        </is>
      </c>
      <c r="F433" t="inlineStr">
        <is>
          <t>Holmen skog AB</t>
        </is>
      </c>
      <c r="G433" t="n">
        <v>6.6</v>
      </c>
      <c r="H433" t="n">
        <v>1</v>
      </c>
      <c r="I433" t="n">
        <v>0</v>
      </c>
      <c r="J433" t="n">
        <v>4</v>
      </c>
      <c r="K433" t="n">
        <v>0</v>
      </c>
      <c r="L433" t="n">
        <v>0</v>
      </c>
      <c r="M433" t="n">
        <v>0</v>
      </c>
      <c r="N433" t="n">
        <v>0</v>
      </c>
      <c r="O433" t="n">
        <v>4</v>
      </c>
      <c r="P433" t="n">
        <v>0</v>
      </c>
      <c r="Q433" t="n">
        <v>4</v>
      </c>
      <c r="R433" s="2" t="inlineStr">
        <is>
          <t>Garnlav
Orange taggsvamp
Talltita
Vedskivlav</t>
        </is>
      </c>
      <c r="S433">
        <f>HYPERLINK("https://klasma.github.io/Logging_2480/artfynd/A 18725-2024 artfynd.xlsx", "A 18725-2024")</f>
        <v/>
      </c>
      <c r="T433">
        <f>HYPERLINK("https://klasma.github.io/Logging_2480/kartor/A 18725-2024 karta.png", "A 18725-2024")</f>
        <v/>
      </c>
      <c r="V433">
        <f>HYPERLINK("https://klasma.github.io/Logging_2480/klagomål/A 18725-2024 FSC-klagomål.docx", "A 18725-2024")</f>
        <v/>
      </c>
      <c r="W433">
        <f>HYPERLINK("https://klasma.github.io/Logging_2480/klagomålsmail/A 18725-2024 FSC-klagomål mail.docx", "A 18725-2024")</f>
        <v/>
      </c>
      <c r="X433">
        <f>HYPERLINK("https://klasma.github.io/Logging_2480/tillsyn/A 18725-2024 tillsynsbegäran.docx", "A 18725-2024")</f>
        <v/>
      </c>
      <c r="Y433">
        <f>HYPERLINK("https://klasma.github.io/Logging_2480/tillsynsmail/A 18725-2024 tillsynsbegäran mail.docx", "A 18725-2024")</f>
        <v/>
      </c>
      <c r="Z433">
        <f>HYPERLINK("https://klasma.github.io/Logging_2480/fåglar/A 18725-2024 prioriterade fågelarter.docx", "A 18725-2024")</f>
        <v/>
      </c>
    </row>
    <row r="434" ht="15" customHeight="1">
      <c r="A434" t="inlineStr">
        <is>
          <t>A 18577-2024</t>
        </is>
      </c>
      <c r="B434" s="1" t="n">
        <v>45425</v>
      </c>
      <c r="C434" s="1" t="n">
        <v>45971</v>
      </c>
      <c r="D434" t="inlineStr">
        <is>
          <t>VÄSTERBOTTENS LÄN</t>
        </is>
      </c>
      <c r="E434" t="inlineStr">
        <is>
          <t>SKELLEFTEÅ</t>
        </is>
      </c>
      <c r="G434" t="n">
        <v>5.3</v>
      </c>
      <c r="H434" t="n">
        <v>1</v>
      </c>
      <c r="I434" t="n">
        <v>1</v>
      </c>
      <c r="J434" t="n">
        <v>2</v>
      </c>
      <c r="K434" t="n">
        <v>1</v>
      </c>
      <c r="L434" t="n">
        <v>0</v>
      </c>
      <c r="M434" t="n">
        <v>0</v>
      </c>
      <c r="N434" t="n">
        <v>0</v>
      </c>
      <c r="O434" t="n">
        <v>3</v>
      </c>
      <c r="P434" t="n">
        <v>1</v>
      </c>
      <c r="Q434" t="n">
        <v>4</v>
      </c>
      <c r="R434" s="2" t="inlineStr">
        <is>
          <t>Knärot
Gammelgransskål
Garnlav
Rävticka</t>
        </is>
      </c>
      <c r="S434">
        <f>HYPERLINK("https://klasma.github.io/Logging_2482/artfynd/A 18577-2024 artfynd.xlsx", "A 18577-2024")</f>
        <v/>
      </c>
      <c r="T434">
        <f>HYPERLINK("https://klasma.github.io/Logging_2482/kartor/A 18577-2024 karta.png", "A 18577-2024")</f>
        <v/>
      </c>
      <c r="U434">
        <f>HYPERLINK("https://klasma.github.io/Logging_2482/knärot/A 18577-2024 karta knärot.png", "A 18577-2024")</f>
        <v/>
      </c>
      <c r="V434">
        <f>HYPERLINK("https://klasma.github.io/Logging_2482/klagomål/A 18577-2024 FSC-klagomål.docx", "A 18577-2024")</f>
        <v/>
      </c>
      <c r="W434">
        <f>HYPERLINK("https://klasma.github.io/Logging_2482/klagomålsmail/A 18577-2024 FSC-klagomål mail.docx", "A 18577-2024")</f>
        <v/>
      </c>
      <c r="X434">
        <f>HYPERLINK("https://klasma.github.io/Logging_2482/tillsyn/A 18577-2024 tillsynsbegäran.docx", "A 18577-2024")</f>
        <v/>
      </c>
      <c r="Y434">
        <f>HYPERLINK("https://klasma.github.io/Logging_2482/tillsynsmail/A 18577-2024 tillsynsbegäran mail.docx", "A 18577-2024")</f>
        <v/>
      </c>
    </row>
    <row r="435" ht="15" customHeight="1">
      <c r="A435" t="inlineStr">
        <is>
          <t>A 45582-2022</t>
        </is>
      </c>
      <c r="B435" s="1" t="n">
        <v>44841</v>
      </c>
      <c r="C435" s="1" t="n">
        <v>45971</v>
      </c>
      <c r="D435" t="inlineStr">
        <is>
          <t>VÄSTERBOTTENS LÄN</t>
        </is>
      </c>
      <c r="E435" t="inlineStr">
        <is>
          <t>SORSELE</t>
        </is>
      </c>
      <c r="G435" t="n">
        <v>79.3</v>
      </c>
      <c r="H435" t="n">
        <v>0</v>
      </c>
      <c r="I435" t="n">
        <v>0</v>
      </c>
      <c r="J435" t="n">
        <v>3</v>
      </c>
      <c r="K435" t="n">
        <v>0</v>
      </c>
      <c r="L435" t="n">
        <v>1</v>
      </c>
      <c r="M435" t="n">
        <v>0</v>
      </c>
      <c r="N435" t="n">
        <v>0</v>
      </c>
      <c r="O435" t="n">
        <v>4</v>
      </c>
      <c r="P435" t="n">
        <v>1</v>
      </c>
      <c r="Q435" t="n">
        <v>4</v>
      </c>
      <c r="R435" s="2" t="inlineStr">
        <is>
          <t>Grangytterlav
Lunglav
Olivbrun gytterlav
Skrovellav</t>
        </is>
      </c>
      <c r="S435">
        <f>HYPERLINK("https://klasma.github.io/Logging_2422/artfynd/A 45582-2022 artfynd.xlsx", "A 45582-2022")</f>
        <v/>
      </c>
      <c r="T435">
        <f>HYPERLINK("https://klasma.github.io/Logging_2422/kartor/A 45582-2022 karta.png", "A 45582-2022")</f>
        <v/>
      </c>
      <c r="V435">
        <f>HYPERLINK("https://klasma.github.io/Logging_2422/klagomål/A 45582-2022 FSC-klagomål.docx", "A 45582-2022")</f>
        <v/>
      </c>
      <c r="W435">
        <f>HYPERLINK("https://klasma.github.io/Logging_2422/klagomålsmail/A 45582-2022 FSC-klagomål mail.docx", "A 45582-2022")</f>
        <v/>
      </c>
      <c r="X435">
        <f>HYPERLINK("https://klasma.github.io/Logging_2422/tillsyn/A 45582-2022 tillsynsbegäran.docx", "A 45582-2022")</f>
        <v/>
      </c>
      <c r="Y435">
        <f>HYPERLINK("https://klasma.github.io/Logging_2422/tillsynsmail/A 45582-2022 tillsynsbegäran mail.docx", "A 45582-2022")</f>
        <v/>
      </c>
    </row>
    <row r="436" ht="15" customHeight="1">
      <c r="A436" t="inlineStr">
        <is>
          <t>A 62340-2021</t>
        </is>
      </c>
      <c r="B436" s="1" t="n">
        <v>44503</v>
      </c>
      <c r="C436" s="1" t="n">
        <v>45971</v>
      </c>
      <c r="D436" t="inlineStr">
        <is>
          <t>VÄSTERBOTTENS LÄN</t>
        </is>
      </c>
      <c r="E436" t="inlineStr">
        <is>
          <t>SKELLEFTEÅ</t>
        </is>
      </c>
      <c r="G436" t="n">
        <v>3.9</v>
      </c>
      <c r="H436" t="n">
        <v>0</v>
      </c>
      <c r="I436" t="n">
        <v>2</v>
      </c>
      <c r="J436" t="n">
        <v>2</v>
      </c>
      <c r="K436" t="n">
        <v>0</v>
      </c>
      <c r="L436" t="n">
        <v>0</v>
      </c>
      <c r="M436" t="n">
        <v>0</v>
      </c>
      <c r="N436" t="n">
        <v>0</v>
      </c>
      <c r="O436" t="n">
        <v>2</v>
      </c>
      <c r="P436" t="n">
        <v>0</v>
      </c>
      <c r="Q436" t="n">
        <v>4</v>
      </c>
      <c r="R436" s="2" t="inlineStr">
        <is>
          <t>Garnlav
Harticka
Dropptaggsvamp
Vedticka</t>
        </is>
      </c>
      <c r="S436">
        <f>HYPERLINK("https://klasma.github.io/Logging_2482/artfynd/A 62340-2021 artfynd.xlsx", "A 62340-2021")</f>
        <v/>
      </c>
      <c r="T436">
        <f>HYPERLINK("https://klasma.github.io/Logging_2482/kartor/A 62340-2021 karta.png", "A 62340-2021")</f>
        <v/>
      </c>
      <c r="U436">
        <f>HYPERLINK("https://klasma.github.io/Logging_2482/knärot/A 62340-2021 karta knärot.png",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58709-2024</t>
        </is>
      </c>
      <c r="B437" s="1" t="n">
        <v>45635</v>
      </c>
      <c r="C437" s="1" t="n">
        <v>45971</v>
      </c>
      <c r="D437" t="inlineStr">
        <is>
          <t>VÄSTERBOTTENS LÄN</t>
        </is>
      </c>
      <c r="E437" t="inlineStr">
        <is>
          <t>BJURHOLM</t>
        </is>
      </c>
      <c r="G437" t="n">
        <v>8.300000000000001</v>
      </c>
      <c r="H437" t="n">
        <v>1</v>
      </c>
      <c r="I437" t="n">
        <v>0</v>
      </c>
      <c r="J437" t="n">
        <v>3</v>
      </c>
      <c r="K437" t="n">
        <v>1</v>
      </c>
      <c r="L437" t="n">
        <v>0</v>
      </c>
      <c r="M437" t="n">
        <v>0</v>
      </c>
      <c r="N437" t="n">
        <v>0</v>
      </c>
      <c r="O437" t="n">
        <v>4</v>
      </c>
      <c r="P437" t="n">
        <v>1</v>
      </c>
      <c r="Q437" t="n">
        <v>4</v>
      </c>
      <c r="R437" s="2" t="inlineStr">
        <is>
          <t>Rynkskinn
Garnlav
Spillkråka
Ullticka</t>
        </is>
      </c>
      <c r="S437">
        <f>HYPERLINK("https://klasma.github.io/Logging_2403/artfynd/A 58709-2024 artfynd.xlsx", "A 58709-2024")</f>
        <v/>
      </c>
      <c r="T437">
        <f>HYPERLINK("https://klasma.github.io/Logging_2403/kartor/A 58709-2024 karta.png", "A 58709-2024")</f>
        <v/>
      </c>
      <c r="V437">
        <f>HYPERLINK("https://klasma.github.io/Logging_2403/klagomål/A 58709-2024 FSC-klagomål.docx", "A 58709-2024")</f>
        <v/>
      </c>
      <c r="W437">
        <f>HYPERLINK("https://klasma.github.io/Logging_2403/klagomålsmail/A 58709-2024 FSC-klagomål mail.docx", "A 58709-2024")</f>
        <v/>
      </c>
      <c r="X437">
        <f>HYPERLINK("https://klasma.github.io/Logging_2403/tillsyn/A 58709-2024 tillsynsbegäran.docx", "A 58709-2024")</f>
        <v/>
      </c>
      <c r="Y437">
        <f>HYPERLINK("https://klasma.github.io/Logging_2403/tillsynsmail/A 58709-2024 tillsynsbegäran mail.docx", "A 58709-2024")</f>
        <v/>
      </c>
      <c r="Z437">
        <f>HYPERLINK("https://klasma.github.io/Logging_2403/fåglar/A 58709-2024 prioriterade fågelarter.docx", "A 58709-2024")</f>
        <v/>
      </c>
    </row>
    <row r="438" ht="15" customHeight="1">
      <c r="A438" t="inlineStr">
        <is>
          <t>A 47450-2024</t>
        </is>
      </c>
      <c r="B438" s="1" t="n">
        <v>45587.53958333333</v>
      </c>
      <c r="C438" s="1" t="n">
        <v>45971</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44382-2023</t>
        </is>
      </c>
      <c r="B439" s="1" t="n">
        <v>45188.94413194444</v>
      </c>
      <c r="C439" s="1" t="n">
        <v>45971</v>
      </c>
      <c r="D439" t="inlineStr">
        <is>
          <t>VÄSTERBOTTENS LÄN</t>
        </is>
      </c>
      <c r="E439" t="inlineStr">
        <is>
          <t>VILHELMINA</t>
        </is>
      </c>
      <c r="F439" t="inlineStr">
        <is>
          <t>SCA</t>
        </is>
      </c>
      <c r="G439" t="n">
        <v>2.8</v>
      </c>
      <c r="H439" t="n">
        <v>1</v>
      </c>
      <c r="I439" t="n">
        <v>1</v>
      </c>
      <c r="J439" t="n">
        <v>3</v>
      </c>
      <c r="K439" t="n">
        <v>0</v>
      </c>
      <c r="L439" t="n">
        <v>0</v>
      </c>
      <c r="M439" t="n">
        <v>0</v>
      </c>
      <c r="N439" t="n">
        <v>0</v>
      </c>
      <c r="O439" t="n">
        <v>3</v>
      </c>
      <c r="P439" t="n">
        <v>0</v>
      </c>
      <c r="Q439" t="n">
        <v>4</v>
      </c>
      <c r="R439" s="2" t="inlineStr">
        <is>
          <t>Garnlav
Lunglav
Talltita
Stuplav</t>
        </is>
      </c>
      <c r="S439">
        <f>HYPERLINK("https://klasma.github.io/Logging_2462/artfynd/A 44382-2023 artfynd.xlsx", "A 44382-2023")</f>
        <v/>
      </c>
      <c r="T439">
        <f>HYPERLINK("https://klasma.github.io/Logging_2462/kartor/A 44382-2023 karta.png", "A 44382-2023")</f>
        <v/>
      </c>
      <c r="V439">
        <f>HYPERLINK("https://klasma.github.io/Logging_2462/klagomål/A 44382-2023 FSC-klagomål.docx", "A 44382-2023")</f>
        <v/>
      </c>
      <c r="W439">
        <f>HYPERLINK("https://klasma.github.io/Logging_2462/klagomålsmail/A 44382-2023 FSC-klagomål mail.docx", "A 44382-2023")</f>
        <v/>
      </c>
      <c r="X439">
        <f>HYPERLINK("https://klasma.github.io/Logging_2462/tillsyn/A 44382-2023 tillsynsbegäran.docx", "A 44382-2023")</f>
        <v/>
      </c>
      <c r="Y439">
        <f>HYPERLINK("https://klasma.github.io/Logging_2462/tillsynsmail/A 44382-2023 tillsynsbegäran mail.docx", "A 44382-2023")</f>
        <v/>
      </c>
      <c r="Z439">
        <f>HYPERLINK("https://klasma.github.io/Logging_2462/fåglar/A 44382-2023 prioriterade fågelarter.docx", "A 44382-2023")</f>
        <v/>
      </c>
    </row>
    <row r="440" ht="15" customHeight="1">
      <c r="A440" t="inlineStr">
        <is>
          <t>A 49447-2022</t>
        </is>
      </c>
      <c r="B440" s="1" t="n">
        <v>44861</v>
      </c>
      <c r="C440" s="1" t="n">
        <v>45971</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57738-2021</t>
        </is>
      </c>
      <c r="B441" s="1" t="n">
        <v>44484</v>
      </c>
      <c r="C441" s="1" t="n">
        <v>45971</v>
      </c>
      <c r="D441" t="inlineStr">
        <is>
          <t>VÄSTERBOTTENS LÄN</t>
        </is>
      </c>
      <c r="E441" t="inlineStr">
        <is>
          <t>SKELLEFTEÅ</t>
        </is>
      </c>
      <c r="G441" t="n">
        <v>11.4</v>
      </c>
      <c r="H441" t="n">
        <v>2</v>
      </c>
      <c r="I441" t="n">
        <v>1</v>
      </c>
      <c r="J441" t="n">
        <v>2</v>
      </c>
      <c r="K441" t="n">
        <v>0</v>
      </c>
      <c r="L441" t="n">
        <v>0</v>
      </c>
      <c r="M441" t="n">
        <v>0</v>
      </c>
      <c r="N441" t="n">
        <v>0</v>
      </c>
      <c r="O441" t="n">
        <v>2</v>
      </c>
      <c r="P441" t="n">
        <v>0</v>
      </c>
      <c r="Q441" t="n">
        <v>4</v>
      </c>
      <c r="R441" s="2" t="inlineStr">
        <is>
          <t>Doftskinn
Talltita
Nästlav
Fläcknycklar</t>
        </is>
      </c>
      <c r="S441">
        <f>HYPERLINK("https://klasma.github.io/Logging_2482/artfynd/A 57738-2021 artfynd.xlsx", "A 57738-2021")</f>
        <v/>
      </c>
      <c r="T441">
        <f>HYPERLINK("https://klasma.github.io/Logging_2482/kartor/A 57738-2021 karta.png", "A 57738-2021")</f>
        <v/>
      </c>
      <c r="V441">
        <f>HYPERLINK("https://klasma.github.io/Logging_2482/klagomål/A 57738-2021 FSC-klagomål.docx", "A 57738-2021")</f>
        <v/>
      </c>
      <c r="W441">
        <f>HYPERLINK("https://klasma.github.io/Logging_2482/klagomålsmail/A 57738-2021 FSC-klagomål mail.docx", "A 57738-2021")</f>
        <v/>
      </c>
      <c r="X441">
        <f>HYPERLINK("https://klasma.github.io/Logging_2482/tillsyn/A 57738-2021 tillsynsbegäran.docx", "A 57738-2021")</f>
        <v/>
      </c>
      <c r="Y441">
        <f>HYPERLINK("https://klasma.github.io/Logging_2482/tillsynsmail/A 57738-2021 tillsynsbegäran mail.docx", "A 57738-2021")</f>
        <v/>
      </c>
      <c r="Z441">
        <f>HYPERLINK("https://klasma.github.io/Logging_2482/fåglar/A 57738-2021 prioriterade fågelarter.docx", "A 57738-2021")</f>
        <v/>
      </c>
    </row>
    <row r="442" ht="15" customHeight="1">
      <c r="A442" t="inlineStr">
        <is>
          <t>A 47977-2024</t>
        </is>
      </c>
      <c r="B442" s="1" t="n">
        <v>45589</v>
      </c>
      <c r="C442" s="1" t="n">
        <v>45971</v>
      </c>
      <c r="D442" t="inlineStr">
        <is>
          <t>VÄSTERBOTTENS LÄN</t>
        </is>
      </c>
      <c r="E442" t="inlineStr">
        <is>
          <t>LYCKSELE</t>
        </is>
      </c>
      <c r="F442" t="inlineStr">
        <is>
          <t>Sveaskog</t>
        </is>
      </c>
      <c r="G442" t="n">
        <v>3</v>
      </c>
      <c r="H442" t="n">
        <v>0</v>
      </c>
      <c r="I442" t="n">
        <v>0</v>
      </c>
      <c r="J442" t="n">
        <v>4</v>
      </c>
      <c r="K442" t="n">
        <v>0</v>
      </c>
      <c r="L442" t="n">
        <v>0</v>
      </c>
      <c r="M442" t="n">
        <v>0</v>
      </c>
      <c r="N442" t="n">
        <v>0</v>
      </c>
      <c r="O442" t="n">
        <v>4</v>
      </c>
      <c r="P442" t="n">
        <v>0</v>
      </c>
      <c r="Q442" t="n">
        <v>4</v>
      </c>
      <c r="R442" s="2" t="inlineStr">
        <is>
          <t>Blå taggsvamp
Kolflarnlav
Orange taggsvamp
Skrovlig taggsvamp</t>
        </is>
      </c>
      <c r="S442">
        <f>HYPERLINK("https://klasma.github.io/Logging_2481/artfynd/A 47977-2024 artfynd.xlsx", "A 47977-2024")</f>
        <v/>
      </c>
      <c r="T442">
        <f>HYPERLINK("https://klasma.github.io/Logging_2481/kartor/A 47977-2024 karta.png", "A 47977-2024")</f>
        <v/>
      </c>
      <c r="V442">
        <f>HYPERLINK("https://klasma.github.io/Logging_2481/klagomål/A 47977-2024 FSC-klagomål.docx", "A 47977-2024")</f>
        <v/>
      </c>
      <c r="W442">
        <f>HYPERLINK("https://klasma.github.io/Logging_2481/klagomålsmail/A 47977-2024 FSC-klagomål mail.docx", "A 47977-2024")</f>
        <v/>
      </c>
      <c r="X442">
        <f>HYPERLINK("https://klasma.github.io/Logging_2481/tillsyn/A 47977-2024 tillsynsbegäran.docx", "A 47977-2024")</f>
        <v/>
      </c>
      <c r="Y442">
        <f>HYPERLINK("https://klasma.github.io/Logging_2481/tillsynsmail/A 47977-2024 tillsynsbegäran mail.docx", "A 47977-2024")</f>
        <v/>
      </c>
    </row>
    <row r="443" ht="15" customHeight="1">
      <c r="A443" t="inlineStr">
        <is>
          <t>A 13034-2024</t>
        </is>
      </c>
      <c r="B443" s="1" t="n">
        <v>45385</v>
      </c>
      <c r="C443" s="1" t="n">
        <v>45971</v>
      </c>
      <c r="D443" t="inlineStr">
        <is>
          <t>VÄSTERBOTTENS LÄN</t>
        </is>
      </c>
      <c r="E443" t="inlineStr">
        <is>
          <t>VINDELN</t>
        </is>
      </c>
      <c r="G443" t="n">
        <v>11.7</v>
      </c>
      <c r="H443" t="n">
        <v>1</v>
      </c>
      <c r="I443" t="n">
        <v>1</v>
      </c>
      <c r="J443" t="n">
        <v>3</v>
      </c>
      <c r="K443" t="n">
        <v>0</v>
      </c>
      <c r="L443" t="n">
        <v>0</v>
      </c>
      <c r="M443" t="n">
        <v>0</v>
      </c>
      <c r="N443" t="n">
        <v>0</v>
      </c>
      <c r="O443" t="n">
        <v>3</v>
      </c>
      <c r="P443" t="n">
        <v>0</v>
      </c>
      <c r="Q443" t="n">
        <v>4</v>
      </c>
      <c r="R443" s="2" t="inlineStr">
        <is>
          <t>Granticka
Spillkråka
Ullticka
Stor aspticka</t>
        </is>
      </c>
      <c r="S443">
        <f>HYPERLINK("https://klasma.github.io/Logging_2404/artfynd/A 13034-2024 artfynd.xlsx", "A 13034-2024")</f>
        <v/>
      </c>
      <c r="T443">
        <f>HYPERLINK("https://klasma.github.io/Logging_2404/kartor/A 13034-2024 karta.png", "A 13034-2024")</f>
        <v/>
      </c>
      <c r="V443">
        <f>HYPERLINK("https://klasma.github.io/Logging_2404/klagomål/A 13034-2024 FSC-klagomål.docx", "A 13034-2024")</f>
        <v/>
      </c>
      <c r="W443">
        <f>HYPERLINK("https://klasma.github.io/Logging_2404/klagomålsmail/A 13034-2024 FSC-klagomål mail.docx", "A 13034-2024")</f>
        <v/>
      </c>
      <c r="X443">
        <f>HYPERLINK("https://klasma.github.io/Logging_2404/tillsyn/A 13034-2024 tillsynsbegäran.docx", "A 13034-2024")</f>
        <v/>
      </c>
      <c r="Y443">
        <f>HYPERLINK("https://klasma.github.io/Logging_2404/tillsynsmail/A 13034-2024 tillsynsbegäran mail.docx", "A 13034-2024")</f>
        <v/>
      </c>
      <c r="Z443">
        <f>HYPERLINK("https://klasma.github.io/Logging_2404/fåglar/A 13034-2024 prioriterade fågelarter.docx", "A 13034-2024")</f>
        <v/>
      </c>
    </row>
    <row r="444" ht="15" customHeight="1">
      <c r="A444" t="inlineStr">
        <is>
          <t>A 53423-2024</t>
        </is>
      </c>
      <c r="B444" s="1" t="n">
        <v>45614.51168981481</v>
      </c>
      <c r="C444" s="1" t="n">
        <v>45971</v>
      </c>
      <c r="D444" t="inlineStr">
        <is>
          <t>VÄSTERBOTTENS LÄN</t>
        </is>
      </c>
      <c r="E444" t="inlineStr">
        <is>
          <t>SKELLEFTEÅ</t>
        </is>
      </c>
      <c r="G444" t="n">
        <v>3.5</v>
      </c>
      <c r="H444" t="n">
        <v>1</v>
      </c>
      <c r="I444" t="n">
        <v>0</v>
      </c>
      <c r="J444" t="n">
        <v>4</v>
      </c>
      <c r="K444" t="n">
        <v>0</v>
      </c>
      <c r="L444" t="n">
        <v>0</v>
      </c>
      <c r="M444" t="n">
        <v>0</v>
      </c>
      <c r="N444" t="n">
        <v>0</v>
      </c>
      <c r="O444" t="n">
        <v>4</v>
      </c>
      <c r="P444" t="n">
        <v>0</v>
      </c>
      <c r="Q444" t="n">
        <v>4</v>
      </c>
      <c r="R444" s="2" t="inlineStr">
        <is>
          <t>Blanksvart spiklav
Blå taggsvamp
Garnlav
Spillkråka</t>
        </is>
      </c>
      <c r="S444">
        <f>HYPERLINK("https://klasma.github.io/Logging_2482/artfynd/A 53423-2024 artfynd.xlsx", "A 53423-2024")</f>
        <v/>
      </c>
      <c r="T444">
        <f>HYPERLINK("https://klasma.github.io/Logging_2482/kartor/A 53423-2024 karta.png", "A 53423-2024")</f>
        <v/>
      </c>
      <c r="V444">
        <f>HYPERLINK("https://klasma.github.io/Logging_2482/klagomål/A 53423-2024 FSC-klagomål.docx", "A 53423-2024")</f>
        <v/>
      </c>
      <c r="W444">
        <f>HYPERLINK("https://klasma.github.io/Logging_2482/klagomålsmail/A 53423-2024 FSC-klagomål mail.docx", "A 53423-2024")</f>
        <v/>
      </c>
      <c r="X444">
        <f>HYPERLINK("https://klasma.github.io/Logging_2482/tillsyn/A 53423-2024 tillsynsbegäran.docx", "A 53423-2024")</f>
        <v/>
      </c>
      <c r="Y444">
        <f>HYPERLINK("https://klasma.github.io/Logging_2482/tillsynsmail/A 53423-2024 tillsynsbegäran mail.docx", "A 53423-2024")</f>
        <v/>
      </c>
      <c r="Z444">
        <f>HYPERLINK("https://klasma.github.io/Logging_2482/fåglar/A 53423-2024 prioriterade fågelarter.docx", "A 53423-2024")</f>
        <v/>
      </c>
    </row>
    <row r="445" ht="15" customHeight="1">
      <c r="A445" t="inlineStr">
        <is>
          <t>A 56462-2024</t>
        </is>
      </c>
      <c r="B445" s="1" t="n">
        <v>45625</v>
      </c>
      <c r="C445" s="1" t="n">
        <v>45971</v>
      </c>
      <c r="D445" t="inlineStr">
        <is>
          <t>VÄSTERBOTTENS LÄN</t>
        </is>
      </c>
      <c r="E445" t="inlineStr">
        <is>
          <t>SKELLEFTEÅ</t>
        </is>
      </c>
      <c r="F445" t="inlineStr">
        <is>
          <t>Holmen skog AB</t>
        </is>
      </c>
      <c r="G445" t="n">
        <v>44.8</v>
      </c>
      <c r="H445" t="n">
        <v>0</v>
      </c>
      <c r="I445" t="n">
        <v>0</v>
      </c>
      <c r="J445" t="n">
        <v>3</v>
      </c>
      <c r="K445" t="n">
        <v>0</v>
      </c>
      <c r="L445" t="n">
        <v>1</v>
      </c>
      <c r="M445" t="n">
        <v>0</v>
      </c>
      <c r="N445" t="n">
        <v>0</v>
      </c>
      <c r="O445" t="n">
        <v>4</v>
      </c>
      <c r="P445" t="n">
        <v>1</v>
      </c>
      <c r="Q445" t="n">
        <v>4</v>
      </c>
      <c r="R445" s="2" t="inlineStr">
        <is>
          <t>Större svartbagge
Korthornad ögonbagge
Rödhalsad vedsvampbagge
Svart ögonknäppare</t>
        </is>
      </c>
      <c r="S445">
        <f>HYPERLINK("https://klasma.github.io/Logging_2482/artfynd/A 56462-2024 artfynd.xlsx", "A 56462-2024")</f>
        <v/>
      </c>
      <c r="T445">
        <f>HYPERLINK("https://klasma.github.io/Logging_2482/kartor/A 56462-2024 karta.png", "A 56462-2024")</f>
        <v/>
      </c>
      <c r="V445">
        <f>HYPERLINK("https://klasma.github.io/Logging_2482/klagomål/A 56462-2024 FSC-klagomål.docx", "A 56462-2024")</f>
        <v/>
      </c>
      <c r="W445">
        <f>HYPERLINK("https://klasma.github.io/Logging_2482/klagomålsmail/A 56462-2024 FSC-klagomål mail.docx", "A 56462-2024")</f>
        <v/>
      </c>
      <c r="X445">
        <f>HYPERLINK("https://klasma.github.io/Logging_2482/tillsyn/A 56462-2024 tillsynsbegäran.docx", "A 56462-2024")</f>
        <v/>
      </c>
      <c r="Y445">
        <f>HYPERLINK("https://klasma.github.io/Logging_2482/tillsynsmail/A 56462-2024 tillsynsbegäran mail.docx", "A 56462-2024")</f>
        <v/>
      </c>
    </row>
    <row r="446" ht="15" customHeight="1">
      <c r="A446" t="inlineStr">
        <is>
          <t>A 62393-2023</t>
        </is>
      </c>
      <c r="B446" s="1" t="n">
        <v>45268</v>
      </c>
      <c r="C446" s="1" t="n">
        <v>45971</v>
      </c>
      <c r="D446" t="inlineStr">
        <is>
          <t>VÄSTERBOTTENS LÄN</t>
        </is>
      </c>
      <c r="E446" t="inlineStr">
        <is>
          <t>SKELLEFTEÅ</t>
        </is>
      </c>
      <c r="F446" t="inlineStr">
        <is>
          <t>Sveaskog</t>
        </is>
      </c>
      <c r="G446" t="n">
        <v>6.7</v>
      </c>
      <c r="H446" t="n">
        <v>0</v>
      </c>
      <c r="I446" t="n">
        <v>1</v>
      </c>
      <c r="J446" t="n">
        <v>3</v>
      </c>
      <c r="K446" t="n">
        <v>0</v>
      </c>
      <c r="L446" t="n">
        <v>0</v>
      </c>
      <c r="M446" t="n">
        <v>0</v>
      </c>
      <c r="N446" t="n">
        <v>0</v>
      </c>
      <c r="O446" t="n">
        <v>3</v>
      </c>
      <c r="P446" t="n">
        <v>0</v>
      </c>
      <c r="Q446" t="n">
        <v>4</v>
      </c>
      <c r="R446" s="2" t="inlineStr">
        <is>
          <t>Garnlav
Lunglav
Violettgrå tagellav
Bårdlav</t>
        </is>
      </c>
      <c r="S446">
        <f>HYPERLINK("https://klasma.github.io/Logging_2482/artfynd/A 62393-2023 artfynd.xlsx", "A 62393-2023")</f>
        <v/>
      </c>
      <c r="T446">
        <f>HYPERLINK("https://klasma.github.io/Logging_2482/kartor/A 62393-2023 karta.png", "A 62393-2023")</f>
        <v/>
      </c>
      <c r="V446">
        <f>HYPERLINK("https://klasma.github.io/Logging_2482/klagomål/A 62393-2023 FSC-klagomål.docx", "A 62393-2023")</f>
        <v/>
      </c>
      <c r="W446">
        <f>HYPERLINK("https://klasma.github.io/Logging_2482/klagomålsmail/A 62393-2023 FSC-klagomål mail.docx", "A 62393-2023")</f>
        <v/>
      </c>
      <c r="X446">
        <f>HYPERLINK("https://klasma.github.io/Logging_2482/tillsyn/A 62393-2023 tillsynsbegäran.docx", "A 62393-2023")</f>
        <v/>
      </c>
      <c r="Y446">
        <f>HYPERLINK("https://klasma.github.io/Logging_2482/tillsynsmail/A 62393-2023 tillsynsbegäran mail.docx", "A 62393-2023")</f>
        <v/>
      </c>
    </row>
    <row r="447" ht="15" customHeight="1">
      <c r="A447" t="inlineStr">
        <is>
          <t>A 33857-2024</t>
        </is>
      </c>
      <c r="B447" s="1" t="n">
        <v>45520.65300925926</v>
      </c>
      <c r="C447" s="1" t="n">
        <v>45971</v>
      </c>
      <c r="D447" t="inlineStr">
        <is>
          <t>VÄSTERBOTTENS LÄN</t>
        </is>
      </c>
      <c r="E447" t="inlineStr">
        <is>
          <t>STORUMAN</t>
        </is>
      </c>
      <c r="F447" t="inlineStr">
        <is>
          <t>Sveaskog</t>
        </is>
      </c>
      <c r="G447" t="n">
        <v>7.9</v>
      </c>
      <c r="H447" t="n">
        <v>1</v>
      </c>
      <c r="I447" t="n">
        <v>1</v>
      </c>
      <c r="J447" t="n">
        <v>3</v>
      </c>
      <c r="K447" t="n">
        <v>0</v>
      </c>
      <c r="L447" t="n">
        <v>0</v>
      </c>
      <c r="M447" t="n">
        <v>0</v>
      </c>
      <c r="N447" t="n">
        <v>0</v>
      </c>
      <c r="O447" t="n">
        <v>3</v>
      </c>
      <c r="P447" t="n">
        <v>0</v>
      </c>
      <c r="Q447" t="n">
        <v>4</v>
      </c>
      <c r="R447" s="2" t="inlineStr">
        <is>
          <t>Järpe
Kolflarnlav
Mörk kolflarnlav
Skinnlav</t>
        </is>
      </c>
      <c r="S447">
        <f>HYPERLINK("https://klasma.github.io/Logging_2421/artfynd/A 33857-2024 artfynd.xlsx", "A 33857-2024")</f>
        <v/>
      </c>
      <c r="T447">
        <f>HYPERLINK("https://klasma.github.io/Logging_2421/kartor/A 33857-2024 karta.png", "A 33857-2024")</f>
        <v/>
      </c>
      <c r="V447">
        <f>HYPERLINK("https://klasma.github.io/Logging_2421/klagomål/A 33857-2024 FSC-klagomål.docx", "A 33857-2024")</f>
        <v/>
      </c>
      <c r="W447">
        <f>HYPERLINK("https://klasma.github.io/Logging_2421/klagomålsmail/A 33857-2024 FSC-klagomål mail.docx", "A 33857-2024")</f>
        <v/>
      </c>
      <c r="X447">
        <f>HYPERLINK("https://klasma.github.io/Logging_2421/tillsyn/A 33857-2024 tillsynsbegäran.docx", "A 33857-2024")</f>
        <v/>
      </c>
      <c r="Y447">
        <f>HYPERLINK("https://klasma.github.io/Logging_2421/tillsynsmail/A 33857-2024 tillsynsbegäran mail.docx", "A 33857-2024")</f>
        <v/>
      </c>
      <c r="Z447">
        <f>HYPERLINK("https://klasma.github.io/Logging_2421/fåglar/A 33857-2024 prioriterade fågelarter.docx", "A 33857-2024")</f>
        <v/>
      </c>
    </row>
    <row r="448" ht="15" customHeight="1">
      <c r="A448" t="inlineStr">
        <is>
          <t>A 52891-2024</t>
        </is>
      </c>
      <c r="B448" s="1" t="n">
        <v>45610.66724537037</v>
      </c>
      <c r="C448" s="1" t="n">
        <v>45971</v>
      </c>
      <c r="D448" t="inlineStr">
        <is>
          <t>VÄSTERBOTTENS LÄN</t>
        </is>
      </c>
      <c r="E448" t="inlineStr">
        <is>
          <t>LYCKSELE</t>
        </is>
      </c>
      <c r="F448" t="inlineStr">
        <is>
          <t>Holmen skog AB</t>
        </is>
      </c>
      <c r="G448" t="n">
        <v>5</v>
      </c>
      <c r="H448" t="n">
        <v>0</v>
      </c>
      <c r="I448" t="n">
        <v>1</v>
      </c>
      <c r="J448" t="n">
        <v>3</v>
      </c>
      <c r="K448" t="n">
        <v>0</v>
      </c>
      <c r="L448" t="n">
        <v>0</v>
      </c>
      <c r="M448" t="n">
        <v>0</v>
      </c>
      <c r="N448" t="n">
        <v>0</v>
      </c>
      <c r="O448" t="n">
        <v>3</v>
      </c>
      <c r="P448" t="n">
        <v>0</v>
      </c>
      <c r="Q448" t="n">
        <v>4</v>
      </c>
      <c r="R448" s="2" t="inlineStr">
        <is>
          <t>Garnlav
Granticka
Lunglav
Bårdlav</t>
        </is>
      </c>
      <c r="S448">
        <f>HYPERLINK("https://klasma.github.io/Logging_2481/artfynd/A 52891-2024 artfynd.xlsx", "A 52891-2024")</f>
        <v/>
      </c>
      <c r="T448">
        <f>HYPERLINK("https://klasma.github.io/Logging_2481/kartor/A 52891-2024 karta.png", "A 52891-2024")</f>
        <v/>
      </c>
      <c r="V448">
        <f>HYPERLINK("https://klasma.github.io/Logging_2481/klagomål/A 52891-2024 FSC-klagomål.docx", "A 52891-2024")</f>
        <v/>
      </c>
      <c r="W448">
        <f>HYPERLINK("https://klasma.github.io/Logging_2481/klagomålsmail/A 52891-2024 FSC-klagomål mail.docx", "A 52891-2024")</f>
        <v/>
      </c>
      <c r="X448">
        <f>HYPERLINK("https://klasma.github.io/Logging_2481/tillsyn/A 52891-2024 tillsynsbegäran.docx", "A 52891-2024")</f>
        <v/>
      </c>
      <c r="Y448">
        <f>HYPERLINK("https://klasma.github.io/Logging_2481/tillsynsmail/A 52891-2024 tillsynsbegäran mail.docx", "A 52891-2024")</f>
        <v/>
      </c>
    </row>
    <row r="449" ht="15" customHeight="1">
      <c r="A449" t="inlineStr">
        <is>
          <t>A 25036-2024</t>
        </is>
      </c>
      <c r="B449" s="1" t="n">
        <v>45461</v>
      </c>
      <c r="C449" s="1" t="n">
        <v>45971</v>
      </c>
      <c r="D449" t="inlineStr">
        <is>
          <t>VÄSTERBOTTENS LÄN</t>
        </is>
      </c>
      <c r="E449" t="inlineStr">
        <is>
          <t>VILHELMINA</t>
        </is>
      </c>
      <c r="F449" t="inlineStr">
        <is>
          <t>SCA</t>
        </is>
      </c>
      <c r="G449" t="n">
        <v>7</v>
      </c>
      <c r="H449" t="n">
        <v>3</v>
      </c>
      <c r="I449" t="n">
        <v>1</v>
      </c>
      <c r="J449" t="n">
        <v>1</v>
      </c>
      <c r="K449" t="n">
        <v>0</v>
      </c>
      <c r="L449" t="n">
        <v>0</v>
      </c>
      <c r="M449" t="n">
        <v>0</v>
      </c>
      <c r="N449" t="n">
        <v>0</v>
      </c>
      <c r="O449" t="n">
        <v>1</v>
      </c>
      <c r="P449" t="n">
        <v>0</v>
      </c>
      <c r="Q449" t="n">
        <v>4</v>
      </c>
      <c r="R449" s="2" t="inlineStr">
        <is>
          <t>Garnlav
Plattlummer
Tjäder
Revlummer</t>
        </is>
      </c>
      <c r="S449">
        <f>HYPERLINK("https://klasma.github.io/Logging_2462/artfynd/A 25036-2024 artfynd.xlsx", "A 25036-2024")</f>
        <v/>
      </c>
      <c r="T449">
        <f>HYPERLINK("https://klasma.github.io/Logging_2462/kartor/A 25036-2024 karta.png", "A 25036-2024")</f>
        <v/>
      </c>
      <c r="V449">
        <f>HYPERLINK("https://klasma.github.io/Logging_2462/klagomål/A 25036-2024 FSC-klagomål.docx", "A 25036-2024")</f>
        <v/>
      </c>
      <c r="W449">
        <f>HYPERLINK("https://klasma.github.io/Logging_2462/klagomålsmail/A 25036-2024 FSC-klagomål mail.docx", "A 25036-2024")</f>
        <v/>
      </c>
      <c r="X449">
        <f>HYPERLINK("https://klasma.github.io/Logging_2462/tillsyn/A 25036-2024 tillsynsbegäran.docx", "A 25036-2024")</f>
        <v/>
      </c>
      <c r="Y449">
        <f>HYPERLINK("https://klasma.github.io/Logging_2462/tillsynsmail/A 25036-2024 tillsynsbegäran mail.docx", "A 25036-2024")</f>
        <v/>
      </c>
      <c r="Z449">
        <f>HYPERLINK("https://klasma.github.io/Logging_2462/fåglar/A 25036-2024 prioriterade fågelarter.docx", "A 25036-2024")</f>
        <v/>
      </c>
    </row>
    <row r="450" ht="15" customHeight="1">
      <c r="A450" t="inlineStr">
        <is>
          <t>A 39126-2025</t>
        </is>
      </c>
      <c r="B450" s="1" t="n">
        <v>45888.58637731482</v>
      </c>
      <c r="C450" s="1" t="n">
        <v>45971</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40414-2025</t>
        </is>
      </c>
      <c r="B451" s="1" t="n">
        <v>45895.57538194444</v>
      </c>
      <c r="C451" s="1" t="n">
        <v>45971</v>
      </c>
      <c r="D451" t="inlineStr">
        <is>
          <t>VÄSTERBOTTENS LÄN</t>
        </is>
      </c>
      <c r="E451" t="inlineStr">
        <is>
          <t>SKELLEFTEÅ</t>
        </is>
      </c>
      <c r="F451" t="inlineStr">
        <is>
          <t>Holmen skog AB</t>
        </is>
      </c>
      <c r="G451" t="n">
        <v>5.1</v>
      </c>
      <c r="H451" t="n">
        <v>1</v>
      </c>
      <c r="I451" t="n">
        <v>0</v>
      </c>
      <c r="J451" t="n">
        <v>4</v>
      </c>
      <c r="K451" t="n">
        <v>0</v>
      </c>
      <c r="L451" t="n">
        <v>0</v>
      </c>
      <c r="M451" t="n">
        <v>0</v>
      </c>
      <c r="N451" t="n">
        <v>0</v>
      </c>
      <c r="O451" t="n">
        <v>4</v>
      </c>
      <c r="P451" t="n">
        <v>0</v>
      </c>
      <c r="Q451" t="n">
        <v>4</v>
      </c>
      <c r="R451" s="2" t="inlineStr">
        <is>
          <t>Gammelgransskål
Garnlav
Tallticka
Tretåig hackspett</t>
        </is>
      </c>
      <c r="S451">
        <f>HYPERLINK("https://klasma.github.io/Logging_2482/artfynd/A 40414-2025 artfynd.xlsx", "A 40414-2025")</f>
        <v/>
      </c>
      <c r="T451">
        <f>HYPERLINK("https://klasma.github.io/Logging_2482/kartor/A 40414-2025 karta.png", "A 40414-2025")</f>
        <v/>
      </c>
      <c r="V451">
        <f>HYPERLINK("https://klasma.github.io/Logging_2482/klagomål/A 40414-2025 FSC-klagomål.docx", "A 40414-2025")</f>
        <v/>
      </c>
      <c r="W451">
        <f>HYPERLINK("https://klasma.github.io/Logging_2482/klagomålsmail/A 40414-2025 FSC-klagomål mail.docx", "A 40414-2025")</f>
        <v/>
      </c>
      <c r="X451">
        <f>HYPERLINK("https://klasma.github.io/Logging_2482/tillsyn/A 40414-2025 tillsynsbegäran.docx", "A 40414-2025")</f>
        <v/>
      </c>
      <c r="Y451">
        <f>HYPERLINK("https://klasma.github.io/Logging_2482/tillsynsmail/A 40414-2025 tillsynsbegäran mail.docx", "A 40414-2025")</f>
        <v/>
      </c>
      <c r="Z451">
        <f>HYPERLINK("https://klasma.github.io/Logging_2482/fåglar/A 40414-2025 prioriterade fågelarter.docx", "A 40414-2025")</f>
        <v/>
      </c>
    </row>
    <row r="452" ht="15" customHeight="1">
      <c r="A452" t="inlineStr">
        <is>
          <t>A 61036-2022</t>
        </is>
      </c>
      <c r="B452" s="1" t="n">
        <v>44914.92446759259</v>
      </c>
      <c r="C452" s="1" t="n">
        <v>45971</v>
      </c>
      <c r="D452" t="inlineStr">
        <is>
          <t>VÄSTERBOTTENS LÄN</t>
        </is>
      </c>
      <c r="E452" t="inlineStr">
        <is>
          <t>UMEÅ</t>
        </is>
      </c>
      <c r="G452" t="n">
        <v>6</v>
      </c>
      <c r="H452" t="n">
        <v>1</v>
      </c>
      <c r="I452" t="n">
        <v>1</v>
      </c>
      <c r="J452" t="n">
        <v>3</v>
      </c>
      <c r="K452" t="n">
        <v>0</v>
      </c>
      <c r="L452" t="n">
        <v>0</v>
      </c>
      <c r="M452" t="n">
        <v>0</v>
      </c>
      <c r="N452" t="n">
        <v>0</v>
      </c>
      <c r="O452" t="n">
        <v>3</v>
      </c>
      <c r="P452" t="n">
        <v>0</v>
      </c>
      <c r="Q452" t="n">
        <v>4</v>
      </c>
      <c r="R452" s="2" t="inlineStr">
        <is>
          <t>Garnlav
Granticka
Järpe
Vedticka</t>
        </is>
      </c>
      <c r="S452">
        <f>HYPERLINK("https://klasma.github.io/Logging_2480/artfynd/A 61036-2022 artfynd.xlsx", "A 61036-2022")</f>
        <v/>
      </c>
      <c r="T452">
        <f>HYPERLINK("https://klasma.github.io/Logging_2480/kartor/A 61036-2022 karta.png", "A 61036-2022")</f>
        <v/>
      </c>
      <c r="V452">
        <f>HYPERLINK("https://klasma.github.io/Logging_2480/klagomål/A 61036-2022 FSC-klagomål.docx", "A 61036-2022")</f>
        <v/>
      </c>
      <c r="W452">
        <f>HYPERLINK("https://klasma.github.io/Logging_2480/klagomålsmail/A 61036-2022 FSC-klagomål mail.docx", "A 61036-2022")</f>
        <v/>
      </c>
      <c r="X452">
        <f>HYPERLINK("https://klasma.github.io/Logging_2480/tillsyn/A 61036-2022 tillsynsbegäran.docx", "A 61036-2022")</f>
        <v/>
      </c>
      <c r="Y452">
        <f>HYPERLINK("https://klasma.github.io/Logging_2480/tillsynsmail/A 61036-2022 tillsynsbegäran mail.docx", "A 61036-2022")</f>
        <v/>
      </c>
      <c r="Z452">
        <f>HYPERLINK("https://klasma.github.io/Logging_2480/fåglar/A 61036-2022 prioriterade fågelarter.docx", "A 61036-2022")</f>
        <v/>
      </c>
    </row>
    <row r="453" ht="15" customHeight="1">
      <c r="A453" t="inlineStr">
        <is>
          <t>A 39114-2025</t>
        </is>
      </c>
      <c r="B453" s="1" t="n">
        <v>45888.55090277778</v>
      </c>
      <c r="C453" s="1" t="n">
        <v>45971</v>
      </c>
      <c r="D453" t="inlineStr">
        <is>
          <t>VÄSTERBOTTENS LÄN</t>
        </is>
      </c>
      <c r="E453" t="inlineStr">
        <is>
          <t>SKELLEFTEÅ</t>
        </is>
      </c>
      <c r="F453" t="inlineStr">
        <is>
          <t>Holmen skog AB</t>
        </is>
      </c>
      <c r="G453" t="n">
        <v>2.9</v>
      </c>
      <c r="H453" t="n">
        <v>2</v>
      </c>
      <c r="I453" t="n">
        <v>1</v>
      </c>
      <c r="J453" t="n">
        <v>2</v>
      </c>
      <c r="K453" t="n">
        <v>0</v>
      </c>
      <c r="L453" t="n">
        <v>0</v>
      </c>
      <c r="M453" t="n">
        <v>0</v>
      </c>
      <c r="N453" t="n">
        <v>0</v>
      </c>
      <c r="O453" t="n">
        <v>2</v>
      </c>
      <c r="P453" t="n">
        <v>0</v>
      </c>
      <c r="Q453" t="n">
        <v>4</v>
      </c>
      <c r="R453" s="2" t="inlineStr">
        <is>
          <t>Garnlav
Tretåig hackspett
Vedticka
Lavskrika</t>
        </is>
      </c>
      <c r="S453">
        <f>HYPERLINK("https://klasma.github.io/Logging_2482/artfynd/A 39114-2025 artfynd.xlsx", "A 39114-2025")</f>
        <v/>
      </c>
      <c r="T453">
        <f>HYPERLINK("https://klasma.github.io/Logging_2482/kartor/A 39114-2025 karta.png", "A 39114-2025")</f>
        <v/>
      </c>
      <c r="V453">
        <f>HYPERLINK("https://klasma.github.io/Logging_2482/klagomål/A 39114-2025 FSC-klagomål.docx", "A 39114-2025")</f>
        <v/>
      </c>
      <c r="W453">
        <f>HYPERLINK("https://klasma.github.io/Logging_2482/klagomålsmail/A 39114-2025 FSC-klagomål mail.docx", "A 39114-2025")</f>
        <v/>
      </c>
      <c r="X453">
        <f>HYPERLINK("https://klasma.github.io/Logging_2482/tillsyn/A 39114-2025 tillsynsbegäran.docx", "A 39114-2025")</f>
        <v/>
      </c>
      <c r="Y453">
        <f>HYPERLINK("https://klasma.github.io/Logging_2482/tillsynsmail/A 39114-2025 tillsynsbegäran mail.docx", "A 39114-2025")</f>
        <v/>
      </c>
      <c r="Z453">
        <f>HYPERLINK("https://klasma.github.io/Logging_2482/fåglar/A 39114-2025 prioriterade fågelarter.docx", "A 39114-2025")</f>
        <v/>
      </c>
    </row>
    <row r="454" ht="15" customHeight="1">
      <c r="A454" t="inlineStr">
        <is>
          <t>A 32211-2023</t>
        </is>
      </c>
      <c r="B454" s="1" t="n">
        <v>45119</v>
      </c>
      <c r="C454" s="1" t="n">
        <v>45971</v>
      </c>
      <c r="D454" t="inlineStr">
        <is>
          <t>VÄSTERBOTTENS LÄN</t>
        </is>
      </c>
      <c r="E454" t="inlineStr">
        <is>
          <t>ROBERTSFORS</t>
        </is>
      </c>
      <c r="F454" t="inlineStr">
        <is>
          <t>SCA</t>
        </is>
      </c>
      <c r="G454" t="n">
        <v>14.4</v>
      </c>
      <c r="H454" t="n">
        <v>1</v>
      </c>
      <c r="I454" t="n">
        <v>0</v>
      </c>
      <c r="J454" t="n">
        <v>3</v>
      </c>
      <c r="K454" t="n">
        <v>1</v>
      </c>
      <c r="L454" t="n">
        <v>0</v>
      </c>
      <c r="M454" t="n">
        <v>0</v>
      </c>
      <c r="N454" t="n">
        <v>0</v>
      </c>
      <c r="O454" t="n">
        <v>4</v>
      </c>
      <c r="P454" t="n">
        <v>1</v>
      </c>
      <c r="Q454" t="n">
        <v>4</v>
      </c>
      <c r="R454" s="2" t="inlineStr">
        <is>
          <t>Gräddporing
Granticka
Tallticka
Talltita</t>
        </is>
      </c>
      <c r="S454">
        <f>HYPERLINK("https://klasma.github.io/Logging_2409/artfynd/A 32211-2023 artfynd.xlsx", "A 32211-2023")</f>
        <v/>
      </c>
      <c r="T454">
        <f>HYPERLINK("https://klasma.github.io/Logging_2409/kartor/A 32211-2023 karta.png", "A 32211-2023")</f>
        <v/>
      </c>
      <c r="V454">
        <f>HYPERLINK("https://klasma.github.io/Logging_2409/klagomål/A 32211-2023 FSC-klagomål.docx", "A 32211-2023")</f>
        <v/>
      </c>
      <c r="W454">
        <f>HYPERLINK("https://klasma.github.io/Logging_2409/klagomålsmail/A 32211-2023 FSC-klagomål mail.docx", "A 32211-2023")</f>
        <v/>
      </c>
      <c r="X454">
        <f>HYPERLINK("https://klasma.github.io/Logging_2409/tillsyn/A 32211-2023 tillsynsbegäran.docx", "A 32211-2023")</f>
        <v/>
      </c>
      <c r="Y454">
        <f>HYPERLINK("https://klasma.github.io/Logging_2409/tillsynsmail/A 32211-2023 tillsynsbegäran mail.docx", "A 32211-2023")</f>
        <v/>
      </c>
      <c r="Z454">
        <f>HYPERLINK("https://klasma.github.io/Logging_2409/fåglar/A 32211-2023 prioriterade fågelarter.docx", "A 32211-2023")</f>
        <v/>
      </c>
    </row>
    <row r="455" ht="15" customHeight="1">
      <c r="A455" t="inlineStr">
        <is>
          <t>A 46092-2023</t>
        </is>
      </c>
      <c r="B455" s="1" t="n">
        <v>45190</v>
      </c>
      <c r="C455" s="1" t="n">
        <v>45971</v>
      </c>
      <c r="D455" t="inlineStr">
        <is>
          <t>VÄSTERBOTTENS LÄN</t>
        </is>
      </c>
      <c r="E455" t="inlineStr">
        <is>
          <t>SKELLEFTEÅ</t>
        </is>
      </c>
      <c r="G455" t="n">
        <v>8.699999999999999</v>
      </c>
      <c r="H455" t="n">
        <v>0</v>
      </c>
      <c r="I455" t="n">
        <v>3</v>
      </c>
      <c r="J455" t="n">
        <v>1</v>
      </c>
      <c r="K455" t="n">
        <v>0</v>
      </c>
      <c r="L455" t="n">
        <v>0</v>
      </c>
      <c r="M455" t="n">
        <v>0</v>
      </c>
      <c r="N455" t="n">
        <v>0</v>
      </c>
      <c r="O455" t="n">
        <v>1</v>
      </c>
      <c r="P455" t="n">
        <v>0</v>
      </c>
      <c r="Q455" t="n">
        <v>4</v>
      </c>
      <c r="R455" s="2" t="inlineStr">
        <is>
          <t>Violettgrå tagellav
Luddlav
Skinnlav
Stuplav</t>
        </is>
      </c>
      <c r="S455">
        <f>HYPERLINK("https://klasma.github.io/Logging_2482/artfynd/A 46092-2023 artfynd.xlsx", "A 46092-2023")</f>
        <v/>
      </c>
      <c r="T455">
        <f>HYPERLINK("https://klasma.github.io/Logging_2482/kartor/A 46092-2023 karta.png", "A 46092-2023")</f>
        <v/>
      </c>
      <c r="V455">
        <f>HYPERLINK("https://klasma.github.io/Logging_2482/klagomål/A 46092-2023 FSC-klagomål.docx", "A 46092-2023")</f>
        <v/>
      </c>
      <c r="W455">
        <f>HYPERLINK("https://klasma.github.io/Logging_2482/klagomålsmail/A 46092-2023 FSC-klagomål mail.docx", "A 46092-2023")</f>
        <v/>
      </c>
      <c r="X455">
        <f>HYPERLINK("https://klasma.github.io/Logging_2482/tillsyn/A 46092-2023 tillsynsbegäran.docx", "A 46092-2023")</f>
        <v/>
      </c>
      <c r="Y455">
        <f>HYPERLINK("https://klasma.github.io/Logging_2482/tillsynsmail/A 46092-2023 tillsynsbegäran mail.docx", "A 46092-2023")</f>
        <v/>
      </c>
    </row>
    <row r="456" ht="15" customHeight="1">
      <c r="A456" t="inlineStr">
        <is>
          <t>A 49808-2025</t>
        </is>
      </c>
      <c r="B456" s="1" t="n">
        <v>45940.42079861111</v>
      </c>
      <c r="C456" s="1" t="n">
        <v>45971</v>
      </c>
      <c r="D456" t="inlineStr">
        <is>
          <t>VÄSTERBOTTENS LÄN</t>
        </is>
      </c>
      <c r="E456" t="inlineStr">
        <is>
          <t>LYCKSELE</t>
        </is>
      </c>
      <c r="F456" t="inlineStr">
        <is>
          <t>Sveaskog</t>
        </is>
      </c>
      <c r="G456" t="n">
        <v>11.8</v>
      </c>
      <c r="H456" t="n">
        <v>0</v>
      </c>
      <c r="I456" t="n">
        <v>0</v>
      </c>
      <c r="J456" t="n">
        <v>4</v>
      </c>
      <c r="K456" t="n">
        <v>0</v>
      </c>
      <c r="L456" t="n">
        <v>0</v>
      </c>
      <c r="M456" t="n">
        <v>0</v>
      </c>
      <c r="N456" t="n">
        <v>0</v>
      </c>
      <c r="O456" t="n">
        <v>4</v>
      </c>
      <c r="P456" t="n">
        <v>0</v>
      </c>
      <c r="Q456" t="n">
        <v>4</v>
      </c>
      <c r="R456" s="2" t="inlineStr">
        <is>
          <t>Blå taggsvamp
Kolflarnlav
Mörk kolflarnlav
Orange taggsvamp</t>
        </is>
      </c>
      <c r="S456">
        <f>HYPERLINK("https://klasma.github.io/Logging_2481/artfynd/A 49808-2025 artfynd.xlsx", "A 49808-2025")</f>
        <v/>
      </c>
      <c r="T456">
        <f>HYPERLINK("https://klasma.github.io/Logging_2481/kartor/A 49808-2025 karta.png", "A 49808-2025")</f>
        <v/>
      </c>
      <c r="V456">
        <f>HYPERLINK("https://klasma.github.io/Logging_2481/klagomål/A 49808-2025 FSC-klagomål.docx", "A 49808-2025")</f>
        <v/>
      </c>
      <c r="W456">
        <f>HYPERLINK("https://klasma.github.io/Logging_2481/klagomålsmail/A 49808-2025 FSC-klagomål mail.docx", "A 49808-2025")</f>
        <v/>
      </c>
      <c r="X456">
        <f>HYPERLINK("https://klasma.github.io/Logging_2481/tillsyn/A 49808-2025 tillsynsbegäran.docx", "A 49808-2025")</f>
        <v/>
      </c>
      <c r="Y456">
        <f>HYPERLINK("https://klasma.github.io/Logging_2481/tillsynsmail/A 49808-2025 tillsynsbegäran mail.docx", "A 49808-2025")</f>
        <v/>
      </c>
    </row>
    <row r="457" ht="15" customHeight="1">
      <c r="A457" t="inlineStr">
        <is>
          <t>A 55242-2024</t>
        </is>
      </c>
      <c r="B457" s="1" t="n">
        <v>45620</v>
      </c>
      <c r="C457" s="1" t="n">
        <v>45971</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53094-2024</t>
        </is>
      </c>
      <c r="B458" s="1" t="n">
        <v>45611.53018518518</v>
      </c>
      <c r="C458" s="1" t="n">
        <v>45971</v>
      </c>
      <c r="D458" t="inlineStr">
        <is>
          <t>VÄSTERBOTTENS LÄN</t>
        </is>
      </c>
      <c r="E458" t="inlineStr">
        <is>
          <t>LYCKSELE</t>
        </is>
      </c>
      <c r="F458" t="inlineStr">
        <is>
          <t>Sveaskog</t>
        </is>
      </c>
      <c r="G458" t="n">
        <v>5.4</v>
      </c>
      <c r="H458" t="n">
        <v>0</v>
      </c>
      <c r="I458" t="n">
        <v>0</v>
      </c>
      <c r="J458" t="n">
        <v>4</v>
      </c>
      <c r="K458" t="n">
        <v>0</v>
      </c>
      <c r="L458" t="n">
        <v>0</v>
      </c>
      <c r="M458" t="n">
        <v>0</v>
      </c>
      <c r="N458" t="n">
        <v>0</v>
      </c>
      <c r="O458" t="n">
        <v>4</v>
      </c>
      <c r="P458" t="n">
        <v>0</v>
      </c>
      <c r="Q458" t="n">
        <v>4</v>
      </c>
      <c r="R458" s="2" t="inlineStr">
        <is>
          <t>Blå taggsvamp
Kolflarnlav
Lunglav
Motaggsvamp</t>
        </is>
      </c>
      <c r="S458">
        <f>HYPERLINK("https://klasma.github.io/Logging_2481/artfynd/A 53094-2024 artfynd.xlsx", "A 53094-2024")</f>
        <v/>
      </c>
      <c r="T458">
        <f>HYPERLINK("https://klasma.github.io/Logging_2481/kartor/A 53094-2024 karta.png", "A 53094-2024")</f>
        <v/>
      </c>
      <c r="V458">
        <f>HYPERLINK("https://klasma.github.io/Logging_2481/klagomål/A 53094-2024 FSC-klagomål.docx", "A 53094-2024")</f>
        <v/>
      </c>
      <c r="W458">
        <f>HYPERLINK("https://klasma.github.io/Logging_2481/klagomålsmail/A 53094-2024 FSC-klagomål mail.docx", "A 53094-2024")</f>
        <v/>
      </c>
      <c r="X458">
        <f>HYPERLINK("https://klasma.github.io/Logging_2481/tillsyn/A 53094-2024 tillsynsbegäran.docx", "A 53094-2024")</f>
        <v/>
      </c>
      <c r="Y458">
        <f>HYPERLINK("https://klasma.github.io/Logging_2481/tillsynsmail/A 53094-2024 tillsynsbegäran mail.docx", "A 53094-2024")</f>
        <v/>
      </c>
    </row>
    <row r="459" ht="15" customHeight="1">
      <c r="A459" t="inlineStr">
        <is>
          <t>A 21711-2025</t>
        </is>
      </c>
      <c r="B459" s="1" t="n">
        <v>45783</v>
      </c>
      <c r="C459" s="1" t="n">
        <v>45971</v>
      </c>
      <c r="D459" t="inlineStr">
        <is>
          <t>VÄSTERBOTTENS LÄN</t>
        </is>
      </c>
      <c r="E459" t="inlineStr">
        <is>
          <t>VÄNNÄS</t>
        </is>
      </c>
      <c r="F459" t="inlineStr">
        <is>
          <t>Holmen skog AB</t>
        </is>
      </c>
      <c r="G459" t="n">
        <v>3.7</v>
      </c>
      <c r="H459" t="n">
        <v>1</v>
      </c>
      <c r="I459" t="n">
        <v>1</v>
      </c>
      <c r="J459" t="n">
        <v>3</v>
      </c>
      <c r="K459" t="n">
        <v>0</v>
      </c>
      <c r="L459" t="n">
        <v>0</v>
      </c>
      <c r="M459" t="n">
        <v>0</v>
      </c>
      <c r="N459" t="n">
        <v>0</v>
      </c>
      <c r="O459" t="n">
        <v>3</v>
      </c>
      <c r="P459" t="n">
        <v>0</v>
      </c>
      <c r="Q459" t="n">
        <v>4</v>
      </c>
      <c r="R459" s="2" t="inlineStr">
        <is>
          <t>Garnlav
Spillkråka
Ullticka
Vedticka</t>
        </is>
      </c>
      <c r="S459">
        <f>HYPERLINK("https://klasma.github.io/Logging_2460/artfynd/A 21711-2025 artfynd.xlsx", "A 21711-2025")</f>
        <v/>
      </c>
      <c r="T459">
        <f>HYPERLINK("https://klasma.github.io/Logging_2460/kartor/A 21711-2025 karta.png", "A 21711-2025")</f>
        <v/>
      </c>
      <c r="V459">
        <f>HYPERLINK("https://klasma.github.io/Logging_2460/klagomål/A 21711-2025 FSC-klagomål.docx", "A 21711-2025")</f>
        <v/>
      </c>
      <c r="W459">
        <f>HYPERLINK("https://klasma.github.io/Logging_2460/klagomålsmail/A 21711-2025 FSC-klagomål mail.docx", "A 21711-2025")</f>
        <v/>
      </c>
      <c r="X459">
        <f>HYPERLINK("https://klasma.github.io/Logging_2460/tillsyn/A 21711-2025 tillsynsbegäran.docx", "A 21711-2025")</f>
        <v/>
      </c>
      <c r="Y459">
        <f>HYPERLINK("https://klasma.github.io/Logging_2460/tillsynsmail/A 21711-2025 tillsynsbegäran mail.docx", "A 21711-2025")</f>
        <v/>
      </c>
      <c r="Z459">
        <f>HYPERLINK("https://klasma.github.io/Logging_2460/fåglar/A 21711-2025 prioriterade fågelarter.docx", "A 21711-2025")</f>
        <v/>
      </c>
    </row>
    <row r="460" ht="15" customHeight="1">
      <c r="A460" t="inlineStr">
        <is>
          <t>A 49802-2025</t>
        </is>
      </c>
      <c r="B460" s="1" t="n">
        <v>45940.41297453704</v>
      </c>
      <c r="C460" s="1" t="n">
        <v>45971</v>
      </c>
      <c r="D460" t="inlineStr">
        <is>
          <t>VÄSTERBOTTENS LÄN</t>
        </is>
      </c>
      <c r="E460" t="inlineStr">
        <is>
          <t>LYCKSELE</t>
        </is>
      </c>
      <c r="F460" t="inlineStr">
        <is>
          <t>Sveaskog</t>
        </is>
      </c>
      <c r="G460" t="n">
        <v>20.9</v>
      </c>
      <c r="H460" t="n">
        <v>1</v>
      </c>
      <c r="I460" t="n">
        <v>1</v>
      </c>
      <c r="J460" t="n">
        <v>3</v>
      </c>
      <c r="K460" t="n">
        <v>0</v>
      </c>
      <c r="L460" t="n">
        <v>0</v>
      </c>
      <c r="M460" t="n">
        <v>0</v>
      </c>
      <c r="N460" t="n">
        <v>0</v>
      </c>
      <c r="O460" t="n">
        <v>3</v>
      </c>
      <c r="P460" t="n">
        <v>0</v>
      </c>
      <c r="Q460" t="n">
        <v>4</v>
      </c>
      <c r="R460" s="2" t="inlineStr">
        <is>
          <t>Kolflarnlav
Mörk kolflarnlav
Orange taggsvamp
Plattlummer</t>
        </is>
      </c>
      <c r="S460">
        <f>HYPERLINK("https://klasma.github.io/Logging_2481/artfynd/A 49802-2025 artfynd.xlsx", "A 49802-2025")</f>
        <v/>
      </c>
      <c r="T460">
        <f>HYPERLINK("https://klasma.github.io/Logging_2481/kartor/A 49802-2025 karta.png", "A 49802-2025")</f>
        <v/>
      </c>
      <c r="V460">
        <f>HYPERLINK("https://klasma.github.io/Logging_2481/klagomål/A 49802-2025 FSC-klagomål.docx", "A 49802-2025")</f>
        <v/>
      </c>
      <c r="W460">
        <f>HYPERLINK("https://klasma.github.io/Logging_2481/klagomålsmail/A 49802-2025 FSC-klagomål mail.docx", "A 49802-2025")</f>
        <v/>
      </c>
      <c r="X460">
        <f>HYPERLINK("https://klasma.github.io/Logging_2481/tillsyn/A 49802-2025 tillsynsbegäran.docx", "A 49802-2025")</f>
        <v/>
      </c>
      <c r="Y460">
        <f>HYPERLINK("https://klasma.github.io/Logging_2481/tillsynsmail/A 49802-2025 tillsynsbegäran mail.docx", "A 49802-2025")</f>
        <v/>
      </c>
    </row>
    <row r="461" ht="15" customHeight="1">
      <c r="A461" t="inlineStr">
        <is>
          <t>A 49793-2025</t>
        </is>
      </c>
      <c r="B461" s="1" t="n">
        <v>45940.40770833333</v>
      </c>
      <c r="C461" s="1" t="n">
        <v>45971</v>
      </c>
      <c r="D461" t="inlineStr">
        <is>
          <t>VÄSTERBOTTENS LÄN</t>
        </is>
      </c>
      <c r="E461" t="inlineStr">
        <is>
          <t>LYCKSELE</t>
        </is>
      </c>
      <c r="F461" t="inlineStr">
        <is>
          <t>Sveaskog</t>
        </is>
      </c>
      <c r="G461" t="n">
        <v>19.8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49793-2025 artfynd.xlsx", "A 49793-2025")</f>
        <v/>
      </c>
      <c r="T461">
        <f>HYPERLINK("https://klasma.github.io/Logging_2481/kartor/A 49793-2025 karta.png", "A 49793-2025")</f>
        <v/>
      </c>
      <c r="V461">
        <f>HYPERLINK("https://klasma.github.io/Logging_2481/klagomål/A 49793-2025 FSC-klagomål.docx", "A 49793-2025")</f>
        <v/>
      </c>
      <c r="W461">
        <f>HYPERLINK("https://klasma.github.io/Logging_2481/klagomålsmail/A 49793-2025 FSC-klagomål mail.docx", "A 49793-2025")</f>
        <v/>
      </c>
      <c r="X461">
        <f>HYPERLINK("https://klasma.github.io/Logging_2481/tillsyn/A 49793-2025 tillsynsbegäran.docx", "A 49793-2025")</f>
        <v/>
      </c>
      <c r="Y461">
        <f>HYPERLINK("https://klasma.github.io/Logging_2481/tillsynsmail/A 49793-2025 tillsynsbegäran mail.docx", "A 49793-2025")</f>
        <v/>
      </c>
    </row>
    <row r="462" ht="15" customHeight="1">
      <c r="A462" t="inlineStr">
        <is>
          <t>A 50406-2025</t>
        </is>
      </c>
      <c r="B462" s="1" t="n">
        <v>45944.63659722222</v>
      </c>
      <c r="C462" s="1" t="n">
        <v>45971</v>
      </c>
      <c r="D462" t="inlineStr">
        <is>
          <t>VÄSTERBOTTENS LÄN</t>
        </is>
      </c>
      <c r="E462" t="inlineStr">
        <is>
          <t>ROBERTSFORS</t>
        </is>
      </c>
      <c r="G462" t="n">
        <v>3.6</v>
      </c>
      <c r="H462" t="n">
        <v>0</v>
      </c>
      <c r="I462" t="n">
        <v>0</v>
      </c>
      <c r="J462" t="n">
        <v>3</v>
      </c>
      <c r="K462" t="n">
        <v>1</v>
      </c>
      <c r="L462" t="n">
        <v>0</v>
      </c>
      <c r="M462" t="n">
        <v>0</v>
      </c>
      <c r="N462" t="n">
        <v>0</v>
      </c>
      <c r="O462" t="n">
        <v>4</v>
      </c>
      <c r="P462" t="n">
        <v>1</v>
      </c>
      <c r="Q462" t="n">
        <v>4</v>
      </c>
      <c r="R462" s="2" t="inlineStr">
        <is>
          <t>Rynkskinn
Garnlav
Stjärntagging
Ullticka</t>
        </is>
      </c>
      <c r="S462">
        <f>HYPERLINK("https://klasma.github.io/Logging_2409/artfynd/A 50406-2025 artfynd.xlsx", "A 50406-2025")</f>
        <v/>
      </c>
      <c r="T462">
        <f>HYPERLINK("https://klasma.github.io/Logging_2409/kartor/A 50406-2025 karta.png", "A 50406-2025")</f>
        <v/>
      </c>
      <c r="V462">
        <f>HYPERLINK("https://klasma.github.io/Logging_2409/klagomål/A 50406-2025 FSC-klagomål.docx", "A 50406-2025")</f>
        <v/>
      </c>
      <c r="W462">
        <f>HYPERLINK("https://klasma.github.io/Logging_2409/klagomålsmail/A 50406-2025 FSC-klagomål mail.docx", "A 50406-2025")</f>
        <v/>
      </c>
      <c r="X462">
        <f>HYPERLINK("https://klasma.github.io/Logging_2409/tillsyn/A 50406-2025 tillsynsbegäran.docx", "A 50406-2025")</f>
        <v/>
      </c>
      <c r="Y462">
        <f>HYPERLINK("https://klasma.github.io/Logging_2409/tillsynsmail/A 50406-2025 tillsynsbegäran mail.docx", "A 50406-2025")</f>
        <v/>
      </c>
    </row>
    <row r="463" ht="15" customHeight="1">
      <c r="A463" t="inlineStr">
        <is>
          <t>A 25188-2025</t>
        </is>
      </c>
      <c r="B463" s="1" t="n">
        <v>45800</v>
      </c>
      <c r="C463" s="1" t="n">
        <v>45971</v>
      </c>
      <c r="D463" t="inlineStr">
        <is>
          <t>VÄSTERBOTTENS LÄN</t>
        </is>
      </c>
      <c r="E463" t="inlineStr">
        <is>
          <t>NORDMALING</t>
        </is>
      </c>
      <c r="G463" t="n">
        <v>1.6</v>
      </c>
      <c r="H463" t="n">
        <v>1</v>
      </c>
      <c r="I463" t="n">
        <v>1</v>
      </c>
      <c r="J463" t="n">
        <v>3</v>
      </c>
      <c r="K463" t="n">
        <v>0</v>
      </c>
      <c r="L463" t="n">
        <v>0</v>
      </c>
      <c r="M463" t="n">
        <v>0</v>
      </c>
      <c r="N463" t="n">
        <v>0</v>
      </c>
      <c r="O463" t="n">
        <v>3</v>
      </c>
      <c r="P463" t="n">
        <v>0</v>
      </c>
      <c r="Q463" t="n">
        <v>4</v>
      </c>
      <c r="R463" s="2" t="inlineStr">
        <is>
          <t>Lunglav
Talltita
Ullticka
Stuplav</t>
        </is>
      </c>
      <c r="S463">
        <f>HYPERLINK("https://klasma.github.io/Logging_2401/artfynd/A 25188-2025 artfynd.xlsx", "A 25188-2025")</f>
        <v/>
      </c>
      <c r="T463">
        <f>HYPERLINK("https://klasma.github.io/Logging_2401/kartor/A 25188-2025 karta.png", "A 25188-2025")</f>
        <v/>
      </c>
      <c r="V463">
        <f>HYPERLINK("https://klasma.github.io/Logging_2401/klagomål/A 25188-2025 FSC-klagomål.docx", "A 25188-2025")</f>
        <v/>
      </c>
      <c r="W463">
        <f>HYPERLINK("https://klasma.github.io/Logging_2401/klagomålsmail/A 25188-2025 FSC-klagomål mail.docx", "A 25188-2025")</f>
        <v/>
      </c>
      <c r="X463">
        <f>HYPERLINK("https://klasma.github.io/Logging_2401/tillsyn/A 25188-2025 tillsynsbegäran.docx", "A 25188-2025")</f>
        <v/>
      </c>
      <c r="Y463">
        <f>HYPERLINK("https://klasma.github.io/Logging_2401/tillsynsmail/A 25188-2025 tillsynsbegäran mail.docx", "A 25188-2025")</f>
        <v/>
      </c>
      <c r="Z463">
        <f>HYPERLINK("https://klasma.github.io/Logging_2401/fåglar/A 25188-2025 prioriterade fågelarter.docx", "A 25188-2025")</f>
        <v/>
      </c>
    </row>
    <row r="464" ht="15" customHeight="1">
      <c r="A464" t="inlineStr">
        <is>
          <t>A 50665-2023</t>
        </is>
      </c>
      <c r="B464" s="1" t="n">
        <v>45217</v>
      </c>
      <c r="C464" s="1" t="n">
        <v>45971</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26484-2025</t>
        </is>
      </c>
      <c r="B465" s="1" t="n">
        <v>45807.47395833334</v>
      </c>
      <c r="C465" s="1" t="n">
        <v>45971</v>
      </c>
      <c r="D465" t="inlineStr">
        <is>
          <t>VÄSTERBOTTENS LÄN</t>
        </is>
      </c>
      <c r="E465" t="inlineStr">
        <is>
          <t>UMEÅ</t>
        </is>
      </c>
      <c r="G465" t="n">
        <v>5</v>
      </c>
      <c r="H465" t="n">
        <v>2</v>
      </c>
      <c r="I465" t="n">
        <v>2</v>
      </c>
      <c r="J465" t="n">
        <v>1</v>
      </c>
      <c r="K465" t="n">
        <v>0</v>
      </c>
      <c r="L465" t="n">
        <v>0</v>
      </c>
      <c r="M465" t="n">
        <v>0</v>
      </c>
      <c r="N465" t="n">
        <v>0</v>
      </c>
      <c r="O465" t="n">
        <v>1</v>
      </c>
      <c r="P465" t="n">
        <v>0</v>
      </c>
      <c r="Q465" t="n">
        <v>4</v>
      </c>
      <c r="R465" s="2" t="inlineStr">
        <is>
          <t>Garnlav
Spindelblomster
Vedticka
Fläcknycklar</t>
        </is>
      </c>
      <c r="S465">
        <f>HYPERLINK("https://klasma.github.io/Logging_2480/artfynd/A 26484-2025 artfynd.xlsx", "A 26484-2025")</f>
        <v/>
      </c>
      <c r="T465">
        <f>HYPERLINK("https://klasma.github.io/Logging_2480/kartor/A 26484-2025 karta.png", "A 26484-2025")</f>
        <v/>
      </c>
      <c r="V465">
        <f>HYPERLINK("https://klasma.github.io/Logging_2480/klagomål/A 26484-2025 FSC-klagomål.docx", "A 26484-2025")</f>
        <v/>
      </c>
      <c r="W465">
        <f>HYPERLINK("https://klasma.github.io/Logging_2480/klagomålsmail/A 26484-2025 FSC-klagomål mail.docx", "A 26484-2025")</f>
        <v/>
      </c>
      <c r="X465">
        <f>HYPERLINK("https://klasma.github.io/Logging_2480/tillsyn/A 26484-2025 tillsynsbegäran.docx", "A 26484-2025")</f>
        <v/>
      </c>
      <c r="Y465">
        <f>HYPERLINK("https://klasma.github.io/Logging_2480/tillsynsmail/A 26484-2025 tillsynsbegäran mail.docx", "A 26484-2025")</f>
        <v/>
      </c>
    </row>
    <row r="466" ht="15" customHeight="1">
      <c r="A466" t="inlineStr">
        <is>
          <t>A 51431-2025</t>
        </is>
      </c>
      <c r="B466" s="1" t="n">
        <v>45950.54863425926</v>
      </c>
      <c r="C466" s="1" t="n">
        <v>45971</v>
      </c>
      <c r="D466" t="inlineStr">
        <is>
          <t>VÄSTERBOTTENS LÄN</t>
        </is>
      </c>
      <c r="E466" t="inlineStr">
        <is>
          <t>SKELLEFTEÅ</t>
        </is>
      </c>
      <c r="F466" t="inlineStr">
        <is>
          <t>Holmen skog AB</t>
        </is>
      </c>
      <c r="G466" t="n">
        <v>3.2</v>
      </c>
      <c r="H466" t="n">
        <v>0</v>
      </c>
      <c r="I466" t="n">
        <v>1</v>
      </c>
      <c r="J466" t="n">
        <v>3</v>
      </c>
      <c r="K466" t="n">
        <v>0</v>
      </c>
      <c r="L466" t="n">
        <v>0</v>
      </c>
      <c r="M466" t="n">
        <v>0</v>
      </c>
      <c r="N466" t="n">
        <v>0</v>
      </c>
      <c r="O466" t="n">
        <v>3</v>
      </c>
      <c r="P466" t="n">
        <v>0</v>
      </c>
      <c r="Q466" t="n">
        <v>4</v>
      </c>
      <c r="R466" s="2" t="inlineStr">
        <is>
          <t>Blanksvart spiklav
Kolflarnlav
Svart taggsvamp
Dropptaggsvamp</t>
        </is>
      </c>
      <c r="S466">
        <f>HYPERLINK("https://klasma.github.io/Logging_2482/artfynd/A 51431-2025 artfynd.xlsx", "A 51431-2025")</f>
        <v/>
      </c>
      <c r="T466">
        <f>HYPERLINK("https://klasma.github.io/Logging_2482/kartor/A 51431-2025 karta.png", "A 51431-2025")</f>
        <v/>
      </c>
      <c r="V466">
        <f>HYPERLINK("https://klasma.github.io/Logging_2482/klagomål/A 51431-2025 FSC-klagomål.docx", "A 51431-2025")</f>
        <v/>
      </c>
      <c r="W466">
        <f>HYPERLINK("https://klasma.github.io/Logging_2482/klagomålsmail/A 51431-2025 FSC-klagomål mail.docx", "A 51431-2025")</f>
        <v/>
      </c>
      <c r="X466">
        <f>HYPERLINK("https://klasma.github.io/Logging_2482/tillsyn/A 51431-2025 tillsynsbegäran.docx", "A 51431-2025")</f>
        <v/>
      </c>
      <c r="Y466">
        <f>HYPERLINK("https://klasma.github.io/Logging_2482/tillsynsmail/A 51431-2025 tillsynsbegäran mail.docx", "A 51431-2025")</f>
        <v/>
      </c>
    </row>
    <row r="467" ht="15" customHeight="1">
      <c r="A467" t="inlineStr">
        <is>
          <t>A 26793-2025</t>
        </is>
      </c>
      <c r="B467" s="1" t="n">
        <v>45810</v>
      </c>
      <c r="C467" s="1" t="n">
        <v>45971</v>
      </c>
      <c r="D467" t="inlineStr">
        <is>
          <t>VÄSTERBOTTENS LÄN</t>
        </is>
      </c>
      <c r="E467" t="inlineStr">
        <is>
          <t>ÅSELE</t>
        </is>
      </c>
      <c r="F467" t="inlineStr">
        <is>
          <t>SCA</t>
        </is>
      </c>
      <c r="G467" t="n">
        <v>5</v>
      </c>
      <c r="H467" t="n">
        <v>0</v>
      </c>
      <c r="I467" t="n">
        <v>0</v>
      </c>
      <c r="J467" t="n">
        <v>4</v>
      </c>
      <c r="K467" t="n">
        <v>0</v>
      </c>
      <c r="L467" t="n">
        <v>0</v>
      </c>
      <c r="M467" t="n">
        <v>0</v>
      </c>
      <c r="N467" t="n">
        <v>0</v>
      </c>
      <c r="O467" t="n">
        <v>4</v>
      </c>
      <c r="P467" t="n">
        <v>0</v>
      </c>
      <c r="Q467" t="n">
        <v>4</v>
      </c>
      <c r="R467" s="2" t="inlineStr">
        <is>
          <t>Dvärgbägarlav
Garnlav
Mörk kolflarnlav
Vedskivlav</t>
        </is>
      </c>
      <c r="S467">
        <f>HYPERLINK("https://klasma.github.io/Logging_2463/artfynd/A 26793-2025 artfynd.xlsx", "A 26793-2025")</f>
        <v/>
      </c>
      <c r="T467">
        <f>HYPERLINK("https://klasma.github.io/Logging_2463/kartor/A 26793-2025 karta.png", "A 26793-2025")</f>
        <v/>
      </c>
      <c r="V467">
        <f>HYPERLINK("https://klasma.github.io/Logging_2463/klagomål/A 26793-2025 FSC-klagomål.docx", "A 26793-2025")</f>
        <v/>
      </c>
      <c r="W467">
        <f>HYPERLINK("https://klasma.github.io/Logging_2463/klagomålsmail/A 26793-2025 FSC-klagomål mail.docx", "A 26793-2025")</f>
        <v/>
      </c>
      <c r="X467">
        <f>HYPERLINK("https://klasma.github.io/Logging_2463/tillsyn/A 26793-2025 tillsynsbegäran.docx", "A 26793-2025")</f>
        <v/>
      </c>
      <c r="Y467">
        <f>HYPERLINK("https://klasma.github.io/Logging_2463/tillsynsmail/A 26793-2025 tillsynsbegäran mail.docx", "A 26793-2025")</f>
        <v/>
      </c>
    </row>
    <row r="468" ht="15" customHeight="1">
      <c r="A468" t="inlineStr">
        <is>
          <t>A 26673-2025</t>
        </is>
      </c>
      <c r="B468" s="1" t="n">
        <v>45810.42046296296</v>
      </c>
      <c r="C468" s="1" t="n">
        <v>45971</v>
      </c>
      <c r="D468" t="inlineStr">
        <is>
          <t>VÄSTERBOTTENS LÄN</t>
        </is>
      </c>
      <c r="E468" t="inlineStr">
        <is>
          <t>ROBERTSFORS</t>
        </is>
      </c>
      <c r="F468" t="inlineStr">
        <is>
          <t>Holmen skog AB</t>
        </is>
      </c>
      <c r="G468" t="n">
        <v>2.1</v>
      </c>
      <c r="H468" t="n">
        <v>3</v>
      </c>
      <c r="I468" t="n">
        <v>0</v>
      </c>
      <c r="J468" t="n">
        <v>2</v>
      </c>
      <c r="K468" t="n">
        <v>0</v>
      </c>
      <c r="L468" t="n">
        <v>0</v>
      </c>
      <c r="M468" t="n">
        <v>0</v>
      </c>
      <c r="N468" t="n">
        <v>0</v>
      </c>
      <c r="O468" t="n">
        <v>2</v>
      </c>
      <c r="P468" t="n">
        <v>0</v>
      </c>
      <c r="Q468" t="n">
        <v>4</v>
      </c>
      <c r="R468" s="2" t="inlineStr">
        <is>
          <t>Granticka
Svartvit flugsnappare
Fläcknycklar
Revlummer</t>
        </is>
      </c>
      <c r="S468">
        <f>HYPERLINK("https://klasma.github.io/Logging_2409/artfynd/A 26673-2025 artfynd.xlsx", "A 26673-2025")</f>
        <v/>
      </c>
      <c r="T468">
        <f>HYPERLINK("https://klasma.github.io/Logging_2409/kartor/A 26673-2025 karta.png", "A 26673-2025")</f>
        <v/>
      </c>
      <c r="V468">
        <f>HYPERLINK("https://klasma.github.io/Logging_2409/klagomål/A 26673-2025 FSC-klagomål.docx", "A 26673-2025")</f>
        <v/>
      </c>
      <c r="W468">
        <f>HYPERLINK("https://klasma.github.io/Logging_2409/klagomålsmail/A 26673-2025 FSC-klagomål mail.docx", "A 26673-2025")</f>
        <v/>
      </c>
      <c r="X468">
        <f>HYPERLINK("https://klasma.github.io/Logging_2409/tillsyn/A 26673-2025 tillsynsbegäran.docx", "A 26673-2025")</f>
        <v/>
      </c>
      <c r="Y468">
        <f>HYPERLINK("https://klasma.github.io/Logging_2409/tillsynsmail/A 26673-2025 tillsynsbegäran mail.docx", "A 26673-2025")</f>
        <v/>
      </c>
      <c r="Z468">
        <f>HYPERLINK("https://klasma.github.io/Logging_2409/fåglar/A 26673-2025 prioriterade fågelarter.docx", "A 26673-2025")</f>
        <v/>
      </c>
    </row>
    <row r="469" ht="15" customHeight="1">
      <c r="A469" t="inlineStr">
        <is>
          <t>A 27068-2025</t>
        </is>
      </c>
      <c r="B469" s="1" t="n">
        <v>45811.63672453703</v>
      </c>
      <c r="C469" s="1" t="n">
        <v>45971</v>
      </c>
      <c r="D469" t="inlineStr">
        <is>
          <t>VÄSTERBOTTENS LÄN</t>
        </is>
      </c>
      <c r="E469" t="inlineStr">
        <is>
          <t>LYCKSELE</t>
        </is>
      </c>
      <c r="F469" t="inlineStr">
        <is>
          <t>Sveaskog</t>
        </is>
      </c>
      <c r="G469" t="n">
        <v>3.3</v>
      </c>
      <c r="H469" t="n">
        <v>0</v>
      </c>
      <c r="I469" t="n">
        <v>1</v>
      </c>
      <c r="J469" t="n">
        <v>3</v>
      </c>
      <c r="K469" t="n">
        <v>0</v>
      </c>
      <c r="L469" t="n">
        <v>0</v>
      </c>
      <c r="M469" t="n">
        <v>0</v>
      </c>
      <c r="N469" t="n">
        <v>0</v>
      </c>
      <c r="O469" t="n">
        <v>3</v>
      </c>
      <c r="P469" t="n">
        <v>0</v>
      </c>
      <c r="Q469" t="n">
        <v>4</v>
      </c>
      <c r="R469" s="2" t="inlineStr">
        <is>
          <t>Blå taggsvamp
Kolflarnlav
Motaggsvamp
Dropptaggsvamp</t>
        </is>
      </c>
      <c r="S469">
        <f>HYPERLINK("https://klasma.github.io/Logging_2481/artfynd/A 27068-2025 artfynd.xlsx", "A 27068-2025")</f>
        <v/>
      </c>
      <c r="T469">
        <f>HYPERLINK("https://klasma.github.io/Logging_2481/kartor/A 27068-2025 karta.png", "A 27068-2025")</f>
        <v/>
      </c>
      <c r="V469">
        <f>HYPERLINK("https://klasma.github.io/Logging_2481/klagomål/A 27068-2025 FSC-klagomål.docx", "A 27068-2025")</f>
        <v/>
      </c>
      <c r="W469">
        <f>HYPERLINK("https://klasma.github.io/Logging_2481/klagomålsmail/A 27068-2025 FSC-klagomål mail.docx", "A 27068-2025")</f>
        <v/>
      </c>
      <c r="X469">
        <f>HYPERLINK("https://klasma.github.io/Logging_2481/tillsyn/A 27068-2025 tillsynsbegäran.docx", "A 27068-2025")</f>
        <v/>
      </c>
      <c r="Y469">
        <f>HYPERLINK("https://klasma.github.io/Logging_2481/tillsynsmail/A 27068-2025 tillsynsbegäran mail.docx", "A 27068-2025")</f>
        <v/>
      </c>
    </row>
    <row r="470" ht="15" customHeight="1">
      <c r="A470" t="inlineStr">
        <is>
          <t>A 29797-2025</t>
        </is>
      </c>
      <c r="B470" s="1" t="n">
        <v>45825</v>
      </c>
      <c r="C470" s="1" t="n">
        <v>45971</v>
      </c>
      <c r="D470" t="inlineStr">
        <is>
          <t>VÄSTERBOTTENS LÄN</t>
        </is>
      </c>
      <c r="E470" t="inlineStr">
        <is>
          <t>SORSELE</t>
        </is>
      </c>
      <c r="F470" t="inlineStr">
        <is>
          <t>Allmännings- och besparingsskogar</t>
        </is>
      </c>
      <c r="G470" t="n">
        <v>19.8</v>
      </c>
      <c r="H470" t="n">
        <v>1</v>
      </c>
      <c r="I470" t="n">
        <v>0</v>
      </c>
      <c r="J470" t="n">
        <v>3</v>
      </c>
      <c r="K470" t="n">
        <v>1</v>
      </c>
      <c r="L470" t="n">
        <v>0</v>
      </c>
      <c r="M470" t="n">
        <v>0</v>
      </c>
      <c r="N470" t="n">
        <v>0</v>
      </c>
      <c r="O470" t="n">
        <v>4</v>
      </c>
      <c r="P470" t="n">
        <v>1</v>
      </c>
      <c r="Q470" t="n">
        <v>4</v>
      </c>
      <c r="R470" s="2" t="inlineStr">
        <is>
          <t>Liten sotlav
Garnlav
Gränsticka
Tretåig hackspett</t>
        </is>
      </c>
      <c r="S470">
        <f>HYPERLINK("https://klasma.github.io/Logging_2422/artfynd/A 29797-2025 artfynd.xlsx", "A 29797-2025")</f>
        <v/>
      </c>
      <c r="T470">
        <f>HYPERLINK("https://klasma.github.io/Logging_2422/kartor/A 29797-2025 karta.png", "A 29797-2025")</f>
        <v/>
      </c>
      <c r="V470">
        <f>HYPERLINK("https://klasma.github.io/Logging_2422/klagomål/A 29797-2025 FSC-klagomål.docx", "A 29797-2025")</f>
        <v/>
      </c>
      <c r="W470">
        <f>HYPERLINK("https://klasma.github.io/Logging_2422/klagomålsmail/A 29797-2025 FSC-klagomål mail.docx", "A 29797-2025")</f>
        <v/>
      </c>
      <c r="X470">
        <f>HYPERLINK("https://klasma.github.io/Logging_2422/tillsyn/A 29797-2025 tillsynsbegäran.docx", "A 29797-2025")</f>
        <v/>
      </c>
      <c r="Y470">
        <f>HYPERLINK("https://klasma.github.io/Logging_2422/tillsynsmail/A 29797-2025 tillsynsbegäran mail.docx", "A 29797-2025")</f>
        <v/>
      </c>
      <c r="Z470">
        <f>HYPERLINK("https://klasma.github.io/Logging_2422/fåglar/A 29797-2025 prioriterade fågelarter.docx", "A 29797-2025")</f>
        <v/>
      </c>
    </row>
    <row r="471" ht="15" customHeight="1">
      <c r="A471" t="inlineStr">
        <is>
          <t>A 29995-2025</t>
        </is>
      </c>
      <c r="B471" s="1" t="n">
        <v>45826</v>
      </c>
      <c r="C471" s="1" t="n">
        <v>45971</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30414-2025</t>
        </is>
      </c>
      <c r="B472" s="1" t="n">
        <v>45827.604375</v>
      </c>
      <c r="C472" s="1" t="n">
        <v>45971</v>
      </c>
      <c r="D472" t="inlineStr">
        <is>
          <t>VÄSTERBOTTENS LÄN</t>
        </is>
      </c>
      <c r="E472" t="inlineStr">
        <is>
          <t>LYCKSELE</t>
        </is>
      </c>
      <c r="F472" t="inlineStr">
        <is>
          <t>Sveaskog</t>
        </is>
      </c>
      <c r="G472" t="n">
        <v>17</v>
      </c>
      <c r="H472" t="n">
        <v>0</v>
      </c>
      <c r="I472" t="n">
        <v>2</v>
      </c>
      <c r="J472" t="n">
        <v>2</v>
      </c>
      <c r="K472" t="n">
        <v>0</v>
      </c>
      <c r="L472" t="n">
        <v>0</v>
      </c>
      <c r="M472" t="n">
        <v>0</v>
      </c>
      <c r="N472" t="n">
        <v>0</v>
      </c>
      <c r="O472" t="n">
        <v>2</v>
      </c>
      <c r="P472" t="n">
        <v>0</v>
      </c>
      <c r="Q472" t="n">
        <v>4</v>
      </c>
      <c r="R472" s="2" t="inlineStr">
        <is>
          <t>Lunglav
Skrovellav
Skinnlav
Stor aspticka</t>
        </is>
      </c>
      <c r="S472">
        <f>HYPERLINK("https://klasma.github.io/Logging_2481/artfynd/A 30414-2025 artfynd.xlsx", "A 30414-2025")</f>
        <v/>
      </c>
      <c r="T472">
        <f>HYPERLINK("https://klasma.github.io/Logging_2481/kartor/A 30414-2025 karta.png", "A 30414-2025")</f>
        <v/>
      </c>
      <c r="V472">
        <f>HYPERLINK("https://klasma.github.io/Logging_2481/klagomål/A 30414-2025 FSC-klagomål.docx", "A 30414-2025")</f>
        <v/>
      </c>
      <c r="W472">
        <f>HYPERLINK("https://klasma.github.io/Logging_2481/klagomålsmail/A 30414-2025 FSC-klagomål mail.docx", "A 30414-2025")</f>
        <v/>
      </c>
      <c r="X472">
        <f>HYPERLINK("https://klasma.github.io/Logging_2481/tillsyn/A 30414-2025 tillsynsbegäran.docx", "A 30414-2025")</f>
        <v/>
      </c>
      <c r="Y472">
        <f>HYPERLINK("https://klasma.github.io/Logging_2481/tillsynsmail/A 30414-2025 tillsynsbegäran mail.docx", "A 30414-2025")</f>
        <v/>
      </c>
    </row>
    <row r="473" ht="15" customHeight="1">
      <c r="A473" t="inlineStr">
        <is>
          <t>A 43956-2025</t>
        </is>
      </c>
      <c r="B473" s="1" t="n">
        <v>45915</v>
      </c>
      <c r="C473" s="1" t="n">
        <v>45971</v>
      </c>
      <c r="D473" t="inlineStr">
        <is>
          <t>VÄSTERBOTTENS LÄN</t>
        </is>
      </c>
      <c r="E473" t="inlineStr">
        <is>
          <t>ÅSELE</t>
        </is>
      </c>
      <c r="F473" t="inlineStr">
        <is>
          <t>Kyrkan</t>
        </is>
      </c>
      <c r="G473" t="n">
        <v>9.199999999999999</v>
      </c>
      <c r="H473" t="n">
        <v>1</v>
      </c>
      <c r="I473" t="n">
        <v>2</v>
      </c>
      <c r="J473" t="n">
        <v>2</v>
      </c>
      <c r="K473" t="n">
        <v>0</v>
      </c>
      <c r="L473" t="n">
        <v>0</v>
      </c>
      <c r="M473" t="n">
        <v>0</v>
      </c>
      <c r="N473" t="n">
        <v>0</v>
      </c>
      <c r="O473" t="n">
        <v>2</v>
      </c>
      <c r="P473" t="n">
        <v>0</v>
      </c>
      <c r="Q473" t="n">
        <v>4</v>
      </c>
      <c r="R473" s="2" t="inlineStr">
        <is>
          <t>Garnlav
Kolflarnlav
Plattlummer
Stuplav</t>
        </is>
      </c>
      <c r="S473">
        <f>HYPERLINK("https://klasma.github.io/Logging_2463/artfynd/A 43956-2025 artfynd.xlsx", "A 43956-2025")</f>
        <v/>
      </c>
      <c r="T473">
        <f>HYPERLINK("https://klasma.github.io/Logging_2463/kartor/A 43956-2025 karta.png", "A 43956-2025")</f>
        <v/>
      </c>
      <c r="V473">
        <f>HYPERLINK("https://klasma.github.io/Logging_2463/klagomål/A 43956-2025 FSC-klagomål.docx", "A 43956-2025")</f>
        <v/>
      </c>
      <c r="W473">
        <f>HYPERLINK("https://klasma.github.io/Logging_2463/klagomålsmail/A 43956-2025 FSC-klagomål mail.docx", "A 43956-2025")</f>
        <v/>
      </c>
      <c r="X473">
        <f>HYPERLINK("https://klasma.github.io/Logging_2463/tillsyn/A 43956-2025 tillsynsbegäran.docx", "A 43956-2025")</f>
        <v/>
      </c>
      <c r="Y473">
        <f>HYPERLINK("https://klasma.github.io/Logging_2463/tillsynsmail/A 43956-2025 tillsynsbegäran mail.docx", "A 43956-2025")</f>
        <v/>
      </c>
    </row>
    <row r="474" ht="15" customHeight="1">
      <c r="A474" t="inlineStr">
        <is>
          <t>A 30316-2025</t>
        </is>
      </c>
      <c r="B474" s="1" t="n">
        <v>45827</v>
      </c>
      <c r="C474" s="1" t="n">
        <v>45971</v>
      </c>
      <c r="D474" t="inlineStr">
        <is>
          <t>VÄSTERBOTTENS LÄN</t>
        </is>
      </c>
      <c r="E474" t="inlineStr">
        <is>
          <t>ÅSELE</t>
        </is>
      </c>
      <c r="F474" t="inlineStr">
        <is>
          <t>SCA</t>
        </is>
      </c>
      <c r="G474" t="n">
        <v>2</v>
      </c>
      <c r="H474" t="n">
        <v>0</v>
      </c>
      <c r="I474" t="n">
        <v>2</v>
      </c>
      <c r="J474" t="n">
        <v>2</v>
      </c>
      <c r="K474" t="n">
        <v>0</v>
      </c>
      <c r="L474" t="n">
        <v>0</v>
      </c>
      <c r="M474" t="n">
        <v>0</v>
      </c>
      <c r="N474" t="n">
        <v>0</v>
      </c>
      <c r="O474" t="n">
        <v>2</v>
      </c>
      <c r="P474" t="n">
        <v>0</v>
      </c>
      <c r="Q474" t="n">
        <v>4</v>
      </c>
      <c r="R474" s="2" t="inlineStr">
        <is>
          <t>Garnlav
Ullticka
Vedticka
Vågbandad barkbock</t>
        </is>
      </c>
      <c r="S474">
        <f>HYPERLINK("https://klasma.github.io/Logging_2463/artfynd/A 30316-2025 artfynd.xlsx", "A 30316-2025")</f>
        <v/>
      </c>
      <c r="T474">
        <f>HYPERLINK("https://klasma.github.io/Logging_2463/kartor/A 30316-2025 karta.png", "A 30316-2025")</f>
        <v/>
      </c>
      <c r="V474">
        <f>HYPERLINK("https://klasma.github.io/Logging_2463/klagomål/A 30316-2025 FSC-klagomål.docx", "A 30316-2025")</f>
        <v/>
      </c>
      <c r="W474">
        <f>HYPERLINK("https://klasma.github.io/Logging_2463/klagomålsmail/A 30316-2025 FSC-klagomål mail.docx", "A 30316-2025")</f>
        <v/>
      </c>
      <c r="X474">
        <f>HYPERLINK("https://klasma.github.io/Logging_2463/tillsyn/A 30316-2025 tillsynsbegäran.docx", "A 30316-2025")</f>
        <v/>
      </c>
      <c r="Y474">
        <f>HYPERLINK("https://klasma.github.io/Logging_2463/tillsynsmail/A 30316-2025 tillsynsbegäran mail.docx", "A 30316-2025")</f>
        <v/>
      </c>
    </row>
    <row r="475" ht="15" customHeight="1">
      <c r="A475" t="inlineStr">
        <is>
          <t>A 38124-2024</t>
        </is>
      </c>
      <c r="B475" s="1" t="n">
        <v>45545</v>
      </c>
      <c r="C475" s="1" t="n">
        <v>45971</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40736-2024</t>
        </is>
      </c>
      <c r="B476" s="1" t="n">
        <v>45558</v>
      </c>
      <c r="C476" s="1" t="n">
        <v>45971</v>
      </c>
      <c r="D476" t="inlineStr">
        <is>
          <t>VÄSTERBOTTENS LÄN</t>
        </is>
      </c>
      <c r="E476" t="inlineStr">
        <is>
          <t>VILHELMINA</t>
        </is>
      </c>
      <c r="F476" t="inlineStr">
        <is>
          <t>Allmännings- och besparingsskogar</t>
        </is>
      </c>
      <c r="G476" t="n">
        <v>285</v>
      </c>
      <c r="H476" t="n">
        <v>0</v>
      </c>
      <c r="I476" t="n">
        <v>0</v>
      </c>
      <c r="J476" t="n">
        <v>4</v>
      </c>
      <c r="K476" t="n">
        <v>0</v>
      </c>
      <c r="L476" t="n">
        <v>0</v>
      </c>
      <c r="M476" t="n">
        <v>0</v>
      </c>
      <c r="N476" t="n">
        <v>0</v>
      </c>
      <c r="O476" t="n">
        <v>4</v>
      </c>
      <c r="P476" t="n">
        <v>0</v>
      </c>
      <c r="Q476" t="n">
        <v>4</v>
      </c>
      <c r="R476" s="2" t="inlineStr">
        <is>
          <t>Gammelgransskål
Granticka
Knottrig blåslav
Rödbrun blekspik</t>
        </is>
      </c>
      <c r="S476">
        <f>HYPERLINK("https://klasma.github.io/Logging_2462/artfynd/A 40736-2024 artfynd.xlsx", "A 40736-2024")</f>
        <v/>
      </c>
      <c r="T476">
        <f>HYPERLINK("https://klasma.github.io/Logging_2462/kartor/A 40736-2024 karta.png", "A 40736-2024")</f>
        <v/>
      </c>
      <c r="V476">
        <f>HYPERLINK("https://klasma.github.io/Logging_2462/klagomål/A 40736-2024 FSC-klagomål.docx", "A 40736-2024")</f>
        <v/>
      </c>
      <c r="W476">
        <f>HYPERLINK("https://klasma.github.io/Logging_2462/klagomålsmail/A 40736-2024 FSC-klagomål mail.docx", "A 40736-2024")</f>
        <v/>
      </c>
      <c r="X476">
        <f>HYPERLINK("https://klasma.github.io/Logging_2462/tillsyn/A 40736-2024 tillsynsbegäran.docx", "A 40736-2024")</f>
        <v/>
      </c>
      <c r="Y476">
        <f>HYPERLINK("https://klasma.github.io/Logging_2462/tillsynsmail/A 40736-2024 tillsynsbegäran mail.docx", "A 40736-2024")</f>
        <v/>
      </c>
    </row>
    <row r="477" ht="15" customHeight="1">
      <c r="A477" t="inlineStr">
        <is>
          <t>A 19776-2025</t>
        </is>
      </c>
      <c r="B477" s="1" t="n">
        <v>45771.42275462963</v>
      </c>
      <c r="C477" s="1" t="n">
        <v>45971</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34723-2025</t>
        </is>
      </c>
      <c r="B478" s="1" t="n">
        <v>45848.54172453703</v>
      </c>
      <c r="C478" s="1" t="n">
        <v>45971</v>
      </c>
      <c r="D478" t="inlineStr">
        <is>
          <t>VÄSTERBOTTENS LÄN</t>
        </is>
      </c>
      <c r="E478" t="inlineStr">
        <is>
          <t>ROBERTSFORS</t>
        </is>
      </c>
      <c r="F478" t="inlineStr">
        <is>
          <t>Holmen skog AB</t>
        </is>
      </c>
      <c r="G478" t="n">
        <v>16.3</v>
      </c>
      <c r="H478" t="n">
        <v>2</v>
      </c>
      <c r="I478" t="n">
        <v>2</v>
      </c>
      <c r="J478" t="n">
        <v>1</v>
      </c>
      <c r="K478" t="n">
        <v>0</v>
      </c>
      <c r="L478" t="n">
        <v>0</v>
      </c>
      <c r="M478" t="n">
        <v>0</v>
      </c>
      <c r="N478" t="n">
        <v>0</v>
      </c>
      <c r="O478" t="n">
        <v>1</v>
      </c>
      <c r="P478" t="n">
        <v>0</v>
      </c>
      <c r="Q478" t="n">
        <v>4</v>
      </c>
      <c r="R478" s="2" t="inlineStr">
        <is>
          <t>Ullticka
Spindelblomster
Vedticka
Lavskrika</t>
        </is>
      </c>
      <c r="S478">
        <f>HYPERLINK("https://klasma.github.io/Logging_2409/artfynd/A 34723-2025 artfynd.xlsx", "A 34723-2025")</f>
        <v/>
      </c>
      <c r="T478">
        <f>HYPERLINK("https://klasma.github.io/Logging_2409/kartor/A 34723-2025 karta.png", "A 34723-2025")</f>
        <v/>
      </c>
      <c r="V478">
        <f>HYPERLINK("https://klasma.github.io/Logging_2409/klagomål/A 34723-2025 FSC-klagomål.docx", "A 34723-2025")</f>
        <v/>
      </c>
      <c r="W478">
        <f>HYPERLINK("https://klasma.github.io/Logging_2409/klagomålsmail/A 34723-2025 FSC-klagomål mail.docx", "A 34723-2025")</f>
        <v/>
      </c>
      <c r="X478">
        <f>HYPERLINK("https://klasma.github.io/Logging_2409/tillsyn/A 34723-2025 tillsynsbegäran.docx", "A 34723-2025")</f>
        <v/>
      </c>
      <c r="Y478">
        <f>HYPERLINK("https://klasma.github.io/Logging_2409/tillsynsmail/A 34723-2025 tillsynsbegäran mail.docx", "A 34723-2025")</f>
        <v/>
      </c>
      <c r="Z478">
        <f>HYPERLINK("https://klasma.github.io/Logging_2409/fåglar/A 34723-2025 prioriterade fågelarter.docx", "A 34723-2025")</f>
        <v/>
      </c>
    </row>
    <row r="479" ht="15" customHeight="1">
      <c r="A479" t="inlineStr">
        <is>
          <t>A 34749-2025</t>
        </is>
      </c>
      <c r="B479" s="1" t="n">
        <v>45848.61557870371</v>
      </c>
      <c r="C479" s="1" t="n">
        <v>45971</v>
      </c>
      <c r="D479" t="inlineStr">
        <is>
          <t>VÄSTERBOTTENS LÄN</t>
        </is>
      </c>
      <c r="E479" t="inlineStr">
        <is>
          <t>DOROTEA</t>
        </is>
      </c>
      <c r="F479" t="inlineStr">
        <is>
          <t>SCA</t>
        </is>
      </c>
      <c r="G479" t="n">
        <v>4.5</v>
      </c>
      <c r="H479" t="n">
        <v>0</v>
      </c>
      <c r="I479" t="n">
        <v>2</v>
      </c>
      <c r="J479" t="n">
        <v>2</v>
      </c>
      <c r="K479" t="n">
        <v>0</v>
      </c>
      <c r="L479" t="n">
        <v>0</v>
      </c>
      <c r="M479" t="n">
        <v>0</v>
      </c>
      <c r="N479" t="n">
        <v>0</v>
      </c>
      <c r="O479" t="n">
        <v>2</v>
      </c>
      <c r="P479" t="n">
        <v>0</v>
      </c>
      <c r="Q479" t="n">
        <v>4</v>
      </c>
      <c r="R479" s="2" t="inlineStr">
        <is>
          <t>Gammelgransskål
Granticka
Gytterlav
Luddlav</t>
        </is>
      </c>
      <c r="S479">
        <f>HYPERLINK("https://klasma.github.io/Logging_2425/artfynd/A 34749-2025 artfynd.xlsx", "A 34749-2025")</f>
        <v/>
      </c>
      <c r="T479">
        <f>HYPERLINK("https://klasma.github.io/Logging_2425/kartor/A 34749-2025 karta.png", "A 34749-2025")</f>
        <v/>
      </c>
      <c r="V479">
        <f>HYPERLINK("https://klasma.github.io/Logging_2425/klagomål/A 34749-2025 FSC-klagomål.docx", "A 34749-2025")</f>
        <v/>
      </c>
      <c r="W479">
        <f>HYPERLINK("https://klasma.github.io/Logging_2425/klagomålsmail/A 34749-2025 FSC-klagomål mail.docx", "A 34749-2025")</f>
        <v/>
      </c>
      <c r="X479">
        <f>HYPERLINK("https://klasma.github.io/Logging_2425/tillsyn/A 34749-2025 tillsynsbegäran.docx", "A 34749-2025")</f>
        <v/>
      </c>
      <c r="Y479">
        <f>HYPERLINK("https://klasma.github.io/Logging_2425/tillsynsmail/A 34749-2025 tillsynsbegäran mail.docx", "A 34749-2025")</f>
        <v/>
      </c>
    </row>
    <row r="480" ht="15" customHeight="1">
      <c r="A480" t="inlineStr">
        <is>
          <t>A 35164-2025</t>
        </is>
      </c>
      <c r="B480" s="1" t="n">
        <v>45852</v>
      </c>
      <c r="C480" s="1" t="n">
        <v>45971</v>
      </c>
      <c r="D480" t="inlineStr">
        <is>
          <t>VÄSTERBOTTENS LÄN</t>
        </is>
      </c>
      <c r="E480" t="inlineStr">
        <is>
          <t>SKELLEFTEÅ</t>
        </is>
      </c>
      <c r="G480" t="n">
        <v>2.1</v>
      </c>
      <c r="H480" t="n">
        <v>0</v>
      </c>
      <c r="I480" t="n">
        <v>0</v>
      </c>
      <c r="J480" t="n">
        <v>4</v>
      </c>
      <c r="K480" t="n">
        <v>0</v>
      </c>
      <c r="L480" t="n">
        <v>0</v>
      </c>
      <c r="M480" t="n">
        <v>0</v>
      </c>
      <c r="N480" t="n">
        <v>0</v>
      </c>
      <c r="O480" t="n">
        <v>4</v>
      </c>
      <c r="P480" t="n">
        <v>0</v>
      </c>
      <c r="Q480" t="n">
        <v>4</v>
      </c>
      <c r="R480" s="2" t="inlineStr">
        <is>
          <t>Granticka
Harticka
Kilporing
Rosenticka</t>
        </is>
      </c>
      <c r="S480">
        <f>HYPERLINK("https://klasma.github.io/Logging_2482/artfynd/A 35164-2025 artfynd.xlsx", "A 35164-2025")</f>
        <v/>
      </c>
      <c r="T480">
        <f>HYPERLINK("https://klasma.github.io/Logging_2482/kartor/A 35164-2025 karta.png", "A 35164-2025")</f>
        <v/>
      </c>
      <c r="V480">
        <f>HYPERLINK("https://klasma.github.io/Logging_2482/klagomål/A 35164-2025 FSC-klagomål.docx", "A 35164-2025")</f>
        <v/>
      </c>
      <c r="W480">
        <f>HYPERLINK("https://klasma.github.io/Logging_2482/klagomålsmail/A 35164-2025 FSC-klagomål mail.docx", "A 35164-2025")</f>
        <v/>
      </c>
      <c r="X480">
        <f>HYPERLINK("https://klasma.github.io/Logging_2482/tillsyn/A 35164-2025 tillsynsbegäran.docx", "A 35164-2025")</f>
        <v/>
      </c>
      <c r="Y480">
        <f>HYPERLINK("https://klasma.github.io/Logging_2482/tillsynsmail/A 35164-2025 tillsynsbegäran mail.docx", "A 35164-2025")</f>
        <v/>
      </c>
    </row>
    <row r="481" ht="15" customHeight="1">
      <c r="A481" t="inlineStr">
        <is>
          <t>A 33586-2024</t>
        </is>
      </c>
      <c r="B481" s="1" t="n">
        <v>45520.34674768519</v>
      </c>
      <c r="C481" s="1" t="n">
        <v>45971</v>
      </c>
      <c r="D481" t="inlineStr">
        <is>
          <t>VÄSTERBOTTENS LÄN</t>
        </is>
      </c>
      <c r="E481" t="inlineStr">
        <is>
          <t>LYCKSELE</t>
        </is>
      </c>
      <c r="F481" t="inlineStr">
        <is>
          <t>Sveaskog</t>
        </is>
      </c>
      <c r="G481" t="n">
        <v>3.1</v>
      </c>
      <c r="H481" t="n">
        <v>0</v>
      </c>
      <c r="I481" t="n">
        <v>1</v>
      </c>
      <c r="J481" t="n">
        <v>3</v>
      </c>
      <c r="K481" t="n">
        <v>0</v>
      </c>
      <c r="L481" t="n">
        <v>0</v>
      </c>
      <c r="M481" t="n">
        <v>0</v>
      </c>
      <c r="N481" t="n">
        <v>0</v>
      </c>
      <c r="O481" t="n">
        <v>3</v>
      </c>
      <c r="P481" t="n">
        <v>0</v>
      </c>
      <c r="Q481" t="n">
        <v>4</v>
      </c>
      <c r="R481" s="2" t="inlineStr">
        <is>
          <t>Granticka
Mörk kolflarnlav
Ullticka
Luddlav</t>
        </is>
      </c>
      <c r="S481">
        <f>HYPERLINK("https://klasma.github.io/Logging_2481/artfynd/A 33586-2024 artfynd.xlsx", "A 33586-2024")</f>
        <v/>
      </c>
      <c r="T481">
        <f>HYPERLINK("https://klasma.github.io/Logging_2481/kartor/A 33586-2024 karta.png", "A 33586-2024")</f>
        <v/>
      </c>
      <c r="V481">
        <f>HYPERLINK("https://klasma.github.io/Logging_2481/klagomål/A 33586-2024 FSC-klagomål.docx", "A 33586-2024")</f>
        <v/>
      </c>
      <c r="W481">
        <f>HYPERLINK("https://klasma.github.io/Logging_2481/klagomålsmail/A 33586-2024 FSC-klagomål mail.docx", "A 33586-2024")</f>
        <v/>
      </c>
      <c r="X481">
        <f>HYPERLINK("https://klasma.github.io/Logging_2481/tillsyn/A 33586-2024 tillsynsbegäran.docx", "A 33586-2024")</f>
        <v/>
      </c>
      <c r="Y481">
        <f>HYPERLINK("https://klasma.github.io/Logging_2481/tillsynsmail/A 33586-2024 tillsynsbegäran mail.docx", "A 33586-2024")</f>
        <v/>
      </c>
    </row>
    <row r="482" ht="15" customHeight="1">
      <c r="A482" t="inlineStr">
        <is>
          <t>A 55825-2024</t>
        </is>
      </c>
      <c r="B482" s="1" t="n">
        <v>45623.47923611111</v>
      </c>
      <c r="C482" s="1" t="n">
        <v>45971</v>
      </c>
      <c r="D482" t="inlineStr">
        <is>
          <t>VÄSTERBOTTENS LÄN</t>
        </is>
      </c>
      <c r="E482" t="inlineStr">
        <is>
          <t>LYCKSELE</t>
        </is>
      </c>
      <c r="G482" t="n">
        <v>7.1</v>
      </c>
      <c r="H482" t="n">
        <v>3</v>
      </c>
      <c r="I482" t="n">
        <v>0</v>
      </c>
      <c r="J482" t="n">
        <v>3</v>
      </c>
      <c r="K482" t="n">
        <v>0</v>
      </c>
      <c r="L482" t="n">
        <v>0</v>
      </c>
      <c r="M482" t="n">
        <v>0</v>
      </c>
      <c r="N482" t="n">
        <v>0</v>
      </c>
      <c r="O482" t="n">
        <v>3</v>
      </c>
      <c r="P482" t="n">
        <v>0</v>
      </c>
      <c r="Q482" t="n">
        <v>4</v>
      </c>
      <c r="R482" s="2" t="inlineStr">
        <is>
          <t>Kolflarnlav
Spillkråka
Tretåig hackspett
Revlummer</t>
        </is>
      </c>
      <c r="S482">
        <f>HYPERLINK("https://klasma.github.io/Logging_2481/artfynd/A 55825-2024 artfynd.xlsx", "A 55825-2024")</f>
        <v/>
      </c>
      <c r="T482">
        <f>HYPERLINK("https://klasma.github.io/Logging_2481/kartor/A 55825-2024 karta.png", "A 55825-2024")</f>
        <v/>
      </c>
      <c r="V482">
        <f>HYPERLINK("https://klasma.github.io/Logging_2481/klagomål/A 55825-2024 FSC-klagomål.docx", "A 55825-2024")</f>
        <v/>
      </c>
      <c r="W482">
        <f>HYPERLINK("https://klasma.github.io/Logging_2481/klagomålsmail/A 55825-2024 FSC-klagomål mail.docx", "A 55825-2024")</f>
        <v/>
      </c>
      <c r="X482">
        <f>HYPERLINK("https://klasma.github.io/Logging_2481/tillsyn/A 55825-2024 tillsynsbegäran.docx", "A 55825-2024")</f>
        <v/>
      </c>
      <c r="Y482">
        <f>HYPERLINK("https://klasma.github.io/Logging_2481/tillsynsmail/A 55825-2024 tillsynsbegäran mail.docx", "A 55825-2024")</f>
        <v/>
      </c>
      <c r="Z482">
        <f>HYPERLINK("https://klasma.github.io/Logging_2481/fåglar/A 55825-2024 prioriterade fågelarter.docx", "A 55825-2024")</f>
        <v/>
      </c>
    </row>
    <row r="483" ht="15" customHeight="1">
      <c r="A483" t="inlineStr">
        <is>
          <t>A 33974-2024</t>
        </is>
      </c>
      <c r="B483" s="1" t="n">
        <v>45523.49939814815</v>
      </c>
      <c r="C483" s="1" t="n">
        <v>45971</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45352-2025</t>
        </is>
      </c>
      <c r="B484" s="1" t="n">
        <v>45922.36203703703</v>
      </c>
      <c r="C484" s="1" t="n">
        <v>45971</v>
      </c>
      <c r="D484" t="inlineStr">
        <is>
          <t>VÄSTERBOTTENS LÄN</t>
        </is>
      </c>
      <c r="E484" t="inlineStr">
        <is>
          <t>NORSJÖ</t>
        </is>
      </c>
      <c r="F484" t="inlineStr">
        <is>
          <t>Holmen skog AB</t>
        </is>
      </c>
      <c r="G484" t="n">
        <v>3.6</v>
      </c>
      <c r="H484" t="n">
        <v>0</v>
      </c>
      <c r="I484" t="n">
        <v>1</v>
      </c>
      <c r="J484" t="n">
        <v>3</v>
      </c>
      <c r="K484" t="n">
        <v>0</v>
      </c>
      <c r="L484" t="n">
        <v>0</v>
      </c>
      <c r="M484" t="n">
        <v>0</v>
      </c>
      <c r="N484" t="n">
        <v>0</v>
      </c>
      <c r="O484" t="n">
        <v>3</v>
      </c>
      <c r="P484" t="n">
        <v>0</v>
      </c>
      <c r="Q484" t="n">
        <v>4</v>
      </c>
      <c r="R484" s="2" t="inlineStr">
        <is>
          <t>Gammelgransskål
Garnlav
Vitgrynig nållav
Luddlav</t>
        </is>
      </c>
      <c r="S484">
        <f>HYPERLINK("https://klasma.github.io/Logging_2417/artfynd/A 45352-2025 artfynd.xlsx", "A 45352-2025")</f>
        <v/>
      </c>
      <c r="T484">
        <f>HYPERLINK("https://klasma.github.io/Logging_2417/kartor/A 45352-2025 karta.png", "A 45352-2025")</f>
        <v/>
      </c>
      <c r="V484">
        <f>HYPERLINK("https://klasma.github.io/Logging_2417/klagomål/A 45352-2025 FSC-klagomål.docx", "A 45352-2025")</f>
        <v/>
      </c>
      <c r="W484">
        <f>HYPERLINK("https://klasma.github.io/Logging_2417/klagomålsmail/A 45352-2025 FSC-klagomål mail.docx", "A 45352-2025")</f>
        <v/>
      </c>
      <c r="X484">
        <f>HYPERLINK("https://klasma.github.io/Logging_2417/tillsyn/A 45352-2025 tillsynsbegäran.docx", "A 45352-2025")</f>
        <v/>
      </c>
      <c r="Y484">
        <f>HYPERLINK("https://klasma.github.io/Logging_2417/tillsynsmail/A 45352-2025 tillsynsbegäran mail.docx", "A 45352-2025")</f>
        <v/>
      </c>
    </row>
    <row r="485" ht="15" customHeight="1">
      <c r="A485" t="inlineStr">
        <is>
          <t>A 36587-2025</t>
        </is>
      </c>
      <c r="B485" s="1" t="n">
        <v>45870.455625</v>
      </c>
      <c r="C485" s="1" t="n">
        <v>45971</v>
      </c>
      <c r="D485" t="inlineStr">
        <is>
          <t>VÄSTERBOTTENS LÄN</t>
        </is>
      </c>
      <c r="E485" t="inlineStr">
        <is>
          <t>STORUMAN</t>
        </is>
      </c>
      <c r="G485" t="n">
        <v>13.7</v>
      </c>
      <c r="H485" t="n">
        <v>1</v>
      </c>
      <c r="I485" t="n">
        <v>1</v>
      </c>
      <c r="J485" t="n">
        <v>2</v>
      </c>
      <c r="K485" t="n">
        <v>1</v>
      </c>
      <c r="L485" t="n">
        <v>0</v>
      </c>
      <c r="M485" t="n">
        <v>0</v>
      </c>
      <c r="N485" t="n">
        <v>0</v>
      </c>
      <c r="O485" t="n">
        <v>3</v>
      </c>
      <c r="P485" t="n">
        <v>1</v>
      </c>
      <c r="Q485" t="n">
        <v>4</v>
      </c>
      <c r="R485" s="2" t="inlineStr">
        <is>
          <t>Smalfotad taggsvamp
Skrovlig taggsvamp
Tretåig hackspett
Dropptaggsvamp</t>
        </is>
      </c>
      <c r="S485">
        <f>HYPERLINK("https://klasma.github.io/Logging_2421/artfynd/A 36587-2025 artfynd.xlsx", "A 36587-2025")</f>
        <v/>
      </c>
      <c r="T485">
        <f>HYPERLINK("https://klasma.github.io/Logging_2421/kartor/A 36587-2025 karta.png", "A 36587-2025")</f>
        <v/>
      </c>
      <c r="V485">
        <f>HYPERLINK("https://klasma.github.io/Logging_2421/klagomål/A 36587-2025 FSC-klagomål.docx", "A 36587-2025")</f>
        <v/>
      </c>
      <c r="W485">
        <f>HYPERLINK("https://klasma.github.io/Logging_2421/klagomålsmail/A 36587-2025 FSC-klagomål mail.docx", "A 36587-2025")</f>
        <v/>
      </c>
      <c r="X485">
        <f>HYPERLINK("https://klasma.github.io/Logging_2421/tillsyn/A 36587-2025 tillsynsbegäran.docx", "A 36587-2025")</f>
        <v/>
      </c>
      <c r="Y485">
        <f>HYPERLINK("https://klasma.github.io/Logging_2421/tillsynsmail/A 36587-2025 tillsynsbegäran mail.docx", "A 36587-2025")</f>
        <v/>
      </c>
      <c r="Z485">
        <f>HYPERLINK("https://klasma.github.io/Logging_2421/fåglar/A 36587-2025 prioriterade fågelarter.docx", "A 36587-2025")</f>
        <v/>
      </c>
    </row>
    <row r="486" ht="15" customHeight="1">
      <c r="A486" t="inlineStr">
        <is>
          <t>A 31451-2024</t>
        </is>
      </c>
      <c r="B486" s="1" t="n">
        <v>45505</v>
      </c>
      <c r="C486" s="1" t="n">
        <v>45971</v>
      </c>
      <c r="D486" t="inlineStr">
        <is>
          <t>VÄSTERBOTTENS LÄN</t>
        </is>
      </c>
      <c r="E486" t="inlineStr">
        <is>
          <t>STORUMAN</t>
        </is>
      </c>
      <c r="G486" t="n">
        <v>16</v>
      </c>
      <c r="H486" t="n">
        <v>1</v>
      </c>
      <c r="I486" t="n">
        <v>1</v>
      </c>
      <c r="J486" t="n">
        <v>3</v>
      </c>
      <c r="K486" t="n">
        <v>0</v>
      </c>
      <c r="L486" t="n">
        <v>0</v>
      </c>
      <c r="M486" t="n">
        <v>0</v>
      </c>
      <c r="N486" t="n">
        <v>0</v>
      </c>
      <c r="O486" t="n">
        <v>3</v>
      </c>
      <c r="P486" t="n">
        <v>0</v>
      </c>
      <c r="Q486" t="n">
        <v>4</v>
      </c>
      <c r="R486" s="2" t="inlineStr">
        <is>
          <t>Granticka
Tretåig hackspett
Ullticka
Blodticka</t>
        </is>
      </c>
      <c r="S486">
        <f>HYPERLINK("https://klasma.github.io/Logging_2421/artfynd/A 31451-2024 artfynd.xlsx", "A 31451-2024")</f>
        <v/>
      </c>
      <c r="T486">
        <f>HYPERLINK("https://klasma.github.io/Logging_2421/kartor/A 31451-2024 karta.png", "A 31451-2024")</f>
        <v/>
      </c>
      <c r="V486">
        <f>HYPERLINK("https://klasma.github.io/Logging_2421/klagomål/A 31451-2024 FSC-klagomål.docx", "A 31451-2024")</f>
        <v/>
      </c>
      <c r="W486">
        <f>HYPERLINK("https://klasma.github.io/Logging_2421/klagomålsmail/A 31451-2024 FSC-klagomål mail.docx", "A 31451-2024")</f>
        <v/>
      </c>
      <c r="X486">
        <f>HYPERLINK("https://klasma.github.io/Logging_2421/tillsyn/A 31451-2024 tillsynsbegäran.docx", "A 31451-2024")</f>
        <v/>
      </c>
      <c r="Y486">
        <f>HYPERLINK("https://klasma.github.io/Logging_2421/tillsynsmail/A 31451-2024 tillsynsbegäran mail.docx", "A 31451-2024")</f>
        <v/>
      </c>
      <c r="Z486">
        <f>HYPERLINK("https://klasma.github.io/Logging_2421/fåglar/A 31451-2024 prioriterade fågelarter.docx", "A 31451-2024")</f>
        <v/>
      </c>
    </row>
    <row r="487" ht="15" customHeight="1">
      <c r="A487" t="inlineStr">
        <is>
          <t>A 535-2025</t>
        </is>
      </c>
      <c r="B487" s="1" t="n">
        <v>45664.51217592593</v>
      </c>
      <c r="C487" s="1" t="n">
        <v>45971</v>
      </c>
      <c r="D487" t="inlineStr">
        <is>
          <t>VÄSTERBOTTENS LÄN</t>
        </is>
      </c>
      <c r="E487" t="inlineStr">
        <is>
          <t>UMEÅ</t>
        </is>
      </c>
      <c r="G487" t="n">
        <v>2.7</v>
      </c>
      <c r="H487" t="n">
        <v>4</v>
      </c>
      <c r="I487" t="n">
        <v>0</v>
      </c>
      <c r="J487" t="n">
        <v>2</v>
      </c>
      <c r="K487" t="n">
        <v>0</v>
      </c>
      <c r="L487" t="n">
        <v>0</v>
      </c>
      <c r="M487" t="n">
        <v>0</v>
      </c>
      <c r="N487" t="n">
        <v>0</v>
      </c>
      <c r="O487" t="n">
        <v>2</v>
      </c>
      <c r="P487" t="n">
        <v>0</v>
      </c>
      <c r="Q487" t="n">
        <v>4</v>
      </c>
      <c r="R487" s="2" t="inlineStr">
        <is>
          <t>Järpe
Talltita
Järnsparv
Kungsfågel</t>
        </is>
      </c>
      <c r="S487">
        <f>HYPERLINK("https://klasma.github.io/Logging_2480/artfynd/A 535-2025 artfynd.xlsx", "A 535-2025")</f>
        <v/>
      </c>
      <c r="T487">
        <f>HYPERLINK("https://klasma.github.io/Logging_2480/kartor/A 535-2025 karta.png", "A 535-2025")</f>
        <v/>
      </c>
      <c r="V487">
        <f>HYPERLINK("https://klasma.github.io/Logging_2480/klagomål/A 535-2025 FSC-klagomål.docx", "A 535-2025")</f>
        <v/>
      </c>
      <c r="W487">
        <f>HYPERLINK("https://klasma.github.io/Logging_2480/klagomålsmail/A 535-2025 FSC-klagomål mail.docx", "A 535-2025")</f>
        <v/>
      </c>
      <c r="X487">
        <f>HYPERLINK("https://klasma.github.io/Logging_2480/tillsyn/A 535-2025 tillsynsbegäran.docx", "A 535-2025")</f>
        <v/>
      </c>
      <c r="Y487">
        <f>HYPERLINK("https://klasma.github.io/Logging_2480/tillsynsmail/A 535-2025 tillsynsbegäran mail.docx", "A 535-2025")</f>
        <v/>
      </c>
      <c r="Z487">
        <f>HYPERLINK("https://klasma.github.io/Logging_2480/fåglar/A 535-2025 prioriterade fågelarter.docx", "A 535-2025")</f>
        <v/>
      </c>
    </row>
    <row r="488" ht="15" customHeight="1">
      <c r="A488" t="inlineStr">
        <is>
          <t>A 4828-2023</t>
        </is>
      </c>
      <c r="B488" s="1" t="n">
        <v>44957</v>
      </c>
      <c r="C488" s="1" t="n">
        <v>45971</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51706-2024</t>
        </is>
      </c>
      <c r="B489" s="1" t="n">
        <v>45604</v>
      </c>
      <c r="C489" s="1" t="n">
        <v>45971</v>
      </c>
      <c r="D489" t="inlineStr">
        <is>
          <t>VÄSTERBOTTENS LÄN</t>
        </is>
      </c>
      <c r="E489" t="inlineStr">
        <is>
          <t>STORUMAN</t>
        </is>
      </c>
      <c r="F489" t="inlineStr">
        <is>
          <t>Allmännings- och besparingsskogar</t>
        </is>
      </c>
      <c r="G489" t="n">
        <v>164.7</v>
      </c>
      <c r="H489" t="n">
        <v>1</v>
      </c>
      <c r="I489" t="n">
        <v>0</v>
      </c>
      <c r="J489" t="n">
        <v>4</v>
      </c>
      <c r="K489" t="n">
        <v>0</v>
      </c>
      <c r="L489" t="n">
        <v>0</v>
      </c>
      <c r="M489" t="n">
        <v>0</v>
      </c>
      <c r="N489" t="n">
        <v>0</v>
      </c>
      <c r="O489" t="n">
        <v>4</v>
      </c>
      <c r="P489" t="n">
        <v>0</v>
      </c>
      <c r="Q489" t="n">
        <v>4</v>
      </c>
      <c r="R489" s="2" t="inlineStr">
        <is>
          <t>Brunpudrad nållav
Garnlav
Granticka
Tretåig hackspett</t>
        </is>
      </c>
      <c r="S489">
        <f>HYPERLINK("https://klasma.github.io/Logging_2421/artfynd/A 51706-2024 artfynd.xlsx", "A 51706-2024")</f>
        <v/>
      </c>
      <c r="T489">
        <f>HYPERLINK("https://klasma.github.io/Logging_2421/kartor/A 51706-2024 karta.png", "A 51706-2024")</f>
        <v/>
      </c>
      <c r="V489">
        <f>HYPERLINK("https://klasma.github.io/Logging_2421/klagomål/A 51706-2024 FSC-klagomål.docx", "A 51706-2024")</f>
        <v/>
      </c>
      <c r="W489">
        <f>HYPERLINK("https://klasma.github.io/Logging_2421/klagomålsmail/A 51706-2024 FSC-klagomål mail.docx", "A 51706-2024")</f>
        <v/>
      </c>
      <c r="X489">
        <f>HYPERLINK("https://klasma.github.io/Logging_2421/tillsyn/A 51706-2024 tillsynsbegäran.docx", "A 51706-2024")</f>
        <v/>
      </c>
      <c r="Y489">
        <f>HYPERLINK("https://klasma.github.io/Logging_2421/tillsynsmail/A 51706-2024 tillsynsbegäran mail.docx", "A 51706-2024")</f>
        <v/>
      </c>
      <c r="Z489">
        <f>HYPERLINK("https://klasma.github.io/Logging_2421/fåglar/A 51706-2024 prioriterade fågelarter.docx", "A 51706-2024")</f>
        <v/>
      </c>
    </row>
    <row r="490" ht="15" customHeight="1">
      <c r="A490" t="inlineStr">
        <is>
          <t>A 68690-2020</t>
        </is>
      </c>
      <c r="B490" s="1" t="n">
        <v>44186</v>
      </c>
      <c r="C490" s="1" t="n">
        <v>45971</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45971</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45971</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45971</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25503-2022</t>
        </is>
      </c>
      <c r="B494" s="1" t="n">
        <v>44732</v>
      </c>
      <c r="C494" s="1" t="n">
        <v>45971</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38400-2021</t>
        </is>
      </c>
      <c r="B495" s="1" t="n">
        <v>44406</v>
      </c>
      <c r="C495" s="1" t="n">
        <v>45971</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57802-2023</t>
        </is>
      </c>
      <c r="B496" s="1" t="n">
        <v>45246</v>
      </c>
      <c r="C496" s="1" t="n">
        <v>45971</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45971</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53115-2024</t>
        </is>
      </c>
      <c r="B498" s="1" t="n">
        <v>45611.5784375</v>
      </c>
      <c r="C498" s="1" t="n">
        <v>45971</v>
      </c>
      <c r="D498" t="inlineStr">
        <is>
          <t>VÄSTERBOTTENS LÄN</t>
        </is>
      </c>
      <c r="E498" t="inlineStr">
        <is>
          <t>LYCKSELE</t>
        </is>
      </c>
      <c r="F498" t="inlineStr">
        <is>
          <t>Sveaskog</t>
        </is>
      </c>
      <c r="G498" t="n">
        <v>4.1</v>
      </c>
      <c r="H498" t="n">
        <v>0</v>
      </c>
      <c r="I498" t="n">
        <v>0</v>
      </c>
      <c r="J498" t="n">
        <v>3</v>
      </c>
      <c r="K498" t="n">
        <v>0</v>
      </c>
      <c r="L498" t="n">
        <v>0</v>
      </c>
      <c r="M498" t="n">
        <v>0</v>
      </c>
      <c r="N498" t="n">
        <v>0</v>
      </c>
      <c r="O498" t="n">
        <v>3</v>
      </c>
      <c r="P498" t="n">
        <v>0</v>
      </c>
      <c r="Q498" t="n">
        <v>3</v>
      </c>
      <c r="R498" s="2" t="inlineStr">
        <is>
          <t>Blå taggsvamp
Kolflarnlav
Orange taggsvamp</t>
        </is>
      </c>
      <c r="S498">
        <f>HYPERLINK("https://klasma.github.io/Logging_2481/artfynd/A 53115-2024 artfynd.xlsx", "A 53115-2024")</f>
        <v/>
      </c>
      <c r="T498">
        <f>HYPERLINK("https://klasma.github.io/Logging_2481/kartor/A 53115-2024 karta.png", "A 53115-2024")</f>
        <v/>
      </c>
      <c r="V498">
        <f>HYPERLINK("https://klasma.github.io/Logging_2481/klagomål/A 53115-2024 FSC-klagomål.docx", "A 53115-2024")</f>
        <v/>
      </c>
      <c r="W498">
        <f>HYPERLINK("https://klasma.github.io/Logging_2481/klagomålsmail/A 53115-2024 FSC-klagomål mail.docx", "A 53115-2024")</f>
        <v/>
      </c>
      <c r="X498">
        <f>HYPERLINK("https://klasma.github.io/Logging_2481/tillsyn/A 53115-2024 tillsynsbegäran.docx", "A 53115-2024")</f>
        <v/>
      </c>
      <c r="Y498">
        <f>HYPERLINK("https://klasma.github.io/Logging_2481/tillsynsmail/A 53115-2024 tillsynsbegäran mail.docx", "A 53115-2024")</f>
        <v/>
      </c>
    </row>
    <row r="499" ht="15" customHeight="1">
      <c r="A499" t="inlineStr">
        <is>
          <t>A 43272-2021</t>
        </is>
      </c>
      <c r="B499" s="1" t="n">
        <v>44432</v>
      </c>
      <c r="C499" s="1" t="n">
        <v>45971</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45971</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60880-2023</t>
        </is>
      </c>
      <c r="B501" s="1" t="n">
        <v>45259</v>
      </c>
      <c r="C501" s="1" t="n">
        <v>45971</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6054-2025</t>
        </is>
      </c>
      <c r="B502" s="1" t="n">
        <v>45695</v>
      </c>
      <c r="C502" s="1" t="n">
        <v>45971</v>
      </c>
      <c r="D502" t="inlineStr">
        <is>
          <t>VÄSTERBOTTENS LÄN</t>
        </is>
      </c>
      <c r="E502" t="inlineStr">
        <is>
          <t>UMEÅ</t>
        </is>
      </c>
      <c r="G502" t="n">
        <v>5.4</v>
      </c>
      <c r="H502" t="n">
        <v>1</v>
      </c>
      <c r="I502" t="n">
        <v>0</v>
      </c>
      <c r="J502" t="n">
        <v>3</v>
      </c>
      <c r="K502" t="n">
        <v>0</v>
      </c>
      <c r="L502" t="n">
        <v>0</v>
      </c>
      <c r="M502" t="n">
        <v>0</v>
      </c>
      <c r="N502" t="n">
        <v>0</v>
      </c>
      <c r="O502" t="n">
        <v>3</v>
      </c>
      <c r="P502" t="n">
        <v>0</v>
      </c>
      <c r="Q502" t="n">
        <v>3</v>
      </c>
      <c r="R502" s="2" t="inlineStr">
        <is>
          <t>Harticka
Lundsångare
Svart taggsvamp</t>
        </is>
      </c>
      <c r="S502">
        <f>HYPERLINK("https://klasma.github.io/Logging_2480/artfynd/A 6054-2025 artfynd.xlsx", "A 6054-2025")</f>
        <v/>
      </c>
      <c r="T502">
        <f>HYPERLINK("https://klasma.github.io/Logging_2480/kartor/A 6054-2025 karta.png", "A 6054-2025")</f>
        <v/>
      </c>
      <c r="V502">
        <f>HYPERLINK("https://klasma.github.io/Logging_2480/klagomål/A 6054-2025 FSC-klagomål.docx", "A 6054-2025")</f>
        <v/>
      </c>
      <c r="W502">
        <f>HYPERLINK("https://klasma.github.io/Logging_2480/klagomålsmail/A 6054-2025 FSC-klagomål mail.docx", "A 6054-2025")</f>
        <v/>
      </c>
      <c r="X502">
        <f>HYPERLINK("https://klasma.github.io/Logging_2480/tillsyn/A 6054-2025 tillsynsbegäran.docx", "A 6054-2025")</f>
        <v/>
      </c>
      <c r="Y502">
        <f>HYPERLINK("https://klasma.github.io/Logging_2480/tillsynsmail/A 6054-2025 tillsynsbegäran mail.docx", "A 6054-2025")</f>
        <v/>
      </c>
      <c r="Z502">
        <f>HYPERLINK("https://klasma.github.io/Logging_2480/fåglar/A 6054-2025 prioriterade fågelarter.docx", "A 6054-2025")</f>
        <v/>
      </c>
    </row>
    <row r="503" ht="15" customHeight="1">
      <c r="A503" t="inlineStr">
        <is>
          <t>A 47327-2024</t>
        </is>
      </c>
      <c r="B503" s="1" t="n">
        <v>45587.38496527778</v>
      </c>
      <c r="C503" s="1" t="n">
        <v>45971</v>
      </c>
      <c r="D503" t="inlineStr">
        <is>
          <t>VÄSTERBOTTENS LÄN</t>
        </is>
      </c>
      <c r="E503" t="inlineStr">
        <is>
          <t>NORSJÖ</t>
        </is>
      </c>
      <c r="F503" t="inlineStr">
        <is>
          <t>Sveaskog</t>
        </is>
      </c>
      <c r="G503" t="n">
        <v>21.9</v>
      </c>
      <c r="H503" t="n">
        <v>0</v>
      </c>
      <c r="I503" t="n">
        <v>2</v>
      </c>
      <c r="J503" t="n">
        <v>1</v>
      </c>
      <c r="K503" t="n">
        <v>0</v>
      </c>
      <c r="L503" t="n">
        <v>0</v>
      </c>
      <c r="M503" t="n">
        <v>0</v>
      </c>
      <c r="N503" t="n">
        <v>0</v>
      </c>
      <c r="O503" t="n">
        <v>1</v>
      </c>
      <c r="P503" t="n">
        <v>0</v>
      </c>
      <c r="Q503" t="n">
        <v>3</v>
      </c>
      <c r="R503" s="2" t="inlineStr">
        <is>
          <t>Blå taggsvamp
Dropptaggsvamp
Skarp dropptaggsvamp</t>
        </is>
      </c>
      <c r="S503">
        <f>HYPERLINK("https://klasma.github.io/Logging_2417/artfynd/A 47327-2024 artfynd.xlsx", "A 47327-2024")</f>
        <v/>
      </c>
      <c r="T503">
        <f>HYPERLINK("https://klasma.github.io/Logging_2417/kartor/A 47327-2024 karta.png", "A 47327-2024")</f>
        <v/>
      </c>
      <c r="V503">
        <f>HYPERLINK("https://klasma.github.io/Logging_2417/klagomål/A 47327-2024 FSC-klagomål.docx", "A 47327-2024")</f>
        <v/>
      </c>
      <c r="W503">
        <f>HYPERLINK("https://klasma.github.io/Logging_2417/klagomålsmail/A 47327-2024 FSC-klagomål mail.docx", "A 47327-2024")</f>
        <v/>
      </c>
      <c r="X503">
        <f>HYPERLINK("https://klasma.github.io/Logging_2417/tillsyn/A 47327-2024 tillsynsbegäran.docx", "A 47327-2024")</f>
        <v/>
      </c>
      <c r="Y503">
        <f>HYPERLINK("https://klasma.github.io/Logging_2417/tillsynsmail/A 47327-2024 tillsynsbegäran mail.docx", "A 47327-2024")</f>
        <v/>
      </c>
    </row>
    <row r="504" ht="15" customHeight="1">
      <c r="A504" t="inlineStr">
        <is>
          <t>A 62595-2023</t>
        </is>
      </c>
      <c r="B504" s="1" t="n">
        <v>45267</v>
      </c>
      <c r="C504" s="1" t="n">
        <v>45971</v>
      </c>
      <c r="D504" t="inlineStr">
        <is>
          <t>VÄSTERBOTTENS LÄN</t>
        </is>
      </c>
      <c r="E504" t="inlineStr">
        <is>
          <t>SKELLEFTEÅ</t>
        </is>
      </c>
      <c r="G504" t="n">
        <v>4.6</v>
      </c>
      <c r="H504" t="n">
        <v>2</v>
      </c>
      <c r="I504" t="n">
        <v>1</v>
      </c>
      <c r="J504" t="n">
        <v>1</v>
      </c>
      <c r="K504" t="n">
        <v>0</v>
      </c>
      <c r="L504" t="n">
        <v>0</v>
      </c>
      <c r="M504" t="n">
        <v>0</v>
      </c>
      <c r="N504" t="n">
        <v>0</v>
      </c>
      <c r="O504" t="n">
        <v>1</v>
      </c>
      <c r="P504" t="n">
        <v>0</v>
      </c>
      <c r="Q504" t="n">
        <v>3</v>
      </c>
      <c r="R504" s="2" t="inlineStr">
        <is>
          <t>Spillkråka
Vedticka
Fläcknycklar</t>
        </is>
      </c>
      <c r="S504">
        <f>HYPERLINK("https://klasma.github.io/Logging_2482/artfynd/A 62595-2023 artfynd.xlsx", "A 62595-2023")</f>
        <v/>
      </c>
      <c r="T504">
        <f>HYPERLINK("https://klasma.github.io/Logging_2482/kartor/A 62595-2023 karta.png", "A 62595-2023")</f>
        <v/>
      </c>
      <c r="V504">
        <f>HYPERLINK("https://klasma.github.io/Logging_2482/klagomål/A 62595-2023 FSC-klagomål.docx", "A 62595-2023")</f>
        <v/>
      </c>
      <c r="W504">
        <f>HYPERLINK("https://klasma.github.io/Logging_2482/klagomålsmail/A 62595-2023 FSC-klagomål mail.docx", "A 62595-2023")</f>
        <v/>
      </c>
      <c r="X504">
        <f>HYPERLINK("https://klasma.github.io/Logging_2482/tillsyn/A 62595-2023 tillsynsbegäran.docx", "A 62595-2023")</f>
        <v/>
      </c>
      <c r="Y504">
        <f>HYPERLINK("https://klasma.github.io/Logging_2482/tillsynsmail/A 62595-2023 tillsynsbegäran mail.docx", "A 62595-2023")</f>
        <v/>
      </c>
      <c r="Z504">
        <f>HYPERLINK("https://klasma.github.io/Logging_2482/fåglar/A 62595-2023 prioriterade fågelarter.docx", "A 62595-2023")</f>
        <v/>
      </c>
    </row>
    <row r="505" ht="15" customHeight="1">
      <c r="A505" t="inlineStr">
        <is>
          <t>A 5696-2025</t>
        </is>
      </c>
      <c r="B505" s="1" t="n">
        <v>45694.39746527778</v>
      </c>
      <c r="C505" s="1" t="n">
        <v>45971</v>
      </c>
      <c r="D505" t="inlineStr">
        <is>
          <t>VÄSTERBOTTENS LÄN</t>
        </is>
      </c>
      <c r="E505" t="inlineStr">
        <is>
          <t>LYCKSELE</t>
        </is>
      </c>
      <c r="G505" t="n">
        <v>6.4</v>
      </c>
      <c r="H505" t="n">
        <v>1</v>
      </c>
      <c r="I505" t="n">
        <v>1</v>
      </c>
      <c r="J505" t="n">
        <v>2</v>
      </c>
      <c r="K505" t="n">
        <v>0</v>
      </c>
      <c r="L505" t="n">
        <v>0</v>
      </c>
      <c r="M505" t="n">
        <v>0</v>
      </c>
      <c r="N505" t="n">
        <v>0</v>
      </c>
      <c r="O505" t="n">
        <v>2</v>
      </c>
      <c r="P505" t="n">
        <v>0</v>
      </c>
      <c r="Q505" t="n">
        <v>3</v>
      </c>
      <c r="R505" s="2" t="inlineStr">
        <is>
          <t>Blå taggsvamp
Tretåig hackspett
Dropptaggsvamp</t>
        </is>
      </c>
      <c r="S505">
        <f>HYPERLINK("https://klasma.github.io/Logging_2481/artfynd/A 5696-2025 artfynd.xlsx", "A 5696-2025")</f>
        <v/>
      </c>
      <c r="T505">
        <f>HYPERLINK("https://klasma.github.io/Logging_2481/kartor/A 5696-2025 karta.png", "A 5696-2025")</f>
        <v/>
      </c>
      <c r="V505">
        <f>HYPERLINK("https://klasma.github.io/Logging_2481/klagomål/A 5696-2025 FSC-klagomål.docx", "A 5696-2025")</f>
        <v/>
      </c>
      <c r="W505">
        <f>HYPERLINK("https://klasma.github.io/Logging_2481/klagomålsmail/A 5696-2025 FSC-klagomål mail.docx", "A 5696-2025")</f>
        <v/>
      </c>
      <c r="X505">
        <f>HYPERLINK("https://klasma.github.io/Logging_2481/tillsyn/A 5696-2025 tillsynsbegäran.docx", "A 5696-2025")</f>
        <v/>
      </c>
      <c r="Y505">
        <f>HYPERLINK("https://klasma.github.io/Logging_2481/tillsynsmail/A 5696-2025 tillsynsbegäran mail.docx", "A 5696-2025")</f>
        <v/>
      </c>
      <c r="Z505">
        <f>HYPERLINK("https://klasma.github.io/Logging_2481/fåglar/A 5696-2025 prioriterade fågelarter.docx", "A 5696-2025")</f>
        <v/>
      </c>
    </row>
    <row r="506" ht="15" customHeight="1">
      <c r="A506" t="inlineStr">
        <is>
          <t>A 33858-2024</t>
        </is>
      </c>
      <c r="B506" s="1" t="n">
        <v>45520</v>
      </c>
      <c r="C506" s="1" t="n">
        <v>45971</v>
      </c>
      <c r="D506" t="inlineStr">
        <is>
          <t>VÄSTERBOTTENS LÄN</t>
        </is>
      </c>
      <c r="E506" t="inlineStr">
        <is>
          <t>SKELLEFTEÅ</t>
        </is>
      </c>
      <c r="F506" t="inlineStr">
        <is>
          <t>Holmen skog AB</t>
        </is>
      </c>
      <c r="G506" t="n">
        <v>1.5</v>
      </c>
      <c r="H506" t="n">
        <v>0</v>
      </c>
      <c r="I506" t="n">
        <v>1</v>
      </c>
      <c r="J506" t="n">
        <v>2</v>
      </c>
      <c r="K506" t="n">
        <v>0</v>
      </c>
      <c r="L506" t="n">
        <v>0</v>
      </c>
      <c r="M506" t="n">
        <v>0</v>
      </c>
      <c r="N506" t="n">
        <v>0</v>
      </c>
      <c r="O506" t="n">
        <v>2</v>
      </c>
      <c r="P506" t="n">
        <v>0</v>
      </c>
      <c r="Q506" t="n">
        <v>3</v>
      </c>
      <c r="R506" s="2" t="inlineStr">
        <is>
          <t>Gammelgransskål
Garnlav
Dropptaggsvamp</t>
        </is>
      </c>
      <c r="S506">
        <f>HYPERLINK("https://klasma.github.io/Logging_2482/artfynd/A 33858-2024 artfynd.xlsx", "A 33858-2024")</f>
        <v/>
      </c>
      <c r="T506">
        <f>HYPERLINK("https://klasma.github.io/Logging_2482/kartor/A 33858-2024 karta.png", "A 33858-2024")</f>
        <v/>
      </c>
      <c r="V506">
        <f>HYPERLINK("https://klasma.github.io/Logging_2482/klagomål/A 33858-2024 FSC-klagomål.docx", "A 33858-2024")</f>
        <v/>
      </c>
      <c r="W506">
        <f>HYPERLINK("https://klasma.github.io/Logging_2482/klagomålsmail/A 33858-2024 FSC-klagomål mail.docx", "A 33858-2024")</f>
        <v/>
      </c>
      <c r="X506">
        <f>HYPERLINK("https://klasma.github.io/Logging_2482/tillsyn/A 33858-2024 tillsynsbegäran.docx", "A 33858-2024")</f>
        <v/>
      </c>
      <c r="Y506">
        <f>HYPERLINK("https://klasma.github.io/Logging_2482/tillsynsmail/A 33858-2024 tillsynsbegäran mail.docx", "A 33858-2024")</f>
        <v/>
      </c>
    </row>
    <row r="507" ht="15" customHeight="1">
      <c r="A507" t="inlineStr">
        <is>
          <t>A 28826-2024</t>
        </is>
      </c>
      <c r="B507" s="1" t="n">
        <v>45478.66898148148</v>
      </c>
      <c r="C507" s="1" t="n">
        <v>45971</v>
      </c>
      <c r="D507" t="inlineStr">
        <is>
          <t>VÄSTERBOTTENS LÄN</t>
        </is>
      </c>
      <c r="E507" t="inlineStr">
        <is>
          <t>VINDELN</t>
        </is>
      </c>
      <c r="F507" t="inlineStr">
        <is>
          <t>Holmen skog AB</t>
        </is>
      </c>
      <c r="G507" t="n">
        <v>4</v>
      </c>
      <c r="H507" t="n">
        <v>1</v>
      </c>
      <c r="I507" t="n">
        <v>1</v>
      </c>
      <c r="J507" t="n">
        <v>2</v>
      </c>
      <c r="K507" t="n">
        <v>0</v>
      </c>
      <c r="L507" t="n">
        <v>0</v>
      </c>
      <c r="M507" t="n">
        <v>0</v>
      </c>
      <c r="N507" t="n">
        <v>0</v>
      </c>
      <c r="O507" t="n">
        <v>2</v>
      </c>
      <c r="P507" t="n">
        <v>0</v>
      </c>
      <c r="Q507" t="n">
        <v>3</v>
      </c>
      <c r="R507" s="2" t="inlineStr">
        <is>
          <t>Granticka
Spillkråka
Vedticka</t>
        </is>
      </c>
      <c r="S507">
        <f>HYPERLINK("https://klasma.github.io/Logging_2404/artfynd/A 28826-2024 artfynd.xlsx", "A 28826-2024")</f>
        <v/>
      </c>
      <c r="T507">
        <f>HYPERLINK("https://klasma.github.io/Logging_2404/kartor/A 28826-2024 karta.png", "A 28826-2024")</f>
        <v/>
      </c>
      <c r="U507">
        <f>HYPERLINK("https://klasma.github.io/Logging_2404/knärot/A 28826-2024 karta knärot.png", "A 28826-2024")</f>
        <v/>
      </c>
      <c r="V507">
        <f>HYPERLINK("https://klasma.github.io/Logging_2404/klagomål/A 28826-2024 FSC-klagomål.docx", "A 28826-2024")</f>
        <v/>
      </c>
      <c r="W507">
        <f>HYPERLINK("https://klasma.github.io/Logging_2404/klagomålsmail/A 28826-2024 FSC-klagomål mail.docx", "A 28826-2024")</f>
        <v/>
      </c>
      <c r="X507">
        <f>HYPERLINK("https://klasma.github.io/Logging_2404/tillsyn/A 28826-2024 tillsynsbegäran.docx", "A 28826-2024")</f>
        <v/>
      </c>
      <c r="Y507">
        <f>HYPERLINK("https://klasma.github.io/Logging_2404/tillsynsmail/A 28826-2024 tillsynsbegäran mail.docx", "A 28826-2024")</f>
        <v/>
      </c>
      <c r="Z507">
        <f>HYPERLINK("https://klasma.github.io/Logging_2404/fåglar/A 28826-2024 prioriterade fågelarter.docx", "A 28826-2024")</f>
        <v/>
      </c>
    </row>
    <row r="508" ht="15" customHeight="1">
      <c r="A508" t="inlineStr">
        <is>
          <t>A 38401-2025</t>
        </is>
      </c>
      <c r="B508" s="1" t="n">
        <v>45883.58827546296</v>
      </c>
      <c r="C508" s="1" t="n">
        <v>45971</v>
      </c>
      <c r="D508" t="inlineStr">
        <is>
          <t>VÄSTERBOTTENS LÄN</t>
        </is>
      </c>
      <c r="E508" t="inlineStr">
        <is>
          <t>SKELLEFTEÅ</t>
        </is>
      </c>
      <c r="F508" t="inlineStr">
        <is>
          <t>Holmen skog AB</t>
        </is>
      </c>
      <c r="G508" t="n">
        <v>9.5</v>
      </c>
      <c r="H508" t="n">
        <v>0</v>
      </c>
      <c r="I508" t="n">
        <v>1</v>
      </c>
      <c r="J508" t="n">
        <v>2</v>
      </c>
      <c r="K508" t="n">
        <v>0</v>
      </c>
      <c r="L508" t="n">
        <v>0</v>
      </c>
      <c r="M508" t="n">
        <v>0</v>
      </c>
      <c r="N508" t="n">
        <v>0</v>
      </c>
      <c r="O508" t="n">
        <v>2</v>
      </c>
      <c r="P508" t="n">
        <v>0</v>
      </c>
      <c r="Q508" t="n">
        <v>3</v>
      </c>
      <c r="R508" s="2" t="inlineStr">
        <is>
          <t>Ullticka
Violettgrå tagellav
Ögonpyrola</t>
        </is>
      </c>
      <c r="S508">
        <f>HYPERLINK("https://klasma.github.io/Logging_2482/artfynd/A 38401-2025 artfynd.xlsx", "A 38401-2025")</f>
        <v/>
      </c>
      <c r="T508">
        <f>HYPERLINK("https://klasma.github.io/Logging_2482/kartor/A 38401-2025 karta.png", "A 38401-2025")</f>
        <v/>
      </c>
      <c r="V508">
        <f>HYPERLINK("https://klasma.github.io/Logging_2482/klagomål/A 38401-2025 FSC-klagomål.docx", "A 38401-2025")</f>
        <v/>
      </c>
      <c r="W508">
        <f>HYPERLINK("https://klasma.github.io/Logging_2482/klagomålsmail/A 38401-2025 FSC-klagomål mail.docx", "A 38401-2025")</f>
        <v/>
      </c>
      <c r="X508">
        <f>HYPERLINK("https://klasma.github.io/Logging_2482/tillsyn/A 38401-2025 tillsynsbegäran.docx", "A 38401-2025")</f>
        <v/>
      </c>
      <c r="Y508">
        <f>HYPERLINK("https://klasma.github.io/Logging_2482/tillsynsmail/A 38401-2025 tillsynsbegäran mail.docx", "A 38401-2025")</f>
        <v/>
      </c>
    </row>
    <row r="509" ht="15" customHeight="1">
      <c r="A509" t="inlineStr">
        <is>
          <t>A 28708-2024</t>
        </is>
      </c>
      <c r="B509" s="1" t="n">
        <v>45478.52440972222</v>
      </c>
      <c r="C509" s="1" t="n">
        <v>45971</v>
      </c>
      <c r="D509" t="inlineStr">
        <is>
          <t>VÄSTERBOTTENS LÄN</t>
        </is>
      </c>
      <c r="E509" t="inlineStr">
        <is>
          <t>VINDELN</t>
        </is>
      </c>
      <c r="F509" t="inlineStr">
        <is>
          <t>Holmen skog AB</t>
        </is>
      </c>
      <c r="G509" t="n">
        <v>2</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HYPERLINK("https://klasma.github.io/Logging_2404/artfynd/A 28708-2024 artfynd.xlsx", "A 28708-2024")</f>
        <v/>
      </c>
      <c r="T509">
        <f>HYPERLINK("https://klasma.github.io/Logging_2404/kartor/A 28708-2024 karta.png", "A 28708-2024")</f>
        <v/>
      </c>
      <c r="V509">
        <f>HYPERLINK("https://klasma.github.io/Logging_2404/klagomål/A 28708-2024 FSC-klagomål.docx", "A 28708-2024")</f>
        <v/>
      </c>
      <c r="W509">
        <f>HYPERLINK("https://klasma.github.io/Logging_2404/klagomålsmail/A 28708-2024 FSC-klagomål mail.docx", "A 28708-2024")</f>
        <v/>
      </c>
      <c r="X509">
        <f>HYPERLINK("https://klasma.github.io/Logging_2404/tillsyn/A 28708-2024 tillsynsbegäran.docx", "A 28708-2024")</f>
        <v/>
      </c>
      <c r="Y509">
        <f>HYPERLINK("https://klasma.github.io/Logging_2404/tillsynsmail/A 28708-2024 tillsynsbegäran mail.docx", "A 28708-2024")</f>
        <v/>
      </c>
      <c r="Z509">
        <f>HYPERLINK("https://klasma.github.io/Logging_2404/fåglar/A 28708-2024 prioriterade fågelarter.docx", "A 28708-2024")</f>
        <v/>
      </c>
    </row>
    <row r="510" ht="15" customHeight="1">
      <c r="A510" t="inlineStr">
        <is>
          <t>A 47036-2025</t>
        </is>
      </c>
      <c r="B510" s="1" t="n">
        <v>45929.594375</v>
      </c>
      <c r="C510" s="1" t="n">
        <v>45971</v>
      </c>
      <c r="D510" t="inlineStr">
        <is>
          <t>VÄSTERBOTTENS LÄN</t>
        </is>
      </c>
      <c r="E510" t="inlineStr">
        <is>
          <t>VILHELMINA</t>
        </is>
      </c>
      <c r="F510" t="inlineStr">
        <is>
          <t>SCA</t>
        </is>
      </c>
      <c r="G510" t="n">
        <v>5.5</v>
      </c>
      <c r="H510" t="n">
        <v>0</v>
      </c>
      <c r="I510" t="n">
        <v>0</v>
      </c>
      <c r="J510" t="n">
        <v>2</v>
      </c>
      <c r="K510" t="n">
        <v>1</v>
      </c>
      <c r="L510" t="n">
        <v>0</v>
      </c>
      <c r="M510" t="n">
        <v>0</v>
      </c>
      <c r="N510" t="n">
        <v>0</v>
      </c>
      <c r="O510" t="n">
        <v>3</v>
      </c>
      <c r="P510" t="n">
        <v>1</v>
      </c>
      <c r="Q510" t="n">
        <v>3</v>
      </c>
      <c r="R510" s="2" t="inlineStr">
        <is>
          <t>Lateritticka
Ullticka
Vedskivlav</t>
        </is>
      </c>
      <c r="S510">
        <f>HYPERLINK("https://klasma.github.io/Logging_2462/artfynd/A 47036-2025 artfynd.xlsx", "A 47036-2025")</f>
        <v/>
      </c>
      <c r="T510">
        <f>HYPERLINK("https://klasma.github.io/Logging_2462/kartor/A 47036-2025 karta.png", "A 47036-2025")</f>
        <v/>
      </c>
      <c r="V510">
        <f>HYPERLINK("https://klasma.github.io/Logging_2462/klagomål/A 47036-2025 FSC-klagomål.docx", "A 47036-2025")</f>
        <v/>
      </c>
      <c r="W510">
        <f>HYPERLINK("https://klasma.github.io/Logging_2462/klagomålsmail/A 47036-2025 FSC-klagomål mail.docx", "A 47036-2025")</f>
        <v/>
      </c>
      <c r="X510">
        <f>HYPERLINK("https://klasma.github.io/Logging_2462/tillsyn/A 47036-2025 tillsynsbegäran.docx", "A 47036-2025")</f>
        <v/>
      </c>
      <c r="Y510">
        <f>HYPERLINK("https://klasma.github.io/Logging_2462/tillsynsmail/A 47036-2025 tillsynsbegäran mail.docx", "A 47036-2025")</f>
        <v/>
      </c>
    </row>
    <row r="511" ht="15" customHeight="1">
      <c r="A511" t="inlineStr">
        <is>
          <t>A 38916-2025</t>
        </is>
      </c>
      <c r="B511" s="1" t="n">
        <v>45887.62298611111</v>
      </c>
      <c r="C511" s="1" t="n">
        <v>45971</v>
      </c>
      <c r="D511" t="inlineStr">
        <is>
          <t>VÄSTERBOTTENS LÄN</t>
        </is>
      </c>
      <c r="E511" t="inlineStr">
        <is>
          <t>LYCKSELE</t>
        </is>
      </c>
      <c r="F511" t="inlineStr">
        <is>
          <t>Sveaskog</t>
        </is>
      </c>
      <c r="G511" t="n">
        <v>3.1</v>
      </c>
      <c r="H511" t="n">
        <v>1</v>
      </c>
      <c r="I511" t="n">
        <v>1</v>
      </c>
      <c r="J511" t="n">
        <v>1</v>
      </c>
      <c r="K511" t="n">
        <v>1</v>
      </c>
      <c r="L511" t="n">
        <v>0</v>
      </c>
      <c r="M511" t="n">
        <v>0</v>
      </c>
      <c r="N511" t="n">
        <v>0</v>
      </c>
      <c r="O511" t="n">
        <v>2</v>
      </c>
      <c r="P511" t="n">
        <v>1</v>
      </c>
      <c r="Q511" t="n">
        <v>3</v>
      </c>
      <c r="R511" s="2" t="inlineStr">
        <is>
          <t>Doftticka
Lunglav
Stuplav</t>
        </is>
      </c>
      <c r="S511">
        <f>HYPERLINK("https://klasma.github.io/Logging_2481/artfynd/A 38916-2025 artfynd.xlsx", "A 38916-2025")</f>
        <v/>
      </c>
      <c r="T511">
        <f>HYPERLINK("https://klasma.github.io/Logging_2481/kartor/A 38916-2025 karta.png", "A 38916-2025")</f>
        <v/>
      </c>
      <c r="V511">
        <f>HYPERLINK("https://klasma.github.io/Logging_2481/klagomål/A 38916-2025 FSC-klagomål.docx", "A 38916-2025")</f>
        <v/>
      </c>
      <c r="W511">
        <f>HYPERLINK("https://klasma.github.io/Logging_2481/klagomålsmail/A 38916-2025 FSC-klagomål mail.docx", "A 38916-2025")</f>
        <v/>
      </c>
      <c r="X511">
        <f>HYPERLINK("https://klasma.github.io/Logging_2481/tillsyn/A 38916-2025 tillsynsbegäran.docx", "A 38916-2025")</f>
        <v/>
      </c>
      <c r="Y511">
        <f>HYPERLINK("https://klasma.github.io/Logging_2481/tillsynsmail/A 38916-2025 tillsynsbegäran mail.docx", "A 38916-2025")</f>
        <v/>
      </c>
    </row>
    <row r="512" ht="15" customHeight="1">
      <c r="A512" t="inlineStr">
        <is>
          <t>A 47245-2025</t>
        </is>
      </c>
      <c r="B512" s="1" t="n">
        <v>45930</v>
      </c>
      <c r="C512" s="1" t="n">
        <v>45971</v>
      </c>
      <c r="D512" t="inlineStr">
        <is>
          <t>VÄSTERBOTTENS LÄN</t>
        </is>
      </c>
      <c r="E512" t="inlineStr">
        <is>
          <t>VINDELN</t>
        </is>
      </c>
      <c r="G512" t="n">
        <v>10.3</v>
      </c>
      <c r="H512" t="n">
        <v>0</v>
      </c>
      <c r="I512" t="n">
        <v>2</v>
      </c>
      <c r="J512" t="n">
        <v>1</v>
      </c>
      <c r="K512" t="n">
        <v>0</v>
      </c>
      <c r="L512" t="n">
        <v>0</v>
      </c>
      <c r="M512" t="n">
        <v>0</v>
      </c>
      <c r="N512" t="n">
        <v>0</v>
      </c>
      <c r="O512" t="n">
        <v>1</v>
      </c>
      <c r="P512" t="n">
        <v>0</v>
      </c>
      <c r="Q512" t="n">
        <v>3</v>
      </c>
      <c r="R512" s="2" t="inlineStr">
        <is>
          <t>Lunglav
Luddlav
Stuplav</t>
        </is>
      </c>
      <c r="S512">
        <f>HYPERLINK("https://klasma.github.io/Logging_2404/artfynd/A 47245-2025 artfynd.xlsx", "A 47245-2025")</f>
        <v/>
      </c>
      <c r="T512">
        <f>HYPERLINK("https://klasma.github.io/Logging_2404/kartor/A 47245-2025 karta.png", "A 47245-2025")</f>
        <v/>
      </c>
      <c r="V512">
        <f>HYPERLINK("https://klasma.github.io/Logging_2404/klagomål/A 47245-2025 FSC-klagomål.docx", "A 47245-2025")</f>
        <v/>
      </c>
      <c r="W512">
        <f>HYPERLINK("https://klasma.github.io/Logging_2404/klagomålsmail/A 47245-2025 FSC-klagomål mail.docx", "A 47245-2025")</f>
        <v/>
      </c>
      <c r="X512">
        <f>HYPERLINK("https://klasma.github.io/Logging_2404/tillsyn/A 47245-2025 tillsynsbegäran.docx", "A 47245-2025")</f>
        <v/>
      </c>
      <c r="Y512">
        <f>HYPERLINK("https://klasma.github.io/Logging_2404/tillsynsmail/A 47245-2025 tillsynsbegäran mail.docx", "A 47245-2025")</f>
        <v/>
      </c>
    </row>
    <row r="513" ht="15" customHeight="1">
      <c r="A513" t="inlineStr">
        <is>
          <t>A 60434-2022</t>
        </is>
      </c>
      <c r="B513" s="1" t="n">
        <v>44911</v>
      </c>
      <c r="C513" s="1" t="n">
        <v>45971</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4962-2025</t>
        </is>
      </c>
      <c r="B514" s="1" t="n">
        <v>45690.38700231481</v>
      </c>
      <c r="C514" s="1" t="n">
        <v>45971</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45971</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55046-2024</t>
        </is>
      </c>
      <c r="B516" s="1" t="n">
        <v>45618</v>
      </c>
      <c r="C516" s="1" t="n">
        <v>45971</v>
      </c>
      <c r="D516" t="inlineStr">
        <is>
          <t>VÄSTERBOTTENS LÄN</t>
        </is>
      </c>
      <c r="E516" t="inlineStr">
        <is>
          <t>LYCKSELE</t>
        </is>
      </c>
      <c r="G516" t="n">
        <v>2.4</v>
      </c>
      <c r="H516" t="n">
        <v>1</v>
      </c>
      <c r="I516" t="n">
        <v>0</v>
      </c>
      <c r="J516" t="n">
        <v>3</v>
      </c>
      <c r="K516" t="n">
        <v>0</v>
      </c>
      <c r="L516" t="n">
        <v>0</v>
      </c>
      <c r="M516" t="n">
        <v>0</v>
      </c>
      <c r="N516" t="n">
        <v>0</v>
      </c>
      <c r="O516" t="n">
        <v>3</v>
      </c>
      <c r="P516" t="n">
        <v>0</v>
      </c>
      <c r="Q516" t="n">
        <v>3</v>
      </c>
      <c r="R516" s="2" t="inlineStr">
        <is>
          <t>Gammelgransskål
Tretåig hackspett
Vitgrynig nållav</t>
        </is>
      </c>
      <c r="S516">
        <f>HYPERLINK("https://klasma.github.io/Logging_2481/artfynd/A 55046-2024 artfynd.xlsx", "A 55046-2024")</f>
        <v/>
      </c>
      <c r="T516">
        <f>HYPERLINK("https://klasma.github.io/Logging_2481/kartor/A 55046-2024 karta.png", "A 55046-2024")</f>
        <v/>
      </c>
      <c r="V516">
        <f>HYPERLINK("https://klasma.github.io/Logging_2481/klagomål/A 55046-2024 FSC-klagomål.docx", "A 55046-2024")</f>
        <v/>
      </c>
      <c r="W516">
        <f>HYPERLINK("https://klasma.github.io/Logging_2481/klagomålsmail/A 55046-2024 FSC-klagomål mail.docx", "A 55046-2024")</f>
        <v/>
      </c>
      <c r="X516">
        <f>HYPERLINK("https://klasma.github.io/Logging_2481/tillsyn/A 55046-2024 tillsynsbegäran.docx", "A 55046-2024")</f>
        <v/>
      </c>
      <c r="Y516">
        <f>HYPERLINK("https://klasma.github.io/Logging_2481/tillsynsmail/A 55046-2024 tillsynsbegäran mail.docx", "A 55046-2024")</f>
        <v/>
      </c>
      <c r="Z516">
        <f>HYPERLINK("https://klasma.github.io/Logging_2481/fåglar/A 55046-2024 prioriterade fågelarter.docx", "A 55046-2024")</f>
        <v/>
      </c>
    </row>
    <row r="517" ht="15" customHeight="1">
      <c r="A517" t="inlineStr">
        <is>
          <t>A 21672-2023</t>
        </is>
      </c>
      <c r="B517" s="1" t="n">
        <v>45063</v>
      </c>
      <c r="C517" s="1" t="n">
        <v>45971</v>
      </c>
      <c r="D517" t="inlineStr">
        <is>
          <t>VÄSTERBOTTENS LÄN</t>
        </is>
      </c>
      <c r="E517" t="inlineStr">
        <is>
          <t>DOROTEA</t>
        </is>
      </c>
      <c r="F517" t="inlineStr">
        <is>
          <t>SCA</t>
        </is>
      </c>
      <c r="G517" t="n">
        <v>7.4</v>
      </c>
      <c r="H517" t="n">
        <v>0</v>
      </c>
      <c r="I517" t="n">
        <v>0</v>
      </c>
      <c r="J517" t="n">
        <v>3</v>
      </c>
      <c r="K517" t="n">
        <v>0</v>
      </c>
      <c r="L517" t="n">
        <v>0</v>
      </c>
      <c r="M517" t="n">
        <v>0</v>
      </c>
      <c r="N517" t="n">
        <v>0</v>
      </c>
      <c r="O517" t="n">
        <v>3</v>
      </c>
      <c r="P517" t="n">
        <v>0</v>
      </c>
      <c r="Q517" t="n">
        <v>3</v>
      </c>
      <c r="R517" s="2" t="inlineStr">
        <is>
          <t>Doftskinn
Skrovellav
Ullticka</t>
        </is>
      </c>
      <c r="S517">
        <f>HYPERLINK("https://klasma.github.io/Logging_2425/artfynd/A 21672-2023 artfynd.xlsx", "A 21672-2023")</f>
        <v/>
      </c>
      <c r="T517">
        <f>HYPERLINK("https://klasma.github.io/Logging_2425/kartor/A 21672-2023 karta.png", "A 21672-2023")</f>
        <v/>
      </c>
      <c r="V517">
        <f>HYPERLINK("https://klasma.github.io/Logging_2425/klagomål/A 21672-2023 FSC-klagomål.docx", "A 21672-2023")</f>
        <v/>
      </c>
      <c r="W517">
        <f>HYPERLINK("https://klasma.github.io/Logging_2425/klagomålsmail/A 21672-2023 FSC-klagomål mail.docx", "A 21672-2023")</f>
        <v/>
      </c>
      <c r="X517">
        <f>HYPERLINK("https://klasma.github.io/Logging_2425/tillsyn/A 21672-2023 tillsynsbegäran.docx", "A 21672-2023")</f>
        <v/>
      </c>
      <c r="Y517">
        <f>HYPERLINK("https://klasma.github.io/Logging_2425/tillsynsmail/A 21672-2023 tillsynsbegäran mail.docx", "A 21672-2023")</f>
        <v/>
      </c>
    </row>
    <row r="518" ht="15" customHeight="1">
      <c r="A518" t="inlineStr">
        <is>
          <t>A 58525-2023</t>
        </is>
      </c>
      <c r="B518" s="1" t="n">
        <v>45251.38579861111</v>
      </c>
      <c r="C518" s="1" t="n">
        <v>45971</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54780-2024</t>
        </is>
      </c>
      <c r="B519" s="1" t="n">
        <v>45618</v>
      </c>
      <c r="C519" s="1" t="n">
        <v>45971</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45971</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65382-2021</t>
        </is>
      </c>
      <c r="B521" s="1" t="n">
        <v>44515</v>
      </c>
      <c r="C521" s="1" t="n">
        <v>45971</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40987-2022</t>
        </is>
      </c>
      <c r="B522" s="1" t="n">
        <v>44823</v>
      </c>
      <c r="C522" s="1" t="n">
        <v>45971</v>
      </c>
      <c r="D522" t="inlineStr">
        <is>
          <t>VÄSTERBOTTENS LÄN</t>
        </is>
      </c>
      <c r="E522" t="inlineStr">
        <is>
          <t>SKELLEFTEÅ</t>
        </is>
      </c>
      <c r="G522" t="n">
        <v>7.1</v>
      </c>
      <c r="H522" t="n">
        <v>0</v>
      </c>
      <c r="I522" t="n">
        <v>2</v>
      </c>
      <c r="J522" t="n">
        <v>1</v>
      </c>
      <c r="K522" t="n">
        <v>0</v>
      </c>
      <c r="L522" t="n">
        <v>0</v>
      </c>
      <c r="M522" t="n">
        <v>0</v>
      </c>
      <c r="N522" t="n">
        <v>0</v>
      </c>
      <c r="O522" t="n">
        <v>1</v>
      </c>
      <c r="P522" t="n">
        <v>0</v>
      </c>
      <c r="Q522" t="n">
        <v>3</v>
      </c>
      <c r="R522" s="2" t="inlineStr">
        <is>
          <t>Blå taggsvamp
Bårdlav
Norrlandslav</t>
        </is>
      </c>
      <c r="S522">
        <f>HYPERLINK("https://klasma.github.io/Logging_2482/artfynd/A 40987-2022 artfynd.xlsx", "A 40987-2022")</f>
        <v/>
      </c>
      <c r="T522">
        <f>HYPERLINK("https://klasma.github.io/Logging_2482/kartor/A 40987-2022 karta.png", "A 40987-2022")</f>
        <v/>
      </c>
      <c r="V522">
        <f>HYPERLINK("https://klasma.github.io/Logging_2482/klagomål/A 40987-2022 FSC-klagomål.docx", "A 40987-2022")</f>
        <v/>
      </c>
      <c r="W522">
        <f>HYPERLINK("https://klasma.github.io/Logging_2482/klagomålsmail/A 40987-2022 FSC-klagomål mail.docx", "A 40987-2022")</f>
        <v/>
      </c>
      <c r="X522">
        <f>HYPERLINK("https://klasma.github.io/Logging_2482/tillsyn/A 40987-2022 tillsynsbegäran.docx", "A 40987-2022")</f>
        <v/>
      </c>
      <c r="Y522">
        <f>HYPERLINK("https://klasma.github.io/Logging_2482/tillsynsmail/A 40987-2022 tillsynsbegäran mail.docx", "A 40987-2022")</f>
        <v/>
      </c>
    </row>
    <row r="523" ht="15" customHeight="1">
      <c r="A523" t="inlineStr">
        <is>
          <t>A 54566-2024</t>
        </is>
      </c>
      <c r="B523" s="1" t="n">
        <v>45617.63777777777</v>
      </c>
      <c r="C523" s="1" t="n">
        <v>45971</v>
      </c>
      <c r="D523" t="inlineStr">
        <is>
          <t>VÄSTERBOTTENS LÄN</t>
        </is>
      </c>
      <c r="E523" t="inlineStr">
        <is>
          <t>LYCKSELE</t>
        </is>
      </c>
      <c r="F523" t="inlineStr">
        <is>
          <t>Sveaskog</t>
        </is>
      </c>
      <c r="G523" t="n">
        <v>6.7</v>
      </c>
      <c r="H523" t="n">
        <v>0</v>
      </c>
      <c r="I523" t="n">
        <v>2</v>
      </c>
      <c r="J523" t="n">
        <v>1</v>
      </c>
      <c r="K523" t="n">
        <v>0</v>
      </c>
      <c r="L523" t="n">
        <v>0</v>
      </c>
      <c r="M523" t="n">
        <v>0</v>
      </c>
      <c r="N523" t="n">
        <v>0</v>
      </c>
      <c r="O523" t="n">
        <v>1</v>
      </c>
      <c r="P523" t="n">
        <v>0</v>
      </c>
      <c r="Q523" t="n">
        <v>3</v>
      </c>
      <c r="R523" s="2" t="inlineStr">
        <is>
          <t>Orange taggsvamp
Dropptaggsvamp
Vedticka</t>
        </is>
      </c>
      <c r="S523">
        <f>HYPERLINK("https://klasma.github.io/Logging_2481/artfynd/A 54566-2024 artfynd.xlsx", "A 54566-2024")</f>
        <v/>
      </c>
      <c r="T523">
        <f>HYPERLINK("https://klasma.github.io/Logging_2481/kartor/A 54566-2024 karta.png", "A 54566-2024")</f>
        <v/>
      </c>
      <c r="V523">
        <f>HYPERLINK("https://klasma.github.io/Logging_2481/klagomål/A 54566-2024 FSC-klagomål.docx", "A 54566-2024")</f>
        <v/>
      </c>
      <c r="W523">
        <f>HYPERLINK("https://klasma.github.io/Logging_2481/klagomålsmail/A 54566-2024 FSC-klagomål mail.docx", "A 54566-2024")</f>
        <v/>
      </c>
      <c r="X523">
        <f>HYPERLINK("https://klasma.github.io/Logging_2481/tillsyn/A 54566-2024 tillsynsbegäran.docx", "A 54566-2024")</f>
        <v/>
      </c>
      <c r="Y523">
        <f>HYPERLINK("https://klasma.github.io/Logging_2481/tillsynsmail/A 54566-2024 tillsynsbegäran mail.docx", "A 54566-2024")</f>
        <v/>
      </c>
    </row>
    <row r="524" ht="15" customHeight="1">
      <c r="A524" t="inlineStr">
        <is>
          <t>A 60422-2024</t>
        </is>
      </c>
      <c r="B524" s="1" t="n">
        <v>45643.54054398148</v>
      </c>
      <c r="C524" s="1" t="n">
        <v>45971</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41646-2024</t>
        </is>
      </c>
      <c r="B525" s="1" t="n">
        <v>45560</v>
      </c>
      <c r="C525" s="1" t="n">
        <v>45971</v>
      </c>
      <c r="D525" t="inlineStr">
        <is>
          <t>VÄSTERBOTTENS LÄN</t>
        </is>
      </c>
      <c r="E525" t="inlineStr">
        <is>
          <t>VILHELMINA</t>
        </is>
      </c>
      <c r="F525" t="inlineStr">
        <is>
          <t>SCA</t>
        </is>
      </c>
      <c r="G525" t="n">
        <v>4.8</v>
      </c>
      <c r="H525" t="n">
        <v>1</v>
      </c>
      <c r="I525" t="n">
        <v>0</v>
      </c>
      <c r="J525" t="n">
        <v>3</v>
      </c>
      <c r="K525" t="n">
        <v>0</v>
      </c>
      <c r="L525" t="n">
        <v>0</v>
      </c>
      <c r="M525" t="n">
        <v>0</v>
      </c>
      <c r="N525" t="n">
        <v>0</v>
      </c>
      <c r="O525" t="n">
        <v>3</v>
      </c>
      <c r="P525" t="n">
        <v>0</v>
      </c>
      <c r="Q525" t="n">
        <v>3</v>
      </c>
      <c r="R525" s="2" t="inlineStr">
        <is>
          <t>Garnlav
Tretåig hackspett
Ullticka</t>
        </is>
      </c>
      <c r="S525">
        <f>HYPERLINK("https://klasma.github.io/Logging_2462/artfynd/A 41646-2024 artfynd.xlsx", "A 41646-2024")</f>
        <v/>
      </c>
      <c r="T525">
        <f>HYPERLINK("https://klasma.github.io/Logging_2462/kartor/A 41646-2024 karta.png", "A 41646-2024")</f>
        <v/>
      </c>
      <c r="V525">
        <f>HYPERLINK("https://klasma.github.io/Logging_2462/klagomål/A 41646-2024 FSC-klagomål.docx", "A 41646-2024")</f>
        <v/>
      </c>
      <c r="W525">
        <f>HYPERLINK("https://klasma.github.io/Logging_2462/klagomålsmail/A 41646-2024 FSC-klagomål mail.docx", "A 41646-2024")</f>
        <v/>
      </c>
      <c r="X525">
        <f>HYPERLINK("https://klasma.github.io/Logging_2462/tillsyn/A 41646-2024 tillsynsbegäran.docx", "A 41646-2024")</f>
        <v/>
      </c>
      <c r="Y525">
        <f>HYPERLINK("https://klasma.github.io/Logging_2462/tillsynsmail/A 41646-2024 tillsynsbegäran mail.docx", "A 41646-2024")</f>
        <v/>
      </c>
      <c r="Z525">
        <f>HYPERLINK("https://klasma.github.io/Logging_2462/fåglar/A 41646-2024 prioriterade fågelarter.docx", "A 41646-2024")</f>
        <v/>
      </c>
    </row>
    <row r="526" ht="15" customHeight="1">
      <c r="A526" t="inlineStr">
        <is>
          <t>A 9157-2023</t>
        </is>
      </c>
      <c r="B526" s="1" t="n">
        <v>44972</v>
      </c>
      <c r="C526" s="1" t="n">
        <v>45971</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45409-2024</t>
        </is>
      </c>
      <c r="B527" s="1" t="n">
        <v>45576.58877314815</v>
      </c>
      <c r="C527" s="1" t="n">
        <v>45971</v>
      </c>
      <c r="D527" t="inlineStr">
        <is>
          <t>VÄSTERBOTTENS LÄN</t>
        </is>
      </c>
      <c r="E527" t="inlineStr">
        <is>
          <t>MALÅ</t>
        </is>
      </c>
      <c r="F527" t="inlineStr">
        <is>
          <t>Sveaskog</t>
        </is>
      </c>
      <c r="G527" t="n">
        <v>17.5</v>
      </c>
      <c r="H527" t="n">
        <v>0</v>
      </c>
      <c r="I527" t="n">
        <v>2</v>
      </c>
      <c r="J527" t="n">
        <v>0</v>
      </c>
      <c r="K527" t="n">
        <v>1</v>
      </c>
      <c r="L527" t="n">
        <v>0</v>
      </c>
      <c r="M527" t="n">
        <v>0</v>
      </c>
      <c r="N527" t="n">
        <v>0</v>
      </c>
      <c r="O527" t="n">
        <v>1</v>
      </c>
      <c r="P527" t="n">
        <v>1</v>
      </c>
      <c r="Q527" t="n">
        <v>3</v>
      </c>
      <c r="R527" s="2" t="inlineStr">
        <is>
          <t>Tajgaskinn
Bronshjon
Dropptaggsvamp</t>
        </is>
      </c>
      <c r="S527">
        <f>HYPERLINK("https://klasma.github.io/Logging_2418/artfynd/A 45409-2024 artfynd.xlsx", "A 45409-2024")</f>
        <v/>
      </c>
      <c r="T527">
        <f>HYPERLINK("https://klasma.github.io/Logging_2418/kartor/A 45409-2024 karta.png", "A 45409-2024")</f>
        <v/>
      </c>
      <c r="V527">
        <f>HYPERLINK("https://klasma.github.io/Logging_2418/klagomål/A 45409-2024 FSC-klagomål.docx", "A 45409-2024")</f>
        <v/>
      </c>
      <c r="W527">
        <f>HYPERLINK("https://klasma.github.io/Logging_2418/klagomålsmail/A 45409-2024 FSC-klagomål mail.docx", "A 45409-2024")</f>
        <v/>
      </c>
      <c r="X527">
        <f>HYPERLINK("https://klasma.github.io/Logging_2418/tillsyn/A 45409-2024 tillsynsbegäran.docx", "A 45409-2024")</f>
        <v/>
      </c>
      <c r="Y527">
        <f>HYPERLINK("https://klasma.github.io/Logging_2418/tillsynsmail/A 45409-2024 tillsynsbegäran mail.docx", "A 45409-2024")</f>
        <v/>
      </c>
    </row>
    <row r="528" ht="15" customHeight="1">
      <c r="A528" t="inlineStr">
        <is>
          <t>A 44074-2023</t>
        </is>
      </c>
      <c r="B528" s="1" t="n">
        <v>45188</v>
      </c>
      <c r="C528" s="1" t="n">
        <v>45971</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53808-2023</t>
        </is>
      </c>
      <c r="B529" s="1" t="n">
        <v>45231</v>
      </c>
      <c r="C529" s="1" t="n">
        <v>45971</v>
      </c>
      <c r="D529" t="inlineStr">
        <is>
          <t>VÄSTERBOTTENS LÄN</t>
        </is>
      </c>
      <c r="E529" t="inlineStr">
        <is>
          <t>LYCKSELE</t>
        </is>
      </c>
      <c r="F529" t="inlineStr">
        <is>
          <t>Sveaskog</t>
        </is>
      </c>
      <c r="G529" t="n">
        <v>1.8</v>
      </c>
      <c r="H529" t="n">
        <v>0</v>
      </c>
      <c r="I529" t="n">
        <v>2</v>
      </c>
      <c r="J529" t="n">
        <v>1</v>
      </c>
      <c r="K529" t="n">
        <v>0</v>
      </c>
      <c r="L529" t="n">
        <v>0</v>
      </c>
      <c r="M529" t="n">
        <v>0</v>
      </c>
      <c r="N529" t="n">
        <v>0</v>
      </c>
      <c r="O529" t="n">
        <v>1</v>
      </c>
      <c r="P529" t="n">
        <v>0</v>
      </c>
      <c r="Q529" t="n">
        <v>3</v>
      </c>
      <c r="R529" s="2" t="inlineStr">
        <is>
          <t>Vedflamlav
Brandticka
Gullgröppa</t>
        </is>
      </c>
      <c r="S529">
        <f>HYPERLINK("https://klasma.github.io/Logging_2481/artfynd/A 53808-2023 artfynd.xlsx", "A 53808-2023")</f>
        <v/>
      </c>
      <c r="T529">
        <f>HYPERLINK("https://klasma.github.io/Logging_2481/kartor/A 53808-2023 karta.png", "A 53808-2023")</f>
        <v/>
      </c>
      <c r="V529">
        <f>HYPERLINK("https://klasma.github.io/Logging_2481/klagomål/A 53808-2023 FSC-klagomål.docx", "A 53808-2023")</f>
        <v/>
      </c>
      <c r="W529">
        <f>HYPERLINK("https://klasma.github.io/Logging_2481/klagomålsmail/A 53808-2023 FSC-klagomål mail.docx", "A 53808-2023")</f>
        <v/>
      </c>
      <c r="X529">
        <f>HYPERLINK("https://klasma.github.io/Logging_2481/tillsyn/A 53808-2023 tillsynsbegäran.docx", "A 53808-2023")</f>
        <v/>
      </c>
      <c r="Y529">
        <f>HYPERLINK("https://klasma.github.io/Logging_2481/tillsynsmail/A 53808-2023 tillsynsbegäran mail.docx", "A 53808-2023")</f>
        <v/>
      </c>
    </row>
    <row r="530" ht="15" customHeight="1">
      <c r="A530" t="inlineStr">
        <is>
          <t>A 60737-2024</t>
        </is>
      </c>
      <c r="B530" s="1" t="n">
        <v>45644</v>
      </c>
      <c r="C530" s="1" t="n">
        <v>45971</v>
      </c>
      <c r="D530" t="inlineStr">
        <is>
          <t>VÄSTERBOTTENS LÄN</t>
        </is>
      </c>
      <c r="E530" t="inlineStr">
        <is>
          <t>VILHELMINA</t>
        </is>
      </c>
      <c r="G530" t="n">
        <v>199.5</v>
      </c>
      <c r="H530" t="n">
        <v>3</v>
      </c>
      <c r="I530" t="n">
        <v>0</v>
      </c>
      <c r="J530" t="n">
        <v>2</v>
      </c>
      <c r="K530" t="n">
        <v>0</v>
      </c>
      <c r="L530" t="n">
        <v>0</v>
      </c>
      <c r="M530" t="n">
        <v>0</v>
      </c>
      <c r="N530" t="n">
        <v>0</v>
      </c>
      <c r="O530" t="n">
        <v>2</v>
      </c>
      <c r="P530" t="n">
        <v>0</v>
      </c>
      <c r="Q530" t="n">
        <v>3</v>
      </c>
      <c r="R530" s="2" t="inlineStr">
        <is>
          <t>Alfågel
Järpe
Skogsrör</t>
        </is>
      </c>
      <c r="S530">
        <f>HYPERLINK("https://klasma.github.io/Logging_2462/artfynd/A 60737-2024 artfynd.xlsx", "A 60737-2024")</f>
        <v/>
      </c>
      <c r="T530">
        <f>HYPERLINK("https://klasma.github.io/Logging_2462/kartor/A 60737-2024 karta.png", "A 60737-2024")</f>
        <v/>
      </c>
      <c r="V530">
        <f>HYPERLINK("https://klasma.github.io/Logging_2462/klagomål/A 60737-2024 FSC-klagomål.docx", "A 60737-2024")</f>
        <v/>
      </c>
      <c r="W530">
        <f>HYPERLINK("https://klasma.github.io/Logging_2462/klagomålsmail/A 60737-2024 FSC-klagomål mail.docx", "A 60737-2024")</f>
        <v/>
      </c>
      <c r="X530">
        <f>HYPERLINK("https://klasma.github.io/Logging_2462/tillsyn/A 60737-2024 tillsynsbegäran.docx", "A 60737-2024")</f>
        <v/>
      </c>
      <c r="Y530">
        <f>HYPERLINK("https://klasma.github.io/Logging_2462/tillsynsmail/A 60737-2024 tillsynsbegäran mail.docx", "A 60737-2024")</f>
        <v/>
      </c>
      <c r="Z530">
        <f>HYPERLINK("https://klasma.github.io/Logging_2462/fåglar/A 60737-2024 prioriterade fågelarter.docx", "A 60737-2024")</f>
        <v/>
      </c>
    </row>
    <row r="531" ht="15" customHeight="1">
      <c r="A531" t="inlineStr">
        <is>
          <t>A 65240-2023</t>
        </is>
      </c>
      <c r="B531" s="1" t="n">
        <v>45289</v>
      </c>
      <c r="C531" s="1" t="n">
        <v>45971</v>
      </c>
      <c r="D531" t="inlineStr">
        <is>
          <t>VÄSTERBOTTENS LÄN</t>
        </is>
      </c>
      <c r="E531" t="inlineStr">
        <is>
          <t>NORSJÖ</t>
        </is>
      </c>
      <c r="G531" t="n">
        <v>4.8</v>
      </c>
      <c r="H531" t="n">
        <v>1</v>
      </c>
      <c r="I531" t="n">
        <v>0</v>
      </c>
      <c r="J531" t="n">
        <v>3</v>
      </c>
      <c r="K531" t="n">
        <v>0</v>
      </c>
      <c r="L531" t="n">
        <v>0</v>
      </c>
      <c r="M531" t="n">
        <v>0</v>
      </c>
      <c r="N531" t="n">
        <v>0</v>
      </c>
      <c r="O531" t="n">
        <v>3</v>
      </c>
      <c r="P531" t="n">
        <v>0</v>
      </c>
      <c r="Q531" t="n">
        <v>3</v>
      </c>
      <c r="R531" s="2" t="inlineStr">
        <is>
          <t>Granticka
Spillkråka
Ullticka</t>
        </is>
      </c>
      <c r="S531">
        <f>HYPERLINK("https://klasma.github.io/Logging_2417/artfynd/A 65240-2023 artfynd.xlsx", "A 65240-2023")</f>
        <v/>
      </c>
      <c r="T531">
        <f>HYPERLINK("https://klasma.github.io/Logging_2417/kartor/A 65240-2023 karta.png", "A 65240-2023")</f>
        <v/>
      </c>
      <c r="V531">
        <f>HYPERLINK("https://klasma.github.io/Logging_2417/klagomål/A 65240-2023 FSC-klagomål.docx", "A 65240-2023")</f>
        <v/>
      </c>
      <c r="W531">
        <f>HYPERLINK("https://klasma.github.io/Logging_2417/klagomålsmail/A 65240-2023 FSC-klagomål mail.docx", "A 65240-2023")</f>
        <v/>
      </c>
      <c r="X531">
        <f>HYPERLINK("https://klasma.github.io/Logging_2417/tillsyn/A 65240-2023 tillsynsbegäran.docx", "A 65240-2023")</f>
        <v/>
      </c>
      <c r="Y531">
        <f>HYPERLINK("https://klasma.github.io/Logging_2417/tillsynsmail/A 65240-2023 tillsynsbegäran mail.docx", "A 65240-2023")</f>
        <v/>
      </c>
      <c r="Z531">
        <f>HYPERLINK("https://klasma.github.io/Logging_2417/fåglar/A 65240-2023 prioriterade fågelarter.docx", "A 65240-2023")</f>
        <v/>
      </c>
    </row>
    <row r="532" ht="15" customHeight="1">
      <c r="A532" t="inlineStr">
        <is>
          <t>A 56435-2023</t>
        </is>
      </c>
      <c r="B532" s="1" t="n">
        <v>45243</v>
      </c>
      <c r="C532" s="1" t="n">
        <v>45971</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29917-2025</t>
        </is>
      </c>
      <c r="B533" s="1" t="n">
        <v>45826.41837962963</v>
      </c>
      <c r="C533" s="1" t="n">
        <v>45971</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57357-2024</t>
        </is>
      </c>
      <c r="B534" s="1" t="n">
        <v>45629.65383101852</v>
      </c>
      <c r="C534" s="1" t="n">
        <v>45971</v>
      </c>
      <c r="D534" t="inlineStr">
        <is>
          <t>VÄSTERBOTTENS LÄN</t>
        </is>
      </c>
      <c r="E534" t="inlineStr">
        <is>
          <t>LYCKSELE</t>
        </is>
      </c>
      <c r="F534" t="inlineStr">
        <is>
          <t>Sveaskog</t>
        </is>
      </c>
      <c r="G534" t="n">
        <v>9.699999999999999</v>
      </c>
      <c r="H534" t="n">
        <v>0</v>
      </c>
      <c r="I534" t="n">
        <v>0</v>
      </c>
      <c r="J534" t="n">
        <v>3</v>
      </c>
      <c r="K534" t="n">
        <v>0</v>
      </c>
      <c r="L534" t="n">
        <v>0</v>
      </c>
      <c r="M534" t="n">
        <v>0</v>
      </c>
      <c r="N534" t="n">
        <v>0</v>
      </c>
      <c r="O534" t="n">
        <v>3</v>
      </c>
      <c r="P534" t="n">
        <v>0</v>
      </c>
      <c r="Q534" t="n">
        <v>3</v>
      </c>
      <c r="R534" s="2" t="inlineStr">
        <is>
          <t>Doftskinn
Gammelgransskål
Garnlav</t>
        </is>
      </c>
      <c r="S534">
        <f>HYPERLINK("https://klasma.github.io/Logging_2481/artfynd/A 57357-2024 artfynd.xlsx", "A 57357-2024")</f>
        <v/>
      </c>
      <c r="T534">
        <f>HYPERLINK("https://klasma.github.io/Logging_2481/kartor/A 57357-2024 karta.png", "A 57357-2024")</f>
        <v/>
      </c>
      <c r="V534">
        <f>HYPERLINK("https://klasma.github.io/Logging_2481/klagomål/A 57357-2024 FSC-klagomål.docx", "A 57357-2024")</f>
        <v/>
      </c>
      <c r="W534">
        <f>HYPERLINK("https://klasma.github.io/Logging_2481/klagomålsmail/A 57357-2024 FSC-klagomål mail.docx", "A 57357-2024")</f>
        <v/>
      </c>
      <c r="X534">
        <f>HYPERLINK("https://klasma.github.io/Logging_2481/tillsyn/A 57357-2024 tillsynsbegäran.docx", "A 57357-2024")</f>
        <v/>
      </c>
      <c r="Y534">
        <f>HYPERLINK("https://klasma.github.io/Logging_2481/tillsynsmail/A 57357-2024 tillsynsbegäran mail.docx", "A 57357-2024")</f>
        <v/>
      </c>
    </row>
    <row r="535" ht="15" customHeight="1">
      <c r="A535" t="inlineStr">
        <is>
          <t>A 20752-2025</t>
        </is>
      </c>
      <c r="B535" s="1" t="n">
        <v>45776.56769675926</v>
      </c>
      <c r="C535" s="1" t="n">
        <v>45971</v>
      </c>
      <c r="D535" t="inlineStr">
        <is>
          <t>VÄSTERBOTTENS LÄN</t>
        </is>
      </c>
      <c r="E535" t="inlineStr">
        <is>
          <t>ROBERTSFORS</t>
        </is>
      </c>
      <c r="F535" t="inlineStr">
        <is>
          <t>Holmen skog AB</t>
        </is>
      </c>
      <c r="G535" t="n">
        <v>2.9</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20752-2025 artfynd.xlsx", "A 20752-2025")</f>
        <v/>
      </c>
      <c r="T535">
        <f>HYPERLINK("https://klasma.github.io/Logging_2409/kartor/A 20752-2025 karta.png", "A 20752-2025")</f>
        <v/>
      </c>
      <c r="V535">
        <f>HYPERLINK("https://klasma.github.io/Logging_2409/klagomål/A 20752-2025 FSC-klagomål.docx", "A 20752-2025")</f>
        <v/>
      </c>
      <c r="W535">
        <f>HYPERLINK("https://klasma.github.io/Logging_2409/klagomålsmail/A 20752-2025 FSC-klagomål mail.docx", "A 20752-2025")</f>
        <v/>
      </c>
      <c r="X535">
        <f>HYPERLINK("https://klasma.github.io/Logging_2409/tillsyn/A 20752-2025 tillsynsbegäran.docx", "A 20752-2025")</f>
        <v/>
      </c>
      <c r="Y535">
        <f>HYPERLINK("https://klasma.github.io/Logging_2409/tillsynsmail/A 20752-2025 tillsynsbegäran mail.docx", "A 20752-2025")</f>
        <v/>
      </c>
      <c r="Z535">
        <f>HYPERLINK("https://klasma.github.io/Logging_2409/fåglar/A 20752-2025 prioriterade fågelarter.docx", "A 20752-2025")</f>
        <v/>
      </c>
    </row>
    <row r="536" ht="15" customHeight="1">
      <c r="A536" t="inlineStr">
        <is>
          <t>A 52738-2023</t>
        </is>
      </c>
      <c r="B536" s="1" t="n">
        <v>45225</v>
      </c>
      <c r="C536" s="1" t="n">
        <v>45971</v>
      </c>
      <c r="D536" t="inlineStr">
        <is>
          <t>VÄSTERBOTTENS LÄN</t>
        </is>
      </c>
      <c r="E536" t="inlineStr">
        <is>
          <t>DOROTEA</t>
        </is>
      </c>
      <c r="F536" t="inlineStr">
        <is>
          <t>SCA</t>
        </is>
      </c>
      <c r="G536" t="n">
        <v>8.800000000000001</v>
      </c>
      <c r="H536" t="n">
        <v>2</v>
      </c>
      <c r="I536" t="n">
        <v>1</v>
      </c>
      <c r="J536" t="n">
        <v>0</v>
      </c>
      <c r="K536" t="n">
        <v>1</v>
      </c>
      <c r="L536" t="n">
        <v>0</v>
      </c>
      <c r="M536" t="n">
        <v>0</v>
      </c>
      <c r="N536" t="n">
        <v>0</v>
      </c>
      <c r="O536" t="n">
        <v>1</v>
      </c>
      <c r="P536" t="n">
        <v>1</v>
      </c>
      <c r="Q536" t="n">
        <v>3</v>
      </c>
      <c r="R536" s="2" t="inlineStr">
        <is>
          <t>Doftticka
Trådticka
Tjäder</t>
        </is>
      </c>
      <c r="S536">
        <f>HYPERLINK("https://klasma.github.io/Logging_2425/artfynd/A 52738-2023 artfynd.xlsx", "A 52738-2023")</f>
        <v/>
      </c>
      <c r="T536">
        <f>HYPERLINK("https://klasma.github.io/Logging_2425/kartor/A 52738-2023 karta.png", "A 52738-2023")</f>
        <v/>
      </c>
      <c r="V536">
        <f>HYPERLINK("https://klasma.github.io/Logging_2425/klagomål/A 52738-2023 FSC-klagomål.docx", "A 52738-2023")</f>
        <v/>
      </c>
      <c r="W536">
        <f>HYPERLINK("https://klasma.github.io/Logging_2425/klagomålsmail/A 52738-2023 FSC-klagomål mail.docx", "A 52738-2023")</f>
        <v/>
      </c>
      <c r="X536">
        <f>HYPERLINK("https://klasma.github.io/Logging_2425/tillsyn/A 52738-2023 tillsynsbegäran.docx", "A 52738-2023")</f>
        <v/>
      </c>
      <c r="Y536">
        <f>HYPERLINK("https://klasma.github.io/Logging_2425/tillsynsmail/A 52738-2023 tillsynsbegäran mail.docx", "A 52738-2023")</f>
        <v/>
      </c>
      <c r="Z536">
        <f>HYPERLINK("https://klasma.github.io/Logging_2425/fåglar/A 52738-2023 prioriterade fågelarter.docx", "A 52738-2023")</f>
        <v/>
      </c>
    </row>
    <row r="537" ht="15" customHeight="1">
      <c r="A537" t="inlineStr">
        <is>
          <t>A 55641-2024</t>
        </is>
      </c>
      <c r="B537" s="1" t="n">
        <v>45622.61625</v>
      </c>
      <c r="C537" s="1" t="n">
        <v>45971</v>
      </c>
      <c r="D537" t="inlineStr">
        <is>
          <t>VÄSTERBOTTENS LÄN</t>
        </is>
      </c>
      <c r="E537" t="inlineStr">
        <is>
          <t>NORSJÖ</t>
        </is>
      </c>
      <c r="F537" t="inlineStr">
        <is>
          <t>Sveaskog</t>
        </is>
      </c>
      <c r="G537" t="n">
        <v>14.6</v>
      </c>
      <c r="H537" t="n">
        <v>0</v>
      </c>
      <c r="I537" t="n">
        <v>0</v>
      </c>
      <c r="J537" t="n">
        <v>3</v>
      </c>
      <c r="K537" t="n">
        <v>0</v>
      </c>
      <c r="L537" t="n">
        <v>0</v>
      </c>
      <c r="M537" t="n">
        <v>0</v>
      </c>
      <c r="N537" t="n">
        <v>0</v>
      </c>
      <c r="O537" t="n">
        <v>3</v>
      </c>
      <c r="P537" t="n">
        <v>0</v>
      </c>
      <c r="Q537" t="n">
        <v>3</v>
      </c>
      <c r="R537" s="2" t="inlineStr">
        <is>
          <t>Garnlav
Granticka
Stjärntagging</t>
        </is>
      </c>
      <c r="S537">
        <f>HYPERLINK("https://klasma.github.io/Logging_2417/artfynd/A 55641-2024 artfynd.xlsx", "A 55641-2024")</f>
        <v/>
      </c>
      <c r="T537">
        <f>HYPERLINK("https://klasma.github.io/Logging_2417/kartor/A 55641-2024 karta.png", "A 55641-2024")</f>
        <v/>
      </c>
      <c r="V537">
        <f>HYPERLINK("https://klasma.github.io/Logging_2417/klagomål/A 55641-2024 FSC-klagomål.docx", "A 55641-2024")</f>
        <v/>
      </c>
      <c r="W537">
        <f>HYPERLINK("https://klasma.github.io/Logging_2417/klagomålsmail/A 55641-2024 FSC-klagomål mail.docx", "A 55641-2024")</f>
        <v/>
      </c>
      <c r="X537">
        <f>HYPERLINK("https://klasma.github.io/Logging_2417/tillsyn/A 55641-2024 tillsynsbegäran.docx", "A 55641-2024")</f>
        <v/>
      </c>
      <c r="Y537">
        <f>HYPERLINK("https://klasma.github.io/Logging_2417/tillsynsmail/A 55641-2024 tillsynsbegäran mail.docx", "A 55641-2024")</f>
        <v/>
      </c>
    </row>
    <row r="538" ht="15" customHeight="1">
      <c r="A538" t="inlineStr">
        <is>
          <t>A 53238-2024</t>
        </is>
      </c>
      <c r="B538" s="1" t="n">
        <v>45613</v>
      </c>
      <c r="C538" s="1" t="n">
        <v>45971</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15591-2023</t>
        </is>
      </c>
      <c r="B539" s="1" t="n">
        <v>45019</v>
      </c>
      <c r="C539" s="1" t="n">
        <v>45971</v>
      </c>
      <c r="D539" t="inlineStr">
        <is>
          <t>VÄSTERBOTTENS LÄN</t>
        </is>
      </c>
      <c r="E539" t="inlineStr">
        <is>
          <t>UMEÅ</t>
        </is>
      </c>
      <c r="F539" t="inlineStr">
        <is>
          <t>Kommuner</t>
        </is>
      </c>
      <c r="G539" t="n">
        <v>1.4</v>
      </c>
      <c r="H539" t="n">
        <v>0</v>
      </c>
      <c r="I539" t="n">
        <v>1</v>
      </c>
      <c r="J539" t="n">
        <v>2</v>
      </c>
      <c r="K539" t="n">
        <v>0</v>
      </c>
      <c r="L539" t="n">
        <v>0</v>
      </c>
      <c r="M539" t="n">
        <v>0</v>
      </c>
      <c r="N539" t="n">
        <v>0</v>
      </c>
      <c r="O539" t="n">
        <v>2</v>
      </c>
      <c r="P539" t="n">
        <v>0</v>
      </c>
      <c r="Q539" t="n">
        <v>3</v>
      </c>
      <c r="R539" s="2" t="inlineStr">
        <is>
          <t>Garnlav
Granticka
Vedticka</t>
        </is>
      </c>
      <c r="S539">
        <f>HYPERLINK("https://klasma.github.io/Logging_2480/artfynd/A 15591-2023 artfynd.xlsx", "A 15591-2023")</f>
        <v/>
      </c>
      <c r="T539">
        <f>HYPERLINK("https://klasma.github.io/Logging_2480/kartor/A 15591-2023 karta.png", "A 15591-2023")</f>
        <v/>
      </c>
      <c r="V539">
        <f>HYPERLINK("https://klasma.github.io/Logging_2480/klagomål/A 15591-2023 FSC-klagomål.docx", "A 15591-2023")</f>
        <v/>
      </c>
      <c r="W539">
        <f>HYPERLINK("https://klasma.github.io/Logging_2480/klagomålsmail/A 15591-2023 FSC-klagomål mail.docx", "A 15591-2023")</f>
        <v/>
      </c>
      <c r="X539">
        <f>HYPERLINK("https://klasma.github.io/Logging_2480/tillsyn/A 15591-2023 tillsynsbegäran.docx", "A 15591-2023")</f>
        <v/>
      </c>
      <c r="Y539">
        <f>HYPERLINK("https://klasma.github.io/Logging_2480/tillsynsmail/A 15591-2023 tillsynsbegäran mail.docx", "A 15591-2023")</f>
        <v/>
      </c>
    </row>
    <row r="540" ht="15" customHeight="1">
      <c r="A540" t="inlineStr">
        <is>
          <t>A 22368-2025</t>
        </is>
      </c>
      <c r="B540" s="1" t="n">
        <v>45786.47642361111</v>
      </c>
      <c r="C540" s="1" t="n">
        <v>45971</v>
      </c>
      <c r="D540" t="inlineStr">
        <is>
          <t>VÄSTERBOTTENS LÄN</t>
        </is>
      </c>
      <c r="E540" t="inlineStr">
        <is>
          <t>LYCKSELE</t>
        </is>
      </c>
      <c r="F540" t="inlineStr">
        <is>
          <t>Sveaskog</t>
        </is>
      </c>
      <c r="G540" t="n">
        <v>2.9</v>
      </c>
      <c r="H540" t="n">
        <v>0</v>
      </c>
      <c r="I540" t="n">
        <v>0</v>
      </c>
      <c r="J540" t="n">
        <v>3</v>
      </c>
      <c r="K540" t="n">
        <v>0</v>
      </c>
      <c r="L540" t="n">
        <v>0</v>
      </c>
      <c r="M540" t="n">
        <v>0</v>
      </c>
      <c r="N540" t="n">
        <v>0</v>
      </c>
      <c r="O540" t="n">
        <v>3</v>
      </c>
      <c r="P540" t="n">
        <v>0</v>
      </c>
      <c r="Q540" t="n">
        <v>3</v>
      </c>
      <c r="R540" s="2" t="inlineStr">
        <is>
          <t>Blå taggsvamp
Kolflarnlav
Mörk kolflarnlav</t>
        </is>
      </c>
      <c r="S540">
        <f>HYPERLINK("https://klasma.github.io/Logging_2481/artfynd/A 22368-2025 artfynd.xlsx", "A 22368-2025")</f>
        <v/>
      </c>
      <c r="T540">
        <f>HYPERLINK("https://klasma.github.io/Logging_2481/kartor/A 22368-2025 karta.png", "A 22368-2025")</f>
        <v/>
      </c>
      <c r="V540">
        <f>HYPERLINK("https://klasma.github.io/Logging_2481/klagomål/A 22368-2025 FSC-klagomål.docx", "A 22368-2025")</f>
        <v/>
      </c>
      <c r="W540">
        <f>HYPERLINK("https://klasma.github.io/Logging_2481/klagomålsmail/A 22368-2025 FSC-klagomål mail.docx", "A 22368-2025")</f>
        <v/>
      </c>
      <c r="X540">
        <f>HYPERLINK("https://klasma.github.io/Logging_2481/tillsyn/A 22368-2025 tillsynsbegäran.docx", "A 22368-2025")</f>
        <v/>
      </c>
      <c r="Y540">
        <f>HYPERLINK("https://klasma.github.io/Logging_2481/tillsynsmail/A 22368-2025 tillsynsbegäran mail.docx", "A 22368-2025")</f>
        <v/>
      </c>
    </row>
    <row r="541" ht="15" customHeight="1">
      <c r="A541" t="inlineStr">
        <is>
          <t>A 22123-2025</t>
        </is>
      </c>
      <c r="B541" s="1" t="n">
        <v>45785.52142361111</v>
      </c>
      <c r="C541" s="1" t="n">
        <v>45971</v>
      </c>
      <c r="D541" t="inlineStr">
        <is>
          <t>VÄSTERBOTTENS LÄN</t>
        </is>
      </c>
      <c r="E541" t="inlineStr">
        <is>
          <t>LYCKSELE</t>
        </is>
      </c>
      <c r="F541" t="inlineStr">
        <is>
          <t>Sveaskog</t>
        </is>
      </c>
      <c r="G541" t="n">
        <v>11.2</v>
      </c>
      <c r="H541" t="n">
        <v>0</v>
      </c>
      <c r="I541" t="n">
        <v>1</v>
      </c>
      <c r="J541" t="n">
        <v>2</v>
      </c>
      <c r="K541" t="n">
        <v>0</v>
      </c>
      <c r="L541" t="n">
        <v>0</v>
      </c>
      <c r="M541" t="n">
        <v>0</v>
      </c>
      <c r="N541" t="n">
        <v>0</v>
      </c>
      <c r="O541" t="n">
        <v>2</v>
      </c>
      <c r="P541" t="n">
        <v>0</v>
      </c>
      <c r="Q541" t="n">
        <v>3</v>
      </c>
      <c r="R541" s="2" t="inlineStr">
        <is>
          <t>Blå taggsvamp
Kolflarnlav
Dropptaggsvamp</t>
        </is>
      </c>
      <c r="S541">
        <f>HYPERLINK("https://klasma.github.io/Logging_2481/artfynd/A 22123-2025 artfynd.xlsx", "A 22123-2025")</f>
        <v/>
      </c>
      <c r="T541">
        <f>HYPERLINK("https://klasma.github.io/Logging_2481/kartor/A 22123-2025 karta.png", "A 22123-2025")</f>
        <v/>
      </c>
      <c r="V541">
        <f>HYPERLINK("https://klasma.github.io/Logging_2481/klagomål/A 22123-2025 FSC-klagomål.docx", "A 22123-2025")</f>
        <v/>
      </c>
      <c r="W541">
        <f>HYPERLINK("https://klasma.github.io/Logging_2481/klagomålsmail/A 22123-2025 FSC-klagomål mail.docx", "A 22123-2025")</f>
        <v/>
      </c>
      <c r="X541">
        <f>HYPERLINK("https://klasma.github.io/Logging_2481/tillsyn/A 22123-2025 tillsynsbegäran.docx", "A 22123-2025")</f>
        <v/>
      </c>
      <c r="Y541">
        <f>HYPERLINK("https://klasma.github.io/Logging_2481/tillsynsmail/A 22123-2025 tillsynsbegäran mail.docx", "A 22123-2025")</f>
        <v/>
      </c>
    </row>
    <row r="542" ht="15" customHeight="1">
      <c r="A542" t="inlineStr">
        <is>
          <t>A 44152-2023</t>
        </is>
      </c>
      <c r="B542" s="1" t="n">
        <v>45188.47930555556</v>
      </c>
      <c r="C542" s="1" t="n">
        <v>45971</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23299-2025</t>
        </is>
      </c>
      <c r="B543" s="1" t="n">
        <v>45791.59457175926</v>
      </c>
      <c r="C543" s="1" t="n">
        <v>45971</v>
      </c>
      <c r="D543" t="inlineStr">
        <is>
          <t>VÄSTERBOTTENS LÄN</t>
        </is>
      </c>
      <c r="E543" t="inlineStr">
        <is>
          <t>SKELLEFTEÅ</t>
        </is>
      </c>
      <c r="F543" t="inlineStr">
        <is>
          <t>Holmen skog AB</t>
        </is>
      </c>
      <c r="G543" t="n">
        <v>1.5</v>
      </c>
      <c r="H543" t="n">
        <v>1</v>
      </c>
      <c r="I543" t="n">
        <v>2</v>
      </c>
      <c r="J543" t="n">
        <v>1</v>
      </c>
      <c r="K543" t="n">
        <v>0</v>
      </c>
      <c r="L543" t="n">
        <v>0</v>
      </c>
      <c r="M543" t="n">
        <v>0</v>
      </c>
      <c r="N543" t="n">
        <v>0</v>
      </c>
      <c r="O543" t="n">
        <v>1</v>
      </c>
      <c r="P543" t="n">
        <v>0</v>
      </c>
      <c r="Q543" t="n">
        <v>3</v>
      </c>
      <c r="R543" s="2" t="inlineStr">
        <is>
          <t>Garnlav
Nästlav
Plattlummer</t>
        </is>
      </c>
      <c r="S543">
        <f>HYPERLINK("https://klasma.github.io/Logging_2482/artfynd/A 23299-2025 artfynd.xlsx", "A 23299-2025")</f>
        <v/>
      </c>
      <c r="T543">
        <f>HYPERLINK("https://klasma.github.io/Logging_2482/kartor/A 23299-2025 karta.png", "A 23299-2025")</f>
        <v/>
      </c>
      <c r="V543">
        <f>HYPERLINK("https://klasma.github.io/Logging_2482/klagomål/A 23299-2025 FSC-klagomål.docx", "A 23299-2025")</f>
        <v/>
      </c>
      <c r="W543">
        <f>HYPERLINK("https://klasma.github.io/Logging_2482/klagomålsmail/A 23299-2025 FSC-klagomål mail.docx", "A 23299-2025")</f>
        <v/>
      </c>
      <c r="X543">
        <f>HYPERLINK("https://klasma.github.io/Logging_2482/tillsyn/A 23299-2025 tillsynsbegäran.docx", "A 23299-2025")</f>
        <v/>
      </c>
      <c r="Y543">
        <f>HYPERLINK("https://klasma.github.io/Logging_2482/tillsynsmail/A 23299-2025 tillsynsbegäran mail.docx", "A 23299-2025")</f>
        <v/>
      </c>
    </row>
    <row r="544" ht="15" customHeight="1">
      <c r="A544" t="inlineStr">
        <is>
          <t>A 6922-2025</t>
        </is>
      </c>
      <c r="B544" s="1" t="n">
        <v>45701</v>
      </c>
      <c r="C544" s="1" t="n">
        <v>45971</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23725-2025</t>
        </is>
      </c>
      <c r="B545" s="1" t="n">
        <v>45793.40694444445</v>
      </c>
      <c r="C545" s="1" t="n">
        <v>45971</v>
      </c>
      <c r="D545" t="inlineStr">
        <is>
          <t>VÄSTERBOTTENS LÄN</t>
        </is>
      </c>
      <c r="E545" t="inlineStr">
        <is>
          <t>SKELLEFTEÅ</t>
        </is>
      </c>
      <c r="G545" t="n">
        <v>6.3</v>
      </c>
      <c r="H545" t="n">
        <v>2</v>
      </c>
      <c r="I545" t="n">
        <v>0</v>
      </c>
      <c r="J545" t="n">
        <v>2</v>
      </c>
      <c r="K545" t="n">
        <v>0</v>
      </c>
      <c r="L545" t="n">
        <v>0</v>
      </c>
      <c r="M545" t="n">
        <v>0</v>
      </c>
      <c r="N545" t="n">
        <v>0</v>
      </c>
      <c r="O545" t="n">
        <v>2</v>
      </c>
      <c r="P545" t="n">
        <v>0</v>
      </c>
      <c r="Q545" t="n">
        <v>3</v>
      </c>
      <c r="R545" s="2" t="inlineStr">
        <is>
          <t>Garnlav
Nordfladdermus
Fläcknycklar</t>
        </is>
      </c>
      <c r="S545">
        <f>HYPERLINK("https://klasma.github.io/Logging_2482/artfynd/A 23725-2025 artfynd.xlsx", "A 23725-2025")</f>
        <v/>
      </c>
      <c r="T545">
        <f>HYPERLINK("https://klasma.github.io/Logging_2482/kartor/A 23725-2025 karta.png", "A 23725-2025")</f>
        <v/>
      </c>
      <c r="V545">
        <f>HYPERLINK("https://klasma.github.io/Logging_2482/klagomål/A 23725-2025 FSC-klagomål.docx", "A 23725-2025")</f>
        <v/>
      </c>
      <c r="W545">
        <f>HYPERLINK("https://klasma.github.io/Logging_2482/klagomålsmail/A 23725-2025 FSC-klagomål mail.docx", "A 23725-2025")</f>
        <v/>
      </c>
      <c r="X545">
        <f>HYPERLINK("https://klasma.github.io/Logging_2482/tillsyn/A 23725-2025 tillsynsbegäran.docx", "A 23725-2025")</f>
        <v/>
      </c>
      <c r="Y545">
        <f>HYPERLINK("https://klasma.github.io/Logging_2482/tillsynsmail/A 23725-2025 tillsynsbegäran mail.docx", "A 23725-2025")</f>
        <v/>
      </c>
    </row>
    <row r="546" ht="15" customHeight="1">
      <c r="A546" t="inlineStr">
        <is>
          <t>A 56618-2024</t>
        </is>
      </c>
      <c r="B546" s="1" t="n">
        <v>45625</v>
      </c>
      <c r="C546" s="1" t="n">
        <v>45971</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37889-2023</t>
        </is>
      </c>
      <c r="B547" s="1" t="n">
        <v>45160</v>
      </c>
      <c r="C547" s="1" t="n">
        <v>45971</v>
      </c>
      <c r="D547" t="inlineStr">
        <is>
          <t>VÄSTERBOTTENS LÄN</t>
        </is>
      </c>
      <c r="E547" t="inlineStr">
        <is>
          <t>UMEÅ</t>
        </is>
      </c>
      <c r="F547" t="inlineStr">
        <is>
          <t>Holmen skog AB</t>
        </is>
      </c>
      <c r="G547" t="n">
        <v>1.7</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HYPERLINK("https://klasma.github.io/Logging_2480/artfynd/A 37889-2023 artfynd.xlsx", "A 37889-2023")</f>
        <v/>
      </c>
      <c r="T547">
        <f>HYPERLINK("https://klasma.github.io/Logging_2480/kartor/A 37889-2023 karta.png", "A 37889-2023")</f>
        <v/>
      </c>
      <c r="V547">
        <f>HYPERLINK("https://klasma.github.io/Logging_2480/klagomål/A 37889-2023 FSC-klagomål.docx", "A 37889-2023")</f>
        <v/>
      </c>
      <c r="W547">
        <f>HYPERLINK("https://klasma.github.io/Logging_2480/klagomålsmail/A 37889-2023 FSC-klagomål mail.docx", "A 37889-2023")</f>
        <v/>
      </c>
      <c r="X547">
        <f>HYPERLINK("https://klasma.github.io/Logging_2480/tillsyn/A 37889-2023 tillsynsbegäran.docx", "A 37889-2023")</f>
        <v/>
      </c>
      <c r="Y547">
        <f>HYPERLINK("https://klasma.github.io/Logging_2480/tillsynsmail/A 37889-2023 tillsynsbegäran mail.docx", "A 37889-2023")</f>
        <v/>
      </c>
    </row>
    <row r="548" ht="15" customHeight="1">
      <c r="A548" t="inlineStr">
        <is>
          <t>A 3933-2025</t>
        </is>
      </c>
      <c r="B548" s="1" t="n">
        <v>45684.45954861111</v>
      </c>
      <c r="C548" s="1" t="n">
        <v>45971</v>
      </c>
      <c r="D548" t="inlineStr">
        <is>
          <t>VÄSTERBOTTENS LÄN</t>
        </is>
      </c>
      <c r="E548" t="inlineStr">
        <is>
          <t>UMEÅ</t>
        </is>
      </c>
      <c r="G548" t="n">
        <v>8.300000000000001</v>
      </c>
      <c r="H548" t="n">
        <v>0</v>
      </c>
      <c r="I548" t="n">
        <v>0</v>
      </c>
      <c r="J548" t="n">
        <v>3</v>
      </c>
      <c r="K548" t="n">
        <v>0</v>
      </c>
      <c r="L548" t="n">
        <v>0</v>
      </c>
      <c r="M548" t="n">
        <v>0</v>
      </c>
      <c r="N548" t="n">
        <v>0</v>
      </c>
      <c r="O548" t="n">
        <v>3</v>
      </c>
      <c r="P548" t="n">
        <v>0</v>
      </c>
      <c r="Q548" t="n">
        <v>3</v>
      </c>
      <c r="R548" s="2" t="inlineStr">
        <is>
          <t>Garnlav
Granticka
Mörk kolflarnlav</t>
        </is>
      </c>
      <c r="S548">
        <f>HYPERLINK("https://klasma.github.io/Logging_2480/artfynd/A 3933-2025 artfynd.xlsx", "A 3933-2025")</f>
        <v/>
      </c>
      <c r="T548">
        <f>HYPERLINK("https://klasma.github.io/Logging_2480/kartor/A 3933-2025 karta.png", "A 3933-2025")</f>
        <v/>
      </c>
      <c r="V548">
        <f>HYPERLINK("https://klasma.github.io/Logging_2480/klagomål/A 3933-2025 FSC-klagomål.docx", "A 3933-2025")</f>
        <v/>
      </c>
      <c r="W548">
        <f>HYPERLINK("https://klasma.github.io/Logging_2480/klagomålsmail/A 3933-2025 FSC-klagomål mail.docx", "A 3933-2025")</f>
        <v/>
      </c>
      <c r="X548">
        <f>HYPERLINK("https://klasma.github.io/Logging_2480/tillsyn/A 3933-2025 tillsynsbegäran.docx", "A 3933-2025")</f>
        <v/>
      </c>
      <c r="Y548">
        <f>HYPERLINK("https://klasma.github.io/Logging_2480/tillsynsmail/A 3933-2025 tillsynsbegäran mail.docx", "A 3933-2025")</f>
        <v/>
      </c>
    </row>
    <row r="549" ht="15" customHeight="1">
      <c r="A549" t="inlineStr">
        <is>
          <t>A 26136-2025</t>
        </is>
      </c>
      <c r="B549" s="1" t="n">
        <v>45805.41388888889</v>
      </c>
      <c r="C549" s="1" t="n">
        <v>45971</v>
      </c>
      <c r="D549" t="inlineStr">
        <is>
          <t>VÄSTERBOTTENS LÄN</t>
        </is>
      </c>
      <c r="E549" t="inlineStr">
        <is>
          <t>ÅSELE</t>
        </is>
      </c>
      <c r="F549" t="inlineStr">
        <is>
          <t>Sveaskog</t>
        </is>
      </c>
      <c r="G549" t="n">
        <v>14.1</v>
      </c>
      <c r="H549" t="n">
        <v>0</v>
      </c>
      <c r="I549" t="n">
        <v>1</v>
      </c>
      <c r="J549" t="n">
        <v>2</v>
      </c>
      <c r="K549" t="n">
        <v>0</v>
      </c>
      <c r="L549" t="n">
        <v>0</v>
      </c>
      <c r="M549" t="n">
        <v>0</v>
      </c>
      <c r="N549" t="n">
        <v>0</v>
      </c>
      <c r="O549" t="n">
        <v>2</v>
      </c>
      <c r="P549" t="n">
        <v>0</v>
      </c>
      <c r="Q549" t="n">
        <v>3</v>
      </c>
      <c r="R549" s="2" t="inlineStr">
        <is>
          <t>Lunglav
Skrovellav
Bårdlav</t>
        </is>
      </c>
      <c r="S549">
        <f>HYPERLINK("https://klasma.github.io/Logging_2463/artfynd/A 26136-2025 artfynd.xlsx", "A 26136-2025")</f>
        <v/>
      </c>
      <c r="T549">
        <f>HYPERLINK("https://klasma.github.io/Logging_2463/kartor/A 26136-2025 karta.png", "A 26136-2025")</f>
        <v/>
      </c>
      <c r="V549">
        <f>HYPERLINK("https://klasma.github.io/Logging_2463/klagomål/A 26136-2025 FSC-klagomål.docx", "A 26136-2025")</f>
        <v/>
      </c>
      <c r="W549">
        <f>HYPERLINK("https://klasma.github.io/Logging_2463/klagomålsmail/A 26136-2025 FSC-klagomål mail.docx", "A 26136-2025")</f>
        <v/>
      </c>
      <c r="X549">
        <f>HYPERLINK("https://klasma.github.io/Logging_2463/tillsyn/A 26136-2025 tillsynsbegäran.docx", "A 26136-2025")</f>
        <v/>
      </c>
      <c r="Y549">
        <f>HYPERLINK("https://klasma.github.io/Logging_2463/tillsynsmail/A 26136-2025 tillsynsbegäran mail.docx", "A 26136-2025")</f>
        <v/>
      </c>
    </row>
    <row r="550" ht="15" customHeight="1">
      <c r="A550" t="inlineStr">
        <is>
          <t>A 18360-2023</t>
        </is>
      </c>
      <c r="B550" s="1" t="n">
        <v>45041</v>
      </c>
      <c r="C550" s="1" t="n">
        <v>45971</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29616-2023</t>
        </is>
      </c>
      <c r="B551" s="1" t="n">
        <v>45106</v>
      </c>
      <c r="C551" s="1" t="n">
        <v>45971</v>
      </c>
      <c r="D551" t="inlineStr">
        <is>
          <t>VÄSTERBOTTENS LÄN</t>
        </is>
      </c>
      <c r="E551" t="inlineStr">
        <is>
          <t>ÅSELE</t>
        </is>
      </c>
      <c r="F551" t="inlineStr">
        <is>
          <t>SCA</t>
        </is>
      </c>
      <c r="G551" t="n">
        <v>4.3</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HYPERLINK("https://klasma.github.io/Logging_2463/artfynd/A 29616-2023 artfynd.xlsx", "A 29616-2023")</f>
        <v/>
      </c>
      <c r="T551">
        <f>HYPERLINK("https://klasma.github.io/Logging_2463/kartor/A 29616-2023 karta.png", "A 29616-2023")</f>
        <v/>
      </c>
      <c r="V551">
        <f>HYPERLINK("https://klasma.github.io/Logging_2463/klagomål/A 29616-2023 FSC-klagomål.docx", "A 29616-2023")</f>
        <v/>
      </c>
      <c r="W551">
        <f>HYPERLINK("https://klasma.github.io/Logging_2463/klagomålsmail/A 29616-2023 FSC-klagomål mail.docx", "A 29616-2023")</f>
        <v/>
      </c>
      <c r="X551">
        <f>HYPERLINK("https://klasma.github.io/Logging_2463/tillsyn/A 29616-2023 tillsynsbegäran.docx", "A 29616-2023")</f>
        <v/>
      </c>
      <c r="Y551">
        <f>HYPERLINK("https://klasma.github.io/Logging_2463/tillsynsmail/A 29616-2023 tillsynsbegäran mail.docx", "A 29616-2023")</f>
        <v/>
      </c>
    </row>
    <row r="552" ht="15" customHeight="1">
      <c r="A552" t="inlineStr">
        <is>
          <t>A 16463-2025</t>
        </is>
      </c>
      <c r="B552" s="1" t="n">
        <v>45751</v>
      </c>
      <c r="C552" s="1" t="n">
        <v>45971</v>
      </c>
      <c r="D552" t="inlineStr">
        <is>
          <t>VÄSTERBOTTENS LÄN</t>
        </is>
      </c>
      <c r="E552" t="inlineStr">
        <is>
          <t>VILHELMINA</t>
        </is>
      </c>
      <c r="G552" t="n">
        <v>8.1</v>
      </c>
      <c r="H552" t="n">
        <v>1</v>
      </c>
      <c r="I552" t="n">
        <v>0</v>
      </c>
      <c r="J552" t="n">
        <v>3</v>
      </c>
      <c r="K552" t="n">
        <v>0</v>
      </c>
      <c r="L552" t="n">
        <v>0</v>
      </c>
      <c r="M552" t="n">
        <v>0</v>
      </c>
      <c r="N552" t="n">
        <v>0</v>
      </c>
      <c r="O552" t="n">
        <v>3</v>
      </c>
      <c r="P552" t="n">
        <v>0</v>
      </c>
      <c r="Q552" t="n">
        <v>3</v>
      </c>
      <c r="R552" s="2" t="inlineStr">
        <is>
          <t>Granticka
Gränsticka
Tretåig hackspett</t>
        </is>
      </c>
      <c r="S552">
        <f>HYPERLINK("https://klasma.github.io/Logging_2462/artfynd/A 16463-2025 artfynd.xlsx", "A 16463-2025")</f>
        <v/>
      </c>
      <c r="T552">
        <f>HYPERLINK("https://klasma.github.io/Logging_2462/kartor/A 16463-2025 karta.png", "A 16463-2025")</f>
        <v/>
      </c>
      <c r="V552">
        <f>HYPERLINK("https://klasma.github.io/Logging_2462/klagomål/A 16463-2025 FSC-klagomål.docx", "A 16463-2025")</f>
        <v/>
      </c>
      <c r="W552">
        <f>HYPERLINK("https://klasma.github.io/Logging_2462/klagomålsmail/A 16463-2025 FSC-klagomål mail.docx", "A 16463-2025")</f>
        <v/>
      </c>
      <c r="X552">
        <f>HYPERLINK("https://klasma.github.io/Logging_2462/tillsyn/A 16463-2025 tillsynsbegäran.docx", "A 16463-2025")</f>
        <v/>
      </c>
      <c r="Y552">
        <f>HYPERLINK("https://klasma.github.io/Logging_2462/tillsynsmail/A 16463-2025 tillsynsbegäran mail.docx", "A 16463-2025")</f>
        <v/>
      </c>
      <c r="Z552">
        <f>HYPERLINK("https://klasma.github.io/Logging_2462/fåglar/A 16463-2025 prioriterade fågelarter.docx", "A 16463-2025")</f>
        <v/>
      </c>
    </row>
    <row r="553" ht="15" customHeight="1">
      <c r="A553" t="inlineStr">
        <is>
          <t>A 43726-2025</t>
        </is>
      </c>
      <c r="B553" s="1" t="n">
        <v>45912.4291087963</v>
      </c>
      <c r="C553" s="1" t="n">
        <v>45971</v>
      </c>
      <c r="D553" t="inlineStr">
        <is>
          <t>VÄSTERBOTTENS LÄN</t>
        </is>
      </c>
      <c r="E553" t="inlineStr">
        <is>
          <t>LYCKSELE</t>
        </is>
      </c>
      <c r="F553" t="inlineStr">
        <is>
          <t>Sveaskog</t>
        </is>
      </c>
      <c r="G553" t="n">
        <v>10.1</v>
      </c>
      <c r="H553" t="n">
        <v>1</v>
      </c>
      <c r="I553" t="n">
        <v>0</v>
      </c>
      <c r="J553" t="n">
        <v>2</v>
      </c>
      <c r="K553" t="n">
        <v>1</v>
      </c>
      <c r="L553" t="n">
        <v>0</v>
      </c>
      <c r="M553" t="n">
        <v>0</v>
      </c>
      <c r="N553" t="n">
        <v>0</v>
      </c>
      <c r="O553" t="n">
        <v>3</v>
      </c>
      <c r="P553" t="n">
        <v>1</v>
      </c>
      <c r="Q553" t="n">
        <v>3</v>
      </c>
      <c r="R553" s="2" t="inlineStr">
        <is>
          <t>Doftticka
Kolflarnlav
Lunglav</t>
        </is>
      </c>
      <c r="S553">
        <f>HYPERLINK("https://klasma.github.io/Logging_2481/artfynd/A 43726-2025 artfynd.xlsx", "A 43726-2025")</f>
        <v/>
      </c>
      <c r="T553">
        <f>HYPERLINK("https://klasma.github.io/Logging_2481/kartor/A 43726-2025 karta.png", "A 43726-2025")</f>
        <v/>
      </c>
      <c r="V553">
        <f>HYPERLINK("https://klasma.github.io/Logging_2481/klagomål/A 43726-2025 FSC-klagomål.docx", "A 43726-2025")</f>
        <v/>
      </c>
      <c r="W553">
        <f>HYPERLINK("https://klasma.github.io/Logging_2481/klagomålsmail/A 43726-2025 FSC-klagomål mail.docx", "A 43726-2025")</f>
        <v/>
      </c>
      <c r="X553">
        <f>HYPERLINK("https://klasma.github.io/Logging_2481/tillsyn/A 43726-2025 tillsynsbegäran.docx", "A 43726-2025")</f>
        <v/>
      </c>
      <c r="Y553">
        <f>HYPERLINK("https://klasma.github.io/Logging_2481/tillsynsmail/A 43726-2025 tillsynsbegäran mail.docx", "A 43726-2025")</f>
        <v/>
      </c>
    </row>
    <row r="554" ht="15" customHeight="1">
      <c r="A554" t="inlineStr">
        <is>
          <t>A 20379-2025</t>
        </is>
      </c>
      <c r="B554" s="1" t="n">
        <v>45775.42733796296</v>
      </c>
      <c r="C554" s="1" t="n">
        <v>45971</v>
      </c>
      <c r="D554" t="inlineStr">
        <is>
          <t>VÄSTERBOTTENS LÄN</t>
        </is>
      </c>
      <c r="E554" t="inlineStr">
        <is>
          <t>SKELLEFTEÅ</t>
        </is>
      </c>
      <c r="G554" t="n">
        <v>3.3</v>
      </c>
      <c r="H554" t="n">
        <v>0</v>
      </c>
      <c r="I554" t="n">
        <v>0</v>
      </c>
      <c r="J554" t="n">
        <v>3</v>
      </c>
      <c r="K554" t="n">
        <v>0</v>
      </c>
      <c r="L554" t="n">
        <v>0</v>
      </c>
      <c r="M554" t="n">
        <v>0</v>
      </c>
      <c r="N554" t="n">
        <v>0</v>
      </c>
      <c r="O554" t="n">
        <v>3</v>
      </c>
      <c r="P554" t="n">
        <v>0</v>
      </c>
      <c r="Q554" t="n">
        <v>3</v>
      </c>
      <c r="R554" s="2" t="inlineStr">
        <is>
          <t>Granticka
Orange taggsvamp
Violettgrå tagellav</t>
        </is>
      </c>
      <c r="S554">
        <f>HYPERLINK("https://klasma.github.io/Logging_2482/artfynd/A 20379-2025 artfynd.xlsx", "A 20379-2025")</f>
        <v/>
      </c>
      <c r="T554">
        <f>HYPERLINK("https://klasma.github.io/Logging_2482/kartor/A 20379-2025 karta.png", "A 20379-2025")</f>
        <v/>
      </c>
      <c r="V554">
        <f>HYPERLINK("https://klasma.github.io/Logging_2482/klagomål/A 20379-2025 FSC-klagomål.docx", "A 20379-2025")</f>
        <v/>
      </c>
      <c r="W554">
        <f>HYPERLINK("https://klasma.github.io/Logging_2482/klagomålsmail/A 20379-2025 FSC-klagomål mail.docx", "A 20379-2025")</f>
        <v/>
      </c>
      <c r="X554">
        <f>HYPERLINK("https://klasma.github.io/Logging_2482/tillsyn/A 20379-2025 tillsynsbegäran.docx", "A 20379-2025")</f>
        <v/>
      </c>
      <c r="Y554">
        <f>HYPERLINK("https://klasma.github.io/Logging_2482/tillsynsmail/A 20379-2025 tillsynsbegäran mail.docx", "A 20379-2025")</f>
        <v/>
      </c>
    </row>
    <row r="555" ht="15" customHeight="1">
      <c r="A555" t="inlineStr">
        <is>
          <t>A 28909-2025</t>
        </is>
      </c>
      <c r="B555" s="1" t="n">
        <v>45820.65403935185</v>
      </c>
      <c r="C555" s="1" t="n">
        <v>45971</v>
      </c>
      <c r="D555" t="inlineStr">
        <is>
          <t>VÄSTERBOTTENS LÄN</t>
        </is>
      </c>
      <c r="E555" t="inlineStr">
        <is>
          <t>DOROTEA</t>
        </is>
      </c>
      <c r="F555" t="inlineStr">
        <is>
          <t>Kyrkan</t>
        </is>
      </c>
      <c r="G555" t="n">
        <v>5.5</v>
      </c>
      <c r="H555" t="n">
        <v>1</v>
      </c>
      <c r="I555" t="n">
        <v>0</v>
      </c>
      <c r="J555" t="n">
        <v>3</v>
      </c>
      <c r="K555" t="n">
        <v>0</v>
      </c>
      <c r="L555" t="n">
        <v>0</v>
      </c>
      <c r="M555" t="n">
        <v>0</v>
      </c>
      <c r="N555" t="n">
        <v>0</v>
      </c>
      <c r="O555" t="n">
        <v>3</v>
      </c>
      <c r="P555" t="n">
        <v>0</v>
      </c>
      <c r="Q555" t="n">
        <v>3</v>
      </c>
      <c r="R555" s="2" t="inlineStr">
        <is>
          <t>Kolflarnlav
Mörk kolflarnlav
Tretåig hackspett</t>
        </is>
      </c>
      <c r="S555">
        <f>HYPERLINK("https://klasma.github.io/Logging_2425/artfynd/A 28909-2025 artfynd.xlsx", "A 28909-2025")</f>
        <v/>
      </c>
      <c r="T555">
        <f>HYPERLINK("https://klasma.github.io/Logging_2425/kartor/A 28909-2025 karta.png", "A 28909-2025")</f>
        <v/>
      </c>
      <c r="V555">
        <f>HYPERLINK("https://klasma.github.io/Logging_2425/klagomål/A 28909-2025 FSC-klagomål.docx", "A 28909-2025")</f>
        <v/>
      </c>
      <c r="W555">
        <f>HYPERLINK("https://klasma.github.io/Logging_2425/klagomålsmail/A 28909-2025 FSC-klagomål mail.docx", "A 28909-2025")</f>
        <v/>
      </c>
      <c r="X555">
        <f>HYPERLINK("https://klasma.github.io/Logging_2425/tillsyn/A 28909-2025 tillsynsbegäran.docx", "A 28909-2025")</f>
        <v/>
      </c>
      <c r="Y555">
        <f>HYPERLINK("https://klasma.github.io/Logging_2425/tillsynsmail/A 28909-2025 tillsynsbegäran mail.docx", "A 28909-2025")</f>
        <v/>
      </c>
      <c r="Z555">
        <f>HYPERLINK("https://klasma.github.io/Logging_2425/fåglar/A 28909-2025 prioriterade fågelarter.docx", "A 28909-2025")</f>
        <v/>
      </c>
    </row>
    <row r="556" ht="15" customHeight="1">
      <c r="A556" t="inlineStr">
        <is>
          <t>A 29725-2021</t>
        </is>
      </c>
      <c r="B556" s="1" t="n">
        <v>44362.44362268518</v>
      </c>
      <c r="C556" s="1" t="n">
        <v>45971</v>
      </c>
      <c r="D556" t="inlineStr">
        <is>
          <t>VÄSTERBOTTENS LÄN</t>
        </is>
      </c>
      <c r="E556" t="inlineStr">
        <is>
          <t>SKELLEFTEÅ</t>
        </is>
      </c>
      <c r="F556" t="inlineStr">
        <is>
          <t>Holmen skog AB</t>
        </is>
      </c>
      <c r="G556" t="n">
        <v>10.7</v>
      </c>
      <c r="H556" t="n">
        <v>1</v>
      </c>
      <c r="I556" t="n">
        <v>0</v>
      </c>
      <c r="J556" t="n">
        <v>2</v>
      </c>
      <c r="K556" t="n">
        <v>0</v>
      </c>
      <c r="L556" t="n">
        <v>0</v>
      </c>
      <c r="M556" t="n">
        <v>0</v>
      </c>
      <c r="N556" t="n">
        <v>0</v>
      </c>
      <c r="O556" t="n">
        <v>2</v>
      </c>
      <c r="P556" t="n">
        <v>0</v>
      </c>
      <c r="Q556" t="n">
        <v>3</v>
      </c>
      <c r="R556" s="2" t="inlineStr">
        <is>
          <t>Gammelgransskål
Garnlav
Orre</t>
        </is>
      </c>
      <c r="S556">
        <f>HYPERLINK("https://klasma.github.io/Logging_2482/artfynd/A 29725-2021 artfynd.xlsx", "A 29725-2021")</f>
        <v/>
      </c>
      <c r="T556">
        <f>HYPERLINK("https://klasma.github.io/Logging_2482/kartor/A 29725-2021 karta.png", "A 29725-2021")</f>
        <v/>
      </c>
      <c r="V556">
        <f>HYPERLINK("https://klasma.github.io/Logging_2482/klagomål/A 29725-2021 FSC-klagomål.docx", "A 29725-2021")</f>
        <v/>
      </c>
      <c r="W556">
        <f>HYPERLINK("https://klasma.github.io/Logging_2482/klagomålsmail/A 29725-2021 FSC-klagomål mail.docx", "A 29725-2021")</f>
        <v/>
      </c>
      <c r="X556">
        <f>HYPERLINK("https://klasma.github.io/Logging_2482/tillsyn/A 29725-2021 tillsynsbegäran.docx", "A 29725-2021")</f>
        <v/>
      </c>
      <c r="Y556">
        <f>HYPERLINK("https://klasma.github.io/Logging_2482/tillsynsmail/A 29725-2021 tillsynsbegäran mail.docx", "A 29725-2021")</f>
        <v/>
      </c>
      <c r="Z556">
        <f>HYPERLINK("https://klasma.github.io/Logging_2482/fåglar/A 29725-2021 prioriterade fågelarter.docx", "A 29725-2021")</f>
        <v/>
      </c>
    </row>
    <row r="557" ht="15" customHeight="1">
      <c r="A557" t="inlineStr">
        <is>
          <t>A 59276-2024</t>
        </is>
      </c>
      <c r="B557" s="1" t="n">
        <v>45637.62774305556</v>
      </c>
      <c r="C557" s="1" t="n">
        <v>45971</v>
      </c>
      <c r="D557" t="inlineStr">
        <is>
          <t>VÄSTERBOTTENS LÄN</t>
        </is>
      </c>
      <c r="E557" t="inlineStr">
        <is>
          <t>LYCKSELE</t>
        </is>
      </c>
      <c r="F557" t="inlineStr">
        <is>
          <t>Sveaskog</t>
        </is>
      </c>
      <c r="G557" t="n">
        <v>12</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HYPERLINK("https://klasma.github.io/Logging_2481/artfynd/A 59276-2024 artfynd.xlsx", "A 59276-2024")</f>
        <v/>
      </c>
      <c r="T557">
        <f>HYPERLINK("https://klasma.github.io/Logging_2481/kartor/A 59276-2024 karta.png", "A 59276-2024")</f>
        <v/>
      </c>
      <c r="V557">
        <f>HYPERLINK("https://klasma.github.io/Logging_2481/klagomål/A 59276-2024 FSC-klagomål.docx", "A 59276-2024")</f>
        <v/>
      </c>
      <c r="W557">
        <f>HYPERLINK("https://klasma.github.io/Logging_2481/klagomålsmail/A 59276-2024 FSC-klagomål mail.docx", "A 59276-2024")</f>
        <v/>
      </c>
      <c r="X557">
        <f>HYPERLINK("https://klasma.github.io/Logging_2481/tillsyn/A 59276-2024 tillsynsbegäran.docx", "A 59276-2024")</f>
        <v/>
      </c>
      <c r="Y557">
        <f>HYPERLINK("https://klasma.github.io/Logging_2481/tillsynsmail/A 59276-2024 tillsynsbegäran mail.docx", "A 59276-2024")</f>
        <v/>
      </c>
    </row>
    <row r="558" ht="15" customHeight="1">
      <c r="A558" t="inlineStr">
        <is>
          <t>A 38123-2024</t>
        </is>
      </c>
      <c r="B558" s="1" t="n">
        <v>45545</v>
      </c>
      <c r="C558" s="1" t="n">
        <v>45971</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60313-2022</t>
        </is>
      </c>
      <c r="B559" s="1" t="n">
        <v>44910</v>
      </c>
      <c r="C559" s="1" t="n">
        <v>45971</v>
      </c>
      <c r="D559" t="inlineStr">
        <is>
          <t>VÄSTERBOTTENS LÄN</t>
        </is>
      </c>
      <c r="E559" t="inlineStr">
        <is>
          <t>VINDELN</t>
        </is>
      </c>
      <c r="F559" t="inlineStr">
        <is>
          <t>Sveaskog</t>
        </is>
      </c>
      <c r="G559" t="n">
        <v>5.2</v>
      </c>
      <c r="H559" t="n">
        <v>1</v>
      </c>
      <c r="I559" t="n">
        <v>1</v>
      </c>
      <c r="J559" t="n">
        <v>1</v>
      </c>
      <c r="K559" t="n">
        <v>0</v>
      </c>
      <c r="L559" t="n">
        <v>0</v>
      </c>
      <c r="M559" t="n">
        <v>0</v>
      </c>
      <c r="N559" t="n">
        <v>0</v>
      </c>
      <c r="O559" t="n">
        <v>1</v>
      </c>
      <c r="P559" t="n">
        <v>0</v>
      </c>
      <c r="Q559" t="n">
        <v>3</v>
      </c>
      <c r="R559" s="2" t="inlineStr">
        <is>
          <t>Kolflarnlav
Skarp dropptaggsvamp
Lavskrika</t>
        </is>
      </c>
      <c r="S559">
        <f>HYPERLINK("https://klasma.github.io/Logging_2404/artfynd/A 60313-2022 artfynd.xlsx", "A 60313-2022")</f>
        <v/>
      </c>
      <c r="T559">
        <f>HYPERLINK("https://klasma.github.io/Logging_2404/kartor/A 60313-2022 karta.png", "A 60313-2022")</f>
        <v/>
      </c>
      <c r="V559">
        <f>HYPERLINK("https://klasma.github.io/Logging_2404/klagomål/A 60313-2022 FSC-klagomål.docx", "A 60313-2022")</f>
        <v/>
      </c>
      <c r="W559">
        <f>HYPERLINK("https://klasma.github.io/Logging_2404/klagomålsmail/A 60313-2022 FSC-klagomål mail.docx", "A 60313-2022")</f>
        <v/>
      </c>
      <c r="X559">
        <f>HYPERLINK("https://klasma.github.io/Logging_2404/tillsyn/A 60313-2022 tillsynsbegäran.docx", "A 60313-2022")</f>
        <v/>
      </c>
      <c r="Y559">
        <f>HYPERLINK("https://klasma.github.io/Logging_2404/tillsynsmail/A 60313-2022 tillsynsbegäran mail.docx", "A 60313-2022")</f>
        <v/>
      </c>
      <c r="Z559">
        <f>HYPERLINK("https://klasma.github.io/Logging_2404/fåglar/A 60313-2022 prioriterade fågelarter.docx", "A 60313-2022")</f>
        <v/>
      </c>
    </row>
    <row r="560" ht="15" customHeight="1">
      <c r="A560" t="inlineStr">
        <is>
          <t>A 41099-2023</t>
        </is>
      </c>
      <c r="B560" s="1" t="n">
        <v>45173.68905092592</v>
      </c>
      <c r="C560" s="1" t="n">
        <v>45971</v>
      </c>
      <c r="D560" t="inlineStr">
        <is>
          <t>VÄSTERBOTTENS LÄN</t>
        </is>
      </c>
      <c r="E560" t="inlineStr">
        <is>
          <t>SKELLEFTEÅ</t>
        </is>
      </c>
      <c r="F560" t="inlineStr">
        <is>
          <t>Holmen skog AB</t>
        </is>
      </c>
      <c r="G560" t="n">
        <v>7.3</v>
      </c>
      <c r="H560" t="n">
        <v>0</v>
      </c>
      <c r="I560" t="n">
        <v>0</v>
      </c>
      <c r="J560" t="n">
        <v>3</v>
      </c>
      <c r="K560" t="n">
        <v>0</v>
      </c>
      <c r="L560" t="n">
        <v>0</v>
      </c>
      <c r="M560" t="n">
        <v>0</v>
      </c>
      <c r="N560" t="n">
        <v>0</v>
      </c>
      <c r="O560" t="n">
        <v>3</v>
      </c>
      <c r="P560" t="n">
        <v>0</v>
      </c>
      <c r="Q560" t="n">
        <v>3</v>
      </c>
      <c r="R560" s="2" t="inlineStr">
        <is>
          <t>Gammelgransskål
Garnlav
Lunglav</t>
        </is>
      </c>
      <c r="S560">
        <f>HYPERLINK("https://klasma.github.io/Logging_2482/artfynd/A 41099-2023 artfynd.xlsx", "A 41099-2023")</f>
        <v/>
      </c>
      <c r="T560">
        <f>HYPERLINK("https://klasma.github.io/Logging_2482/kartor/A 41099-2023 karta.png", "A 41099-2023")</f>
        <v/>
      </c>
      <c r="V560">
        <f>HYPERLINK("https://klasma.github.io/Logging_2482/klagomål/A 41099-2023 FSC-klagomål.docx", "A 41099-2023")</f>
        <v/>
      </c>
      <c r="W560">
        <f>HYPERLINK("https://klasma.github.io/Logging_2482/klagomålsmail/A 41099-2023 FSC-klagomål mail.docx", "A 41099-2023")</f>
        <v/>
      </c>
      <c r="X560">
        <f>HYPERLINK("https://klasma.github.io/Logging_2482/tillsyn/A 41099-2023 tillsynsbegäran.docx", "A 41099-2023")</f>
        <v/>
      </c>
      <c r="Y560">
        <f>HYPERLINK("https://klasma.github.io/Logging_2482/tillsynsmail/A 41099-2023 tillsynsbegäran mail.docx", "A 41099-2023")</f>
        <v/>
      </c>
    </row>
    <row r="561" ht="15" customHeight="1">
      <c r="A561" t="inlineStr">
        <is>
          <t>A 32937-2025</t>
        </is>
      </c>
      <c r="B561" s="1" t="n">
        <v>45839.67740740741</v>
      </c>
      <c r="C561" s="1" t="n">
        <v>45971</v>
      </c>
      <c r="D561" t="inlineStr">
        <is>
          <t>VÄSTERBOTTENS LÄN</t>
        </is>
      </c>
      <c r="E561" t="inlineStr">
        <is>
          <t>SKELLEFTEÅ</t>
        </is>
      </c>
      <c r="F561" t="inlineStr">
        <is>
          <t>Holmen skog AB</t>
        </is>
      </c>
      <c r="G561" t="n">
        <v>24.3</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HYPERLINK("https://klasma.github.io/Logging_2482/artfynd/A 32937-2025 artfynd.xlsx", "A 32937-2025")</f>
        <v/>
      </c>
      <c r="T561">
        <f>HYPERLINK("https://klasma.github.io/Logging_2482/kartor/A 32937-2025 karta.png", "A 32937-2025")</f>
        <v/>
      </c>
      <c r="V561">
        <f>HYPERLINK("https://klasma.github.io/Logging_2482/klagomål/A 32937-2025 FSC-klagomål.docx", "A 32937-2025")</f>
        <v/>
      </c>
      <c r="W561">
        <f>HYPERLINK("https://klasma.github.io/Logging_2482/klagomålsmail/A 32937-2025 FSC-klagomål mail.docx", "A 32937-2025")</f>
        <v/>
      </c>
      <c r="X561">
        <f>HYPERLINK("https://klasma.github.io/Logging_2482/tillsyn/A 32937-2025 tillsynsbegäran.docx", "A 32937-2025")</f>
        <v/>
      </c>
      <c r="Y561">
        <f>HYPERLINK("https://klasma.github.io/Logging_2482/tillsynsmail/A 32937-2025 tillsynsbegäran mail.docx", "A 32937-2025")</f>
        <v/>
      </c>
      <c r="Z561">
        <f>HYPERLINK("https://klasma.github.io/Logging_2482/fåglar/A 32937-2025 prioriterade fågelarter.docx", "A 32937-2025")</f>
        <v/>
      </c>
    </row>
    <row r="562" ht="15" customHeight="1">
      <c r="A562" t="inlineStr">
        <is>
          <t>A 32779-2025</t>
        </is>
      </c>
      <c r="B562" s="1" t="n">
        <v>45839.46946759259</v>
      </c>
      <c r="C562" s="1" t="n">
        <v>45971</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33340-2025</t>
        </is>
      </c>
      <c r="B563" s="1" t="n">
        <v>45841.36038194445</v>
      </c>
      <c r="C563" s="1" t="n">
        <v>45971</v>
      </c>
      <c r="D563" t="inlineStr">
        <is>
          <t>VÄSTERBOTTENS LÄN</t>
        </is>
      </c>
      <c r="E563" t="inlineStr">
        <is>
          <t>LYCKSELE</t>
        </is>
      </c>
      <c r="F563" t="inlineStr">
        <is>
          <t>Sveaskog</t>
        </is>
      </c>
      <c r="G563" t="n">
        <v>5.2</v>
      </c>
      <c r="H563" t="n">
        <v>0</v>
      </c>
      <c r="I563" t="n">
        <v>0</v>
      </c>
      <c r="J563" t="n">
        <v>3</v>
      </c>
      <c r="K563" t="n">
        <v>0</v>
      </c>
      <c r="L563" t="n">
        <v>0</v>
      </c>
      <c r="M563" t="n">
        <v>0</v>
      </c>
      <c r="N563" t="n">
        <v>0</v>
      </c>
      <c r="O563" t="n">
        <v>3</v>
      </c>
      <c r="P563" t="n">
        <v>0</v>
      </c>
      <c r="Q563" t="n">
        <v>3</v>
      </c>
      <c r="R563" s="2" t="inlineStr">
        <is>
          <t>Mörk kolflarnlav
Vaddporing
Vedflamlav</t>
        </is>
      </c>
      <c r="S563">
        <f>HYPERLINK("https://klasma.github.io/Logging_2481/artfynd/A 33340-2025 artfynd.xlsx", "A 33340-2025")</f>
        <v/>
      </c>
      <c r="T563">
        <f>HYPERLINK("https://klasma.github.io/Logging_2481/kartor/A 33340-2025 karta.png", "A 33340-2025")</f>
        <v/>
      </c>
      <c r="V563">
        <f>HYPERLINK("https://klasma.github.io/Logging_2481/klagomål/A 33340-2025 FSC-klagomål.docx", "A 33340-2025")</f>
        <v/>
      </c>
      <c r="W563">
        <f>HYPERLINK("https://klasma.github.io/Logging_2481/klagomålsmail/A 33340-2025 FSC-klagomål mail.docx", "A 33340-2025")</f>
        <v/>
      </c>
      <c r="X563">
        <f>HYPERLINK("https://klasma.github.io/Logging_2481/tillsyn/A 33340-2025 tillsynsbegäran.docx", "A 33340-2025")</f>
        <v/>
      </c>
      <c r="Y563">
        <f>HYPERLINK("https://klasma.github.io/Logging_2481/tillsynsmail/A 33340-2025 tillsynsbegäran mail.docx", "A 33340-2025")</f>
        <v/>
      </c>
    </row>
    <row r="564" ht="15" customHeight="1">
      <c r="A564" t="inlineStr">
        <is>
          <t>A 33347-2025</t>
        </is>
      </c>
      <c r="B564" s="1" t="n">
        <v>45841.36940972223</v>
      </c>
      <c r="C564" s="1" t="n">
        <v>45971</v>
      </c>
      <c r="D564" t="inlineStr">
        <is>
          <t>VÄSTERBOTTENS LÄN</t>
        </is>
      </c>
      <c r="E564" t="inlineStr">
        <is>
          <t>ROBERTSFORS</t>
        </is>
      </c>
      <c r="F564" t="inlineStr">
        <is>
          <t>Holmen skog AB</t>
        </is>
      </c>
      <c r="G564" t="n">
        <v>2.9</v>
      </c>
      <c r="H564" t="n">
        <v>0</v>
      </c>
      <c r="I564" t="n">
        <v>1</v>
      </c>
      <c r="J564" t="n">
        <v>2</v>
      </c>
      <c r="K564" t="n">
        <v>0</v>
      </c>
      <c r="L564" t="n">
        <v>0</v>
      </c>
      <c r="M564" t="n">
        <v>0</v>
      </c>
      <c r="N564" t="n">
        <v>0</v>
      </c>
      <c r="O564" t="n">
        <v>2</v>
      </c>
      <c r="P564" t="n">
        <v>0</v>
      </c>
      <c r="Q564" t="n">
        <v>3</v>
      </c>
      <c r="R564" s="2" t="inlineStr">
        <is>
          <t>Garnlav
Lunglav
Stuplav</t>
        </is>
      </c>
      <c r="S564">
        <f>HYPERLINK("https://klasma.github.io/Logging_2409/artfynd/A 33347-2025 artfynd.xlsx", "A 33347-2025")</f>
        <v/>
      </c>
      <c r="T564">
        <f>HYPERLINK("https://klasma.github.io/Logging_2409/kartor/A 33347-2025 karta.png", "A 33347-2025")</f>
        <v/>
      </c>
      <c r="V564">
        <f>HYPERLINK("https://klasma.github.io/Logging_2409/klagomål/A 33347-2025 FSC-klagomål.docx", "A 33347-2025")</f>
        <v/>
      </c>
      <c r="W564">
        <f>HYPERLINK("https://klasma.github.io/Logging_2409/klagomålsmail/A 33347-2025 FSC-klagomål mail.docx", "A 33347-2025")</f>
        <v/>
      </c>
      <c r="X564">
        <f>HYPERLINK("https://klasma.github.io/Logging_2409/tillsyn/A 33347-2025 tillsynsbegäran.docx", "A 33347-2025")</f>
        <v/>
      </c>
      <c r="Y564">
        <f>HYPERLINK("https://klasma.github.io/Logging_2409/tillsynsmail/A 33347-2025 tillsynsbegäran mail.docx", "A 33347-2025")</f>
        <v/>
      </c>
    </row>
    <row r="565" ht="15" customHeight="1">
      <c r="A565" t="inlineStr">
        <is>
          <t>A 679-2024</t>
        </is>
      </c>
      <c r="B565" s="1" t="n">
        <v>45300</v>
      </c>
      <c r="C565" s="1" t="n">
        <v>45971</v>
      </c>
      <c r="D565" t="inlineStr">
        <is>
          <t>VÄSTERBOTTENS LÄN</t>
        </is>
      </c>
      <c r="E565" t="inlineStr">
        <is>
          <t>LYCKSELE</t>
        </is>
      </c>
      <c r="G565" t="n">
        <v>11.3</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HYPERLINK("https://klasma.github.io/Logging_2481/artfynd/A 679-2024 artfynd.xlsx", "A 679-2024")</f>
        <v/>
      </c>
      <c r="T565">
        <f>HYPERLINK("https://klasma.github.io/Logging_2481/kartor/A 679-2024 karta.png", "A 679-2024")</f>
        <v/>
      </c>
      <c r="V565">
        <f>HYPERLINK("https://klasma.github.io/Logging_2481/klagomål/A 679-2024 FSC-klagomål.docx", "A 679-2024")</f>
        <v/>
      </c>
      <c r="W565">
        <f>HYPERLINK("https://klasma.github.io/Logging_2481/klagomålsmail/A 679-2024 FSC-klagomål mail.docx", "A 679-2024")</f>
        <v/>
      </c>
      <c r="X565">
        <f>HYPERLINK("https://klasma.github.io/Logging_2481/tillsyn/A 679-2024 tillsynsbegäran.docx", "A 679-2024")</f>
        <v/>
      </c>
      <c r="Y565">
        <f>HYPERLINK("https://klasma.github.io/Logging_2481/tillsynsmail/A 679-2024 tillsynsbegäran mail.docx", "A 679-2024")</f>
        <v/>
      </c>
    </row>
    <row r="566" ht="15" customHeight="1">
      <c r="A566" t="inlineStr">
        <is>
          <t>A 53897-2025</t>
        </is>
      </c>
      <c r="B566" s="1" t="n">
        <v>45961.42766203704</v>
      </c>
      <c r="C566" s="1" t="n">
        <v>45971</v>
      </c>
      <c r="D566" t="inlineStr">
        <is>
          <t>VÄSTERBOTTENS LÄN</t>
        </is>
      </c>
      <c r="E566" t="inlineStr">
        <is>
          <t>VILHELMINA</t>
        </is>
      </c>
      <c r="F566" t="inlineStr">
        <is>
          <t>SCA</t>
        </is>
      </c>
      <c r="G566" t="n">
        <v>6.5</v>
      </c>
      <c r="H566" t="n">
        <v>0</v>
      </c>
      <c r="I566" t="n">
        <v>1</v>
      </c>
      <c r="J566" t="n">
        <v>2</v>
      </c>
      <c r="K566" t="n">
        <v>0</v>
      </c>
      <c r="L566" t="n">
        <v>0</v>
      </c>
      <c r="M566" t="n">
        <v>0</v>
      </c>
      <c r="N566" t="n">
        <v>0</v>
      </c>
      <c r="O566" t="n">
        <v>2</v>
      </c>
      <c r="P566" t="n">
        <v>0</v>
      </c>
      <c r="Q566" t="n">
        <v>3</v>
      </c>
      <c r="R566" s="2" t="inlineStr">
        <is>
          <t>Granticka
Skogshare
Rävticka</t>
        </is>
      </c>
      <c r="S566">
        <f>HYPERLINK("https://klasma.github.io/Logging_2462/artfynd/A 53897-2025 artfynd.xlsx", "A 53897-2025")</f>
        <v/>
      </c>
      <c r="T566">
        <f>HYPERLINK("https://klasma.github.io/Logging_2462/kartor/A 53897-2025 karta.png", "A 53897-2025")</f>
        <v/>
      </c>
      <c r="V566">
        <f>HYPERLINK("https://klasma.github.io/Logging_2462/klagomål/A 53897-2025 FSC-klagomål.docx", "A 53897-2025")</f>
        <v/>
      </c>
      <c r="W566">
        <f>HYPERLINK("https://klasma.github.io/Logging_2462/klagomålsmail/A 53897-2025 FSC-klagomål mail.docx", "A 53897-2025")</f>
        <v/>
      </c>
      <c r="X566">
        <f>HYPERLINK("https://klasma.github.io/Logging_2462/tillsyn/A 53897-2025 tillsynsbegäran.docx", "A 53897-2025")</f>
        <v/>
      </c>
      <c r="Y566">
        <f>HYPERLINK("https://klasma.github.io/Logging_2462/tillsynsmail/A 53897-2025 tillsynsbegäran mail.docx", "A 53897-2025")</f>
        <v/>
      </c>
    </row>
    <row r="567" ht="15" customHeight="1">
      <c r="A567" t="inlineStr">
        <is>
          <t>A 47496-2023</t>
        </is>
      </c>
      <c r="B567" s="1" t="n">
        <v>45202</v>
      </c>
      <c r="C567" s="1" t="n">
        <v>45971</v>
      </c>
      <c r="D567" t="inlineStr">
        <is>
          <t>VÄSTERBOTTENS LÄN</t>
        </is>
      </c>
      <c r="E567" t="inlineStr">
        <is>
          <t>DOROTEA</t>
        </is>
      </c>
      <c r="F567" t="inlineStr">
        <is>
          <t>SCA</t>
        </is>
      </c>
      <c r="G567" t="n">
        <v>7.4</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47496-2023 artfynd.xlsx", "A 47496-2023")</f>
        <v/>
      </c>
      <c r="T567">
        <f>HYPERLINK("https://klasma.github.io/Logging_2425/kartor/A 47496-2023 karta.png", "A 47496-2023")</f>
        <v/>
      </c>
      <c r="V567">
        <f>HYPERLINK("https://klasma.github.io/Logging_2425/klagomål/A 47496-2023 FSC-klagomål.docx", "A 47496-2023")</f>
        <v/>
      </c>
      <c r="W567">
        <f>HYPERLINK("https://klasma.github.io/Logging_2425/klagomålsmail/A 47496-2023 FSC-klagomål mail.docx", "A 47496-2023")</f>
        <v/>
      </c>
      <c r="X567">
        <f>HYPERLINK("https://klasma.github.io/Logging_2425/tillsyn/A 47496-2023 tillsynsbegäran.docx", "A 47496-2023")</f>
        <v/>
      </c>
      <c r="Y567">
        <f>HYPERLINK("https://klasma.github.io/Logging_2425/tillsynsmail/A 47496-2023 tillsynsbegäran mail.docx", "A 47496-2023")</f>
        <v/>
      </c>
      <c r="Z567">
        <f>HYPERLINK("https://klasma.github.io/Logging_2425/fåglar/A 47496-2023 prioriterade fågelarter.docx", "A 47496-2023")</f>
        <v/>
      </c>
    </row>
    <row r="568" ht="15" customHeight="1">
      <c r="A568" t="inlineStr">
        <is>
          <t>A 34948-2025</t>
        </is>
      </c>
      <c r="B568" s="1" t="n">
        <v>45849.59368055555</v>
      </c>
      <c r="C568" s="1" t="n">
        <v>45971</v>
      </c>
      <c r="D568" t="inlineStr">
        <is>
          <t>VÄSTERBOTTENS LÄN</t>
        </is>
      </c>
      <c r="E568" t="inlineStr">
        <is>
          <t>NORSJÖ</t>
        </is>
      </c>
      <c r="F568" t="inlineStr">
        <is>
          <t>Holmen skog AB</t>
        </is>
      </c>
      <c r="G568" t="n">
        <v>4.9</v>
      </c>
      <c r="H568" t="n">
        <v>0</v>
      </c>
      <c r="I568" t="n">
        <v>0</v>
      </c>
      <c r="J568" t="n">
        <v>3</v>
      </c>
      <c r="K568" t="n">
        <v>0</v>
      </c>
      <c r="L568" t="n">
        <v>0</v>
      </c>
      <c r="M568" t="n">
        <v>0</v>
      </c>
      <c r="N568" t="n">
        <v>0</v>
      </c>
      <c r="O568" t="n">
        <v>3</v>
      </c>
      <c r="P568" t="n">
        <v>0</v>
      </c>
      <c r="Q568" t="n">
        <v>3</v>
      </c>
      <c r="R568" s="2" t="inlineStr">
        <is>
          <t>Gammelgransskål
Garnlav
Knottrig blåslav</t>
        </is>
      </c>
      <c r="S568">
        <f>HYPERLINK("https://klasma.github.io/Logging_2417/artfynd/A 34948-2025 artfynd.xlsx", "A 34948-2025")</f>
        <v/>
      </c>
      <c r="T568">
        <f>HYPERLINK("https://klasma.github.io/Logging_2417/kartor/A 34948-2025 karta.png", "A 34948-2025")</f>
        <v/>
      </c>
      <c r="V568">
        <f>HYPERLINK("https://klasma.github.io/Logging_2417/klagomål/A 34948-2025 FSC-klagomål.docx", "A 34948-2025")</f>
        <v/>
      </c>
      <c r="W568">
        <f>HYPERLINK("https://klasma.github.io/Logging_2417/klagomålsmail/A 34948-2025 FSC-klagomål mail.docx", "A 34948-2025")</f>
        <v/>
      </c>
      <c r="X568">
        <f>HYPERLINK("https://klasma.github.io/Logging_2417/tillsyn/A 34948-2025 tillsynsbegäran.docx", "A 34948-2025")</f>
        <v/>
      </c>
      <c r="Y568">
        <f>HYPERLINK("https://klasma.github.io/Logging_2417/tillsynsmail/A 34948-2025 tillsynsbegäran mail.docx", "A 34948-2025")</f>
        <v/>
      </c>
    </row>
    <row r="569" ht="15" customHeight="1">
      <c r="A569" t="inlineStr">
        <is>
          <t>A 41412-2022</t>
        </is>
      </c>
      <c r="B569" s="1" t="n">
        <v>44826</v>
      </c>
      <c r="C569" s="1" t="n">
        <v>45971</v>
      </c>
      <c r="D569" t="inlineStr">
        <is>
          <t>VÄSTERBOTTENS LÄN</t>
        </is>
      </c>
      <c r="E569" t="inlineStr">
        <is>
          <t>SKELLEFTEÅ</t>
        </is>
      </c>
      <c r="G569" t="n">
        <v>2.6</v>
      </c>
      <c r="H569" t="n">
        <v>0</v>
      </c>
      <c r="I569" t="n">
        <v>1</v>
      </c>
      <c r="J569" t="n">
        <v>2</v>
      </c>
      <c r="K569" t="n">
        <v>0</v>
      </c>
      <c r="L569" t="n">
        <v>0</v>
      </c>
      <c r="M569" t="n">
        <v>0</v>
      </c>
      <c r="N569" t="n">
        <v>0</v>
      </c>
      <c r="O569" t="n">
        <v>2</v>
      </c>
      <c r="P569" t="n">
        <v>0</v>
      </c>
      <c r="Q569" t="n">
        <v>3</v>
      </c>
      <c r="R569" s="2" t="inlineStr">
        <is>
          <t>Gränsticka
Ullticka
Vedticka</t>
        </is>
      </c>
      <c r="S569">
        <f>HYPERLINK("https://klasma.github.io/Logging_2482/artfynd/A 41412-2022 artfynd.xlsx", "A 41412-2022")</f>
        <v/>
      </c>
      <c r="T569">
        <f>HYPERLINK("https://klasma.github.io/Logging_2482/kartor/A 41412-2022 karta.png", "A 41412-2022")</f>
        <v/>
      </c>
      <c r="V569">
        <f>HYPERLINK("https://klasma.github.io/Logging_2482/klagomål/A 41412-2022 FSC-klagomål.docx", "A 41412-2022")</f>
        <v/>
      </c>
      <c r="W569">
        <f>HYPERLINK("https://klasma.github.io/Logging_2482/klagomålsmail/A 41412-2022 FSC-klagomål mail.docx", "A 41412-2022")</f>
        <v/>
      </c>
      <c r="X569">
        <f>HYPERLINK("https://klasma.github.io/Logging_2482/tillsyn/A 41412-2022 tillsynsbegäran.docx", "A 41412-2022")</f>
        <v/>
      </c>
      <c r="Y569">
        <f>HYPERLINK("https://klasma.github.io/Logging_2482/tillsynsmail/A 41412-2022 tillsynsbegäran mail.docx", "A 41412-2022")</f>
        <v/>
      </c>
    </row>
    <row r="570" ht="15" customHeight="1">
      <c r="A570" t="inlineStr">
        <is>
          <t>A 35159-2025</t>
        </is>
      </c>
      <c r="B570" s="1" t="n">
        <v>45852</v>
      </c>
      <c r="C570" s="1" t="n">
        <v>45971</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42063-2024</t>
        </is>
      </c>
      <c r="B571" s="1" t="n">
        <v>45561</v>
      </c>
      <c r="C571" s="1" t="n">
        <v>45971</v>
      </c>
      <c r="D571" t="inlineStr">
        <is>
          <t>VÄSTERBOTTENS LÄN</t>
        </is>
      </c>
      <c r="E571" t="inlineStr">
        <is>
          <t>VILHELMINA</t>
        </is>
      </c>
      <c r="G571" t="n">
        <v>7.4</v>
      </c>
      <c r="H571" t="n">
        <v>0</v>
      </c>
      <c r="I571" t="n">
        <v>1</v>
      </c>
      <c r="J571" t="n">
        <v>2</v>
      </c>
      <c r="K571" t="n">
        <v>0</v>
      </c>
      <c r="L571" t="n">
        <v>0</v>
      </c>
      <c r="M571" t="n">
        <v>0</v>
      </c>
      <c r="N571" t="n">
        <v>0</v>
      </c>
      <c r="O571" t="n">
        <v>2</v>
      </c>
      <c r="P571" t="n">
        <v>0</v>
      </c>
      <c r="Q571" t="n">
        <v>3</v>
      </c>
      <c r="R571" s="2" t="inlineStr">
        <is>
          <t>Garnlav
Skrovellav
Luddlav</t>
        </is>
      </c>
      <c r="S571">
        <f>HYPERLINK("https://klasma.github.io/Logging_2462/artfynd/A 42063-2024 artfynd.xlsx", "A 42063-2024")</f>
        <v/>
      </c>
      <c r="T571">
        <f>HYPERLINK("https://klasma.github.io/Logging_2462/kartor/A 42063-2024 karta.png", "A 42063-2024")</f>
        <v/>
      </c>
      <c r="V571">
        <f>HYPERLINK("https://klasma.github.io/Logging_2462/klagomål/A 42063-2024 FSC-klagomål.docx", "A 42063-2024")</f>
        <v/>
      </c>
      <c r="W571">
        <f>HYPERLINK("https://klasma.github.io/Logging_2462/klagomålsmail/A 42063-2024 FSC-klagomål mail.docx", "A 42063-2024")</f>
        <v/>
      </c>
      <c r="X571">
        <f>HYPERLINK("https://klasma.github.io/Logging_2462/tillsyn/A 42063-2024 tillsynsbegäran.docx", "A 42063-2024")</f>
        <v/>
      </c>
      <c r="Y571">
        <f>HYPERLINK("https://klasma.github.io/Logging_2462/tillsynsmail/A 42063-2024 tillsynsbegäran mail.docx", "A 42063-2024")</f>
        <v/>
      </c>
    </row>
    <row r="572" ht="15" customHeight="1">
      <c r="A572" t="inlineStr">
        <is>
          <t>A 14498-2022</t>
        </is>
      </c>
      <c r="B572" s="1" t="n">
        <v>44655</v>
      </c>
      <c r="C572" s="1" t="n">
        <v>45971</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42687-2022</t>
        </is>
      </c>
      <c r="B573" s="1" t="n">
        <v>44831</v>
      </c>
      <c r="C573" s="1" t="n">
        <v>45971</v>
      </c>
      <c r="D573" t="inlineStr">
        <is>
          <t>VÄSTERBOTTENS LÄN</t>
        </is>
      </c>
      <c r="E573" t="inlineStr">
        <is>
          <t>SKELLEFTEÅ</t>
        </is>
      </c>
      <c r="G573" t="n">
        <v>2.7</v>
      </c>
      <c r="H573" t="n">
        <v>0</v>
      </c>
      <c r="I573" t="n">
        <v>0</v>
      </c>
      <c r="J573" t="n">
        <v>3</v>
      </c>
      <c r="K573" t="n">
        <v>0</v>
      </c>
      <c r="L573" t="n">
        <v>0</v>
      </c>
      <c r="M573" t="n">
        <v>0</v>
      </c>
      <c r="N573" t="n">
        <v>0</v>
      </c>
      <c r="O573" t="n">
        <v>3</v>
      </c>
      <c r="P573" t="n">
        <v>0</v>
      </c>
      <c r="Q573" t="n">
        <v>3</v>
      </c>
      <c r="R573" s="2" t="inlineStr">
        <is>
          <t>Granticka
Stjärntagging
Ullticka</t>
        </is>
      </c>
      <c r="S573">
        <f>HYPERLINK("https://klasma.github.io/Logging_2482/artfynd/A 42687-2022 artfynd.xlsx", "A 42687-2022")</f>
        <v/>
      </c>
      <c r="T573">
        <f>HYPERLINK("https://klasma.github.io/Logging_2482/kartor/A 42687-2022 karta.png", "A 42687-2022")</f>
        <v/>
      </c>
      <c r="V573">
        <f>HYPERLINK("https://klasma.github.io/Logging_2482/klagomål/A 42687-2022 FSC-klagomål.docx", "A 42687-2022")</f>
        <v/>
      </c>
      <c r="W573">
        <f>HYPERLINK("https://klasma.github.io/Logging_2482/klagomålsmail/A 42687-2022 FSC-klagomål mail.docx", "A 42687-2022")</f>
        <v/>
      </c>
      <c r="X573">
        <f>HYPERLINK("https://klasma.github.io/Logging_2482/tillsyn/A 42687-2022 tillsynsbegäran.docx", "A 42687-2022")</f>
        <v/>
      </c>
      <c r="Y573">
        <f>HYPERLINK("https://klasma.github.io/Logging_2482/tillsynsmail/A 42687-2022 tillsynsbegäran mail.docx", "A 42687-2022")</f>
        <v/>
      </c>
    </row>
    <row r="574" ht="15" customHeight="1">
      <c r="A574" t="inlineStr">
        <is>
          <t>A 36894-2025</t>
        </is>
      </c>
      <c r="B574" s="1" t="n">
        <v>45874.4699537037</v>
      </c>
      <c r="C574" s="1" t="n">
        <v>45971</v>
      </c>
      <c r="D574" t="inlineStr">
        <is>
          <t>VÄSTERBOTTENS LÄN</t>
        </is>
      </c>
      <c r="E574" t="inlineStr">
        <is>
          <t>STORUMAN</t>
        </is>
      </c>
      <c r="G574" t="n">
        <v>12.7</v>
      </c>
      <c r="H574" t="n">
        <v>0</v>
      </c>
      <c r="I574" t="n">
        <v>0</v>
      </c>
      <c r="J574" t="n">
        <v>3</v>
      </c>
      <c r="K574" t="n">
        <v>0</v>
      </c>
      <c r="L574" t="n">
        <v>0</v>
      </c>
      <c r="M574" t="n">
        <v>0</v>
      </c>
      <c r="N574" t="n">
        <v>0</v>
      </c>
      <c r="O574" t="n">
        <v>3</v>
      </c>
      <c r="P574" t="n">
        <v>0</v>
      </c>
      <c r="Q574" t="n">
        <v>3</v>
      </c>
      <c r="R574" s="2" t="inlineStr">
        <is>
          <t>Gammelgransskål
Granticka
Gränsticka</t>
        </is>
      </c>
      <c r="S574">
        <f>HYPERLINK("https://klasma.github.io/Logging_2421/artfynd/A 36894-2025 artfynd.xlsx", "A 36894-2025")</f>
        <v/>
      </c>
      <c r="T574">
        <f>HYPERLINK("https://klasma.github.io/Logging_2421/kartor/A 36894-2025 karta.png", "A 36894-2025")</f>
        <v/>
      </c>
      <c r="V574">
        <f>HYPERLINK("https://klasma.github.io/Logging_2421/klagomål/A 36894-2025 FSC-klagomål.docx", "A 36894-2025")</f>
        <v/>
      </c>
      <c r="W574">
        <f>HYPERLINK("https://klasma.github.io/Logging_2421/klagomålsmail/A 36894-2025 FSC-klagomål mail.docx", "A 36894-2025")</f>
        <v/>
      </c>
      <c r="X574">
        <f>HYPERLINK("https://klasma.github.io/Logging_2421/tillsyn/A 36894-2025 tillsynsbegäran.docx", "A 36894-2025")</f>
        <v/>
      </c>
      <c r="Y574">
        <f>HYPERLINK("https://klasma.github.io/Logging_2421/tillsynsmail/A 36894-2025 tillsynsbegäran mail.docx", "A 36894-2025")</f>
        <v/>
      </c>
    </row>
    <row r="575" ht="15" customHeight="1">
      <c r="A575" t="inlineStr">
        <is>
          <t>A 11190-2025</t>
        </is>
      </c>
      <c r="B575" s="1" t="n">
        <v>45725</v>
      </c>
      <c r="C575" s="1" t="n">
        <v>45971</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61824-2022</t>
        </is>
      </c>
      <c r="B576" s="1" t="n">
        <v>44917</v>
      </c>
      <c r="C576" s="1" t="n">
        <v>45971</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38534-2024</t>
        </is>
      </c>
      <c r="B577" s="1" t="n">
        <v>45546</v>
      </c>
      <c r="C577" s="1" t="n">
        <v>45971</v>
      </c>
      <c r="D577" t="inlineStr">
        <is>
          <t>VÄSTERBOTTENS LÄN</t>
        </is>
      </c>
      <c r="E577" t="inlineStr">
        <is>
          <t>VILHELMINA</t>
        </is>
      </c>
      <c r="G577" t="n">
        <v>10.5</v>
      </c>
      <c r="H577" t="n">
        <v>1</v>
      </c>
      <c r="I577" t="n">
        <v>1</v>
      </c>
      <c r="J577" t="n">
        <v>2</v>
      </c>
      <c r="K577" t="n">
        <v>0</v>
      </c>
      <c r="L577" t="n">
        <v>0</v>
      </c>
      <c r="M577" t="n">
        <v>0</v>
      </c>
      <c r="N577" t="n">
        <v>0</v>
      </c>
      <c r="O577" t="n">
        <v>2</v>
      </c>
      <c r="P577" t="n">
        <v>0</v>
      </c>
      <c r="Q577" t="n">
        <v>3</v>
      </c>
      <c r="R577" s="2" t="inlineStr">
        <is>
          <t>Tretåig hackspett
Ullticka
Trådticka</t>
        </is>
      </c>
      <c r="S577">
        <f>HYPERLINK("https://klasma.github.io/Logging_2462/artfynd/A 38534-2024 artfynd.xlsx", "A 38534-2024")</f>
        <v/>
      </c>
      <c r="T577">
        <f>HYPERLINK("https://klasma.github.io/Logging_2462/kartor/A 38534-2024 karta.png", "A 38534-2024")</f>
        <v/>
      </c>
      <c r="V577">
        <f>HYPERLINK("https://klasma.github.io/Logging_2462/klagomål/A 38534-2024 FSC-klagomål.docx", "A 38534-2024")</f>
        <v/>
      </c>
      <c r="W577">
        <f>HYPERLINK("https://klasma.github.io/Logging_2462/klagomålsmail/A 38534-2024 FSC-klagomål mail.docx", "A 38534-2024")</f>
        <v/>
      </c>
      <c r="X577">
        <f>HYPERLINK("https://klasma.github.io/Logging_2462/tillsyn/A 38534-2024 tillsynsbegäran.docx", "A 38534-2024")</f>
        <v/>
      </c>
      <c r="Y577">
        <f>HYPERLINK("https://klasma.github.io/Logging_2462/tillsynsmail/A 38534-2024 tillsynsbegäran mail.docx", "A 38534-2024")</f>
        <v/>
      </c>
      <c r="Z577">
        <f>HYPERLINK("https://klasma.github.io/Logging_2462/fåglar/A 38534-2024 prioriterade fågelarter.docx", "A 38534-2024")</f>
        <v/>
      </c>
    </row>
    <row r="578" ht="15" customHeight="1">
      <c r="A578" t="inlineStr">
        <is>
          <t>A 3412-2022</t>
        </is>
      </c>
      <c r="B578" s="1" t="n">
        <v>44585</v>
      </c>
      <c r="C578" s="1" t="n">
        <v>45971</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30021-2025</t>
        </is>
      </c>
      <c r="B579" s="1" t="n">
        <v>45826.55575231482</v>
      </c>
      <c r="C579" s="1" t="n">
        <v>45971</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60450-2022</t>
        </is>
      </c>
      <c r="B580" s="1" t="n">
        <v>44904</v>
      </c>
      <c r="C580" s="1" t="n">
        <v>45971</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55024-2025</t>
        </is>
      </c>
      <c r="B581" s="1" t="n">
        <v>45967.63331018519</v>
      </c>
      <c r="C581" s="1" t="n">
        <v>45971</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6526-2022</t>
        </is>
      </c>
      <c r="B582" s="1" t="n">
        <v>44601</v>
      </c>
      <c r="C582" s="1" t="n">
        <v>45971</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45971</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45971</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70179-2021</t>
        </is>
      </c>
      <c r="B585" s="1" t="n">
        <v>44533.92109953704</v>
      </c>
      <c r="C585" s="1" t="n">
        <v>45971</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19667-2022</t>
        </is>
      </c>
      <c r="B586" s="1" t="n">
        <v>44694</v>
      </c>
      <c r="C586" s="1" t="n">
        <v>45971</v>
      </c>
      <c r="D586" t="inlineStr">
        <is>
          <t>VÄSTERBOTTENS LÄN</t>
        </is>
      </c>
      <c r="E586" t="inlineStr">
        <is>
          <t>NORDMALING</t>
        </is>
      </c>
      <c r="G586" t="n">
        <v>4</v>
      </c>
      <c r="H586" t="n">
        <v>2</v>
      </c>
      <c r="I586" t="n">
        <v>0</v>
      </c>
      <c r="J586" t="n">
        <v>0</v>
      </c>
      <c r="K586" t="n">
        <v>0</v>
      </c>
      <c r="L586" t="n">
        <v>0</v>
      </c>
      <c r="M586" t="n">
        <v>0</v>
      </c>
      <c r="N586" t="n">
        <v>0</v>
      </c>
      <c r="O586" t="n">
        <v>0</v>
      </c>
      <c r="P586" t="n">
        <v>0</v>
      </c>
      <c r="Q586" t="n">
        <v>2</v>
      </c>
      <c r="R586" s="2" t="inlineStr">
        <is>
          <t>Mustaschfladdermus
Tajgafladdermus</t>
        </is>
      </c>
      <c r="S586">
        <f>HYPERLINK("https://klasma.github.io/Logging_2401/artfynd/A 19667-2022 artfynd.xlsx", "A 19667-2022")</f>
        <v/>
      </c>
      <c r="T586">
        <f>HYPERLINK("https://klasma.github.io/Logging_2401/kartor/A 19667-2022 karta.png", "A 19667-2022")</f>
        <v/>
      </c>
      <c r="V586">
        <f>HYPERLINK("https://klasma.github.io/Logging_2401/klagomål/A 19667-2022 FSC-klagomål.docx", "A 19667-2022")</f>
        <v/>
      </c>
      <c r="W586">
        <f>HYPERLINK("https://klasma.github.io/Logging_2401/klagomålsmail/A 19667-2022 FSC-klagomål mail.docx", "A 19667-2022")</f>
        <v/>
      </c>
      <c r="X586">
        <f>HYPERLINK("https://klasma.github.io/Logging_2401/tillsyn/A 19667-2022 tillsynsbegäran.docx", "A 19667-2022")</f>
        <v/>
      </c>
      <c r="Y586">
        <f>HYPERLINK("https://klasma.github.io/Logging_2401/tillsynsmail/A 19667-2022 tillsynsbegäran mail.docx", "A 19667-2022")</f>
        <v/>
      </c>
    </row>
    <row r="587" ht="15" customHeight="1">
      <c r="A587" t="inlineStr">
        <is>
          <t>A 29352-2021</t>
        </is>
      </c>
      <c r="B587" s="1" t="n">
        <v>44361.4578125</v>
      </c>
      <c r="C587" s="1" t="n">
        <v>45971</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45971</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45971</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45971</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48951-2022</t>
        </is>
      </c>
      <c r="B591" s="1" t="n">
        <v>44859.95800925926</v>
      </c>
      <c r="C591" s="1" t="n">
        <v>45971</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61585-2020</t>
        </is>
      </c>
      <c r="B592" s="1" t="n">
        <v>44154</v>
      </c>
      <c r="C592" s="1" t="n">
        <v>45971</v>
      </c>
      <c r="D592" t="inlineStr">
        <is>
          <t>VÄSTERBOTTENS LÄN</t>
        </is>
      </c>
      <c r="E592" t="inlineStr">
        <is>
          <t>BJURHOLM</t>
        </is>
      </c>
      <c r="G592" t="n">
        <v>1.1</v>
      </c>
      <c r="H592" t="n">
        <v>2</v>
      </c>
      <c r="I592" t="n">
        <v>0</v>
      </c>
      <c r="J592" t="n">
        <v>1</v>
      </c>
      <c r="K592" t="n">
        <v>0</v>
      </c>
      <c r="L592" t="n">
        <v>0</v>
      </c>
      <c r="M592" t="n">
        <v>0</v>
      </c>
      <c r="N592" t="n">
        <v>0</v>
      </c>
      <c r="O592" t="n">
        <v>1</v>
      </c>
      <c r="P592" t="n">
        <v>0</v>
      </c>
      <c r="Q592" t="n">
        <v>2</v>
      </c>
      <c r="R592" s="2" t="inlineStr">
        <is>
          <t>Nordfladdermus
Vattenfladdermus</t>
        </is>
      </c>
      <c r="S592">
        <f>HYPERLINK("https://klasma.github.io/Logging_2403/artfynd/A 61585-2020 artfynd.xlsx", "A 61585-2020")</f>
        <v/>
      </c>
      <c r="T592">
        <f>HYPERLINK("https://klasma.github.io/Logging_2403/kartor/A 61585-2020 karta.png", "A 61585-2020")</f>
        <v/>
      </c>
      <c r="V592">
        <f>HYPERLINK("https://klasma.github.io/Logging_2403/klagomål/A 61585-2020 FSC-klagomål.docx", "A 61585-2020")</f>
        <v/>
      </c>
      <c r="W592">
        <f>HYPERLINK("https://klasma.github.io/Logging_2403/klagomålsmail/A 61585-2020 FSC-klagomål mail.docx", "A 61585-2020")</f>
        <v/>
      </c>
      <c r="X592">
        <f>HYPERLINK("https://klasma.github.io/Logging_2403/tillsyn/A 61585-2020 tillsynsbegäran.docx", "A 61585-2020")</f>
        <v/>
      </c>
      <c r="Y592">
        <f>HYPERLINK("https://klasma.github.io/Logging_2403/tillsynsmail/A 61585-2020 tillsynsbegäran mail.docx", "A 61585-2020")</f>
        <v/>
      </c>
    </row>
    <row r="593" ht="15" customHeight="1">
      <c r="A593" t="inlineStr">
        <is>
          <t>A 11980-2021</t>
        </is>
      </c>
      <c r="B593" s="1" t="n">
        <v>44266</v>
      </c>
      <c r="C593" s="1" t="n">
        <v>45971</v>
      </c>
      <c r="D593" t="inlineStr">
        <is>
          <t>VÄSTERBOTTENS LÄN</t>
        </is>
      </c>
      <c r="E593" t="inlineStr">
        <is>
          <t>VILHELMINA</t>
        </is>
      </c>
      <c r="F593" t="inlineStr">
        <is>
          <t>Allmännings- och besparingsskogar</t>
        </is>
      </c>
      <c r="G593" t="n">
        <v>4.1</v>
      </c>
      <c r="H593" t="n">
        <v>0</v>
      </c>
      <c r="I593" t="n">
        <v>1</v>
      </c>
      <c r="J593" t="n">
        <v>1</v>
      </c>
      <c r="K593" t="n">
        <v>0</v>
      </c>
      <c r="L593" t="n">
        <v>0</v>
      </c>
      <c r="M593" t="n">
        <v>0</v>
      </c>
      <c r="N593" t="n">
        <v>0</v>
      </c>
      <c r="O593" t="n">
        <v>1</v>
      </c>
      <c r="P593" t="n">
        <v>0</v>
      </c>
      <c r="Q593" t="n">
        <v>2</v>
      </c>
      <c r="R593" s="2" t="inlineStr">
        <is>
          <t>Skrovellav
Stuplav</t>
        </is>
      </c>
      <c r="S593">
        <f>HYPERLINK("https://klasma.github.io/Logging_2462/artfynd/A 11980-2021 artfynd.xlsx", "A 11980-2021")</f>
        <v/>
      </c>
      <c r="T593">
        <f>HYPERLINK("https://klasma.github.io/Logging_2462/kartor/A 11980-2021 karta.png", "A 11980-2021")</f>
        <v/>
      </c>
      <c r="V593">
        <f>HYPERLINK("https://klasma.github.io/Logging_2462/klagomål/A 11980-2021 FSC-klagomål.docx", "A 11980-2021")</f>
        <v/>
      </c>
      <c r="W593">
        <f>HYPERLINK("https://klasma.github.io/Logging_2462/klagomålsmail/A 11980-2021 FSC-klagomål mail.docx", "A 11980-2021")</f>
        <v/>
      </c>
      <c r="X593">
        <f>HYPERLINK("https://klasma.github.io/Logging_2462/tillsyn/A 11980-2021 tillsynsbegäran.docx", "A 11980-2021")</f>
        <v/>
      </c>
      <c r="Y593">
        <f>HYPERLINK("https://klasma.github.io/Logging_2462/tillsynsmail/A 11980-2021 tillsynsbegäran mail.docx", "A 11980-2021")</f>
        <v/>
      </c>
    </row>
    <row r="594" ht="15" customHeight="1">
      <c r="A594" t="inlineStr">
        <is>
          <t>A 1148-2021</t>
        </is>
      </c>
      <c r="B594" s="1" t="n">
        <v>44207</v>
      </c>
      <c r="C594" s="1" t="n">
        <v>45971</v>
      </c>
      <c r="D594" t="inlineStr">
        <is>
          <t>VÄSTERBOTTENS LÄN</t>
        </is>
      </c>
      <c r="E594" t="inlineStr">
        <is>
          <t>NORDMALING</t>
        </is>
      </c>
      <c r="G594" t="n">
        <v>6.8</v>
      </c>
      <c r="H594" t="n">
        <v>1</v>
      </c>
      <c r="I594" t="n">
        <v>0</v>
      </c>
      <c r="J594" t="n">
        <v>2</v>
      </c>
      <c r="K594" t="n">
        <v>0</v>
      </c>
      <c r="L594" t="n">
        <v>0</v>
      </c>
      <c r="M594" t="n">
        <v>0</v>
      </c>
      <c r="N594" t="n">
        <v>0</v>
      </c>
      <c r="O594" t="n">
        <v>2</v>
      </c>
      <c r="P594" t="n">
        <v>0</v>
      </c>
      <c r="Q594" t="n">
        <v>2</v>
      </c>
      <c r="R594" s="2" t="inlineStr">
        <is>
          <t>Spillkråka
Violettgrå tagellav</t>
        </is>
      </c>
      <c r="S594">
        <f>HYPERLINK("https://klasma.github.io/Logging_2401/artfynd/A 1148-2021 artfynd.xlsx", "A 1148-2021")</f>
        <v/>
      </c>
      <c r="T594">
        <f>HYPERLINK("https://klasma.github.io/Logging_2401/kartor/A 1148-2021 karta.png", "A 1148-2021")</f>
        <v/>
      </c>
      <c r="V594">
        <f>HYPERLINK("https://klasma.github.io/Logging_2401/klagomål/A 1148-2021 FSC-klagomål.docx", "A 1148-2021")</f>
        <v/>
      </c>
      <c r="W594">
        <f>HYPERLINK("https://klasma.github.io/Logging_2401/klagomålsmail/A 1148-2021 FSC-klagomål mail.docx", "A 1148-2021")</f>
        <v/>
      </c>
      <c r="X594">
        <f>HYPERLINK("https://klasma.github.io/Logging_2401/tillsyn/A 1148-2021 tillsynsbegäran.docx", "A 1148-2021")</f>
        <v/>
      </c>
      <c r="Y594">
        <f>HYPERLINK("https://klasma.github.io/Logging_2401/tillsynsmail/A 1148-2021 tillsynsbegäran mail.docx", "A 1148-2021")</f>
        <v/>
      </c>
      <c r="Z594">
        <f>HYPERLINK("https://klasma.github.io/Logging_2401/fåglar/A 1148-2021 prioriterade fågelarter.docx", "A 1148-2021")</f>
        <v/>
      </c>
    </row>
    <row r="595" ht="15" customHeight="1">
      <c r="A595" t="inlineStr">
        <is>
          <t>A 61497-2021</t>
        </is>
      </c>
      <c r="B595" s="1" t="n">
        <v>44501</v>
      </c>
      <c r="C595" s="1" t="n">
        <v>45971</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25524-2022</t>
        </is>
      </c>
      <c r="B596" s="1" t="n">
        <v>44732</v>
      </c>
      <c r="C596" s="1" t="n">
        <v>45971</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38689-2021</t>
        </is>
      </c>
      <c r="B597" s="1" t="n">
        <v>44407</v>
      </c>
      <c r="C597" s="1" t="n">
        <v>45971</v>
      </c>
      <c r="D597" t="inlineStr">
        <is>
          <t>VÄSTERBOTTENS LÄN</t>
        </is>
      </c>
      <c r="E597" t="inlineStr">
        <is>
          <t>UMEÅ</t>
        </is>
      </c>
      <c r="F597" t="inlineStr">
        <is>
          <t>Kommuner</t>
        </is>
      </c>
      <c r="G597" t="n">
        <v>1.4</v>
      </c>
      <c r="H597" t="n">
        <v>0</v>
      </c>
      <c r="I597" t="n">
        <v>0</v>
      </c>
      <c r="J597" t="n">
        <v>2</v>
      </c>
      <c r="K597" t="n">
        <v>0</v>
      </c>
      <c r="L597" t="n">
        <v>0</v>
      </c>
      <c r="M597" t="n">
        <v>0</v>
      </c>
      <c r="N597" t="n">
        <v>0</v>
      </c>
      <c r="O597" t="n">
        <v>2</v>
      </c>
      <c r="P597" t="n">
        <v>0</v>
      </c>
      <c r="Q597" t="n">
        <v>2</v>
      </c>
      <c r="R597" s="2" t="inlineStr">
        <is>
          <t>Gulbandad brunbagge
Rödhalsad vedsvampbagge</t>
        </is>
      </c>
      <c r="S597">
        <f>HYPERLINK("https://klasma.github.io/Logging_2480/artfynd/A 38689-2021 artfynd.xlsx", "A 38689-2021")</f>
        <v/>
      </c>
      <c r="T597">
        <f>HYPERLINK("https://klasma.github.io/Logging_2480/kartor/A 38689-2021 karta.png", "A 38689-2021")</f>
        <v/>
      </c>
      <c r="V597">
        <f>HYPERLINK("https://klasma.github.io/Logging_2480/klagomål/A 38689-2021 FSC-klagomål.docx", "A 38689-2021")</f>
        <v/>
      </c>
      <c r="W597">
        <f>HYPERLINK("https://klasma.github.io/Logging_2480/klagomålsmail/A 38689-2021 FSC-klagomål mail.docx", "A 38689-2021")</f>
        <v/>
      </c>
      <c r="X597">
        <f>HYPERLINK("https://klasma.github.io/Logging_2480/tillsyn/A 38689-2021 tillsynsbegäran.docx", "A 38689-2021")</f>
        <v/>
      </c>
      <c r="Y597">
        <f>HYPERLINK("https://klasma.github.io/Logging_2480/tillsynsmail/A 38689-2021 tillsynsbegäran mail.docx", "A 38689-2021")</f>
        <v/>
      </c>
    </row>
    <row r="598" ht="15" customHeight="1">
      <c r="A598" t="inlineStr">
        <is>
          <t>A 20111-2025</t>
        </is>
      </c>
      <c r="B598" s="1" t="n">
        <v>45772.47297453704</v>
      </c>
      <c r="C598" s="1" t="n">
        <v>45971</v>
      </c>
      <c r="D598" t="inlineStr">
        <is>
          <t>VÄSTERBOTTENS LÄN</t>
        </is>
      </c>
      <c r="E598" t="inlineStr">
        <is>
          <t>LYCKSELE</t>
        </is>
      </c>
      <c r="F598" t="inlineStr">
        <is>
          <t>Sveaskog</t>
        </is>
      </c>
      <c r="G598" t="n">
        <v>6.9</v>
      </c>
      <c r="H598" t="n">
        <v>0</v>
      </c>
      <c r="I598" t="n">
        <v>0</v>
      </c>
      <c r="J598" t="n">
        <v>2</v>
      </c>
      <c r="K598" t="n">
        <v>0</v>
      </c>
      <c r="L598" t="n">
        <v>0</v>
      </c>
      <c r="M598" t="n">
        <v>0</v>
      </c>
      <c r="N598" t="n">
        <v>0</v>
      </c>
      <c r="O598" t="n">
        <v>2</v>
      </c>
      <c r="P598" t="n">
        <v>0</v>
      </c>
      <c r="Q598" t="n">
        <v>2</v>
      </c>
      <c r="R598" s="2" t="inlineStr">
        <is>
          <t>Blå taggsvamp
Orange taggsvamp</t>
        </is>
      </c>
      <c r="S598">
        <f>HYPERLINK("https://klasma.github.io/Logging_2481/artfynd/A 20111-2025 artfynd.xlsx", "A 20111-2025")</f>
        <v/>
      </c>
      <c r="T598">
        <f>HYPERLINK("https://klasma.github.io/Logging_2481/kartor/A 20111-2025 karta.png", "A 20111-2025")</f>
        <v/>
      </c>
      <c r="V598">
        <f>HYPERLINK("https://klasma.github.io/Logging_2481/klagomål/A 20111-2025 FSC-klagomål.docx", "A 20111-2025")</f>
        <v/>
      </c>
      <c r="W598">
        <f>HYPERLINK("https://klasma.github.io/Logging_2481/klagomålsmail/A 20111-2025 FSC-klagomål mail.docx", "A 20111-2025")</f>
        <v/>
      </c>
      <c r="X598">
        <f>HYPERLINK("https://klasma.github.io/Logging_2481/tillsyn/A 20111-2025 tillsynsbegäran.docx", "A 20111-2025")</f>
        <v/>
      </c>
      <c r="Y598">
        <f>HYPERLINK("https://klasma.github.io/Logging_2481/tillsynsmail/A 20111-2025 tillsynsbegäran mail.docx", "A 20111-2025")</f>
        <v/>
      </c>
    </row>
    <row r="599" ht="15" customHeight="1">
      <c r="A599" t="inlineStr">
        <is>
          <t>A 19234-2021</t>
        </is>
      </c>
      <c r="B599" s="1" t="n">
        <v>44309</v>
      </c>
      <c r="C599" s="1" t="n">
        <v>45971</v>
      </c>
      <c r="D599" t="inlineStr">
        <is>
          <t>VÄSTERBOTTENS LÄN</t>
        </is>
      </c>
      <c r="E599" t="inlineStr">
        <is>
          <t>VILHELMINA</t>
        </is>
      </c>
      <c r="F599" t="inlineStr">
        <is>
          <t>Övriga Aktiebolag</t>
        </is>
      </c>
      <c r="G599" t="n">
        <v>12</v>
      </c>
      <c r="H599" t="n">
        <v>0</v>
      </c>
      <c r="I599" t="n">
        <v>0</v>
      </c>
      <c r="J599" t="n">
        <v>2</v>
      </c>
      <c r="K599" t="n">
        <v>0</v>
      </c>
      <c r="L599" t="n">
        <v>0</v>
      </c>
      <c r="M599" t="n">
        <v>0</v>
      </c>
      <c r="N599" t="n">
        <v>0</v>
      </c>
      <c r="O599" t="n">
        <v>2</v>
      </c>
      <c r="P599" t="n">
        <v>0</v>
      </c>
      <c r="Q599" t="n">
        <v>2</v>
      </c>
      <c r="R599" s="2" t="inlineStr">
        <is>
          <t>Granticka
Harticka</t>
        </is>
      </c>
      <c r="S599">
        <f>HYPERLINK("https://klasma.github.io/Logging_2462/artfynd/A 19234-2021 artfynd.xlsx", "A 19234-2021")</f>
        <v/>
      </c>
      <c r="T599">
        <f>HYPERLINK("https://klasma.github.io/Logging_2462/kartor/A 19234-2021 karta.png", "A 19234-2021")</f>
        <v/>
      </c>
      <c r="V599">
        <f>HYPERLINK("https://klasma.github.io/Logging_2462/klagomål/A 19234-2021 FSC-klagomål.docx", "A 19234-2021")</f>
        <v/>
      </c>
      <c r="W599">
        <f>HYPERLINK("https://klasma.github.io/Logging_2462/klagomålsmail/A 19234-2021 FSC-klagomål mail.docx", "A 19234-2021")</f>
        <v/>
      </c>
      <c r="X599">
        <f>HYPERLINK("https://klasma.github.io/Logging_2462/tillsyn/A 19234-2021 tillsynsbegäran.docx", "A 19234-2021")</f>
        <v/>
      </c>
      <c r="Y599">
        <f>HYPERLINK("https://klasma.github.io/Logging_2462/tillsynsmail/A 19234-2021 tillsynsbegäran mail.docx", "A 19234-2021")</f>
        <v/>
      </c>
    </row>
    <row r="600" ht="15" customHeight="1">
      <c r="A600" t="inlineStr">
        <is>
          <t>A 14070-2022</t>
        </is>
      </c>
      <c r="B600" s="1" t="n">
        <v>44650</v>
      </c>
      <c r="C600" s="1" t="n">
        <v>45971</v>
      </c>
      <c r="D600" t="inlineStr">
        <is>
          <t>VÄSTERBOTTENS LÄN</t>
        </is>
      </c>
      <c r="E600" t="inlineStr">
        <is>
          <t>STORUMAN</t>
        </is>
      </c>
      <c r="F600" t="inlineStr">
        <is>
          <t>Övriga statliga verk och myndigheter</t>
        </is>
      </c>
      <c r="G600" t="n">
        <v>14.1</v>
      </c>
      <c r="H600" t="n">
        <v>1</v>
      </c>
      <c r="I600" t="n">
        <v>0</v>
      </c>
      <c r="J600" t="n">
        <v>2</v>
      </c>
      <c r="K600" t="n">
        <v>0</v>
      </c>
      <c r="L600" t="n">
        <v>0</v>
      </c>
      <c r="M600" t="n">
        <v>0</v>
      </c>
      <c r="N600" t="n">
        <v>0</v>
      </c>
      <c r="O600" t="n">
        <v>2</v>
      </c>
      <c r="P600" t="n">
        <v>0</v>
      </c>
      <c r="Q600" t="n">
        <v>2</v>
      </c>
      <c r="R600" s="2" t="inlineStr">
        <is>
          <t>Granticka
Järpe</t>
        </is>
      </c>
      <c r="S600">
        <f>HYPERLINK("https://klasma.github.io/Logging_2421/artfynd/A 14070-2022 artfynd.xlsx", "A 14070-2022")</f>
        <v/>
      </c>
      <c r="T600">
        <f>HYPERLINK("https://klasma.github.io/Logging_2421/kartor/A 14070-2022 karta.png", "A 14070-2022")</f>
        <v/>
      </c>
      <c r="V600">
        <f>HYPERLINK("https://klasma.github.io/Logging_2421/klagomål/A 14070-2022 FSC-klagomål.docx", "A 14070-2022")</f>
        <v/>
      </c>
      <c r="W600">
        <f>HYPERLINK("https://klasma.github.io/Logging_2421/klagomålsmail/A 14070-2022 FSC-klagomål mail.docx", "A 14070-2022")</f>
        <v/>
      </c>
      <c r="X600">
        <f>HYPERLINK("https://klasma.github.io/Logging_2421/tillsyn/A 14070-2022 tillsynsbegäran.docx", "A 14070-2022")</f>
        <v/>
      </c>
      <c r="Y600">
        <f>HYPERLINK("https://klasma.github.io/Logging_2421/tillsynsmail/A 14070-2022 tillsynsbegäran mail.docx", "A 14070-2022")</f>
        <v/>
      </c>
      <c r="Z600">
        <f>HYPERLINK("https://klasma.github.io/Logging_2421/fåglar/A 14070-2022 prioriterade fågelarter.docx", "A 14070-2022")</f>
        <v/>
      </c>
    </row>
    <row r="601" ht="15" customHeight="1">
      <c r="A601" t="inlineStr">
        <is>
          <t>A 22648-2024</t>
        </is>
      </c>
      <c r="B601" s="1" t="n">
        <v>45447.89238425926</v>
      </c>
      <c r="C601" s="1" t="n">
        <v>45971</v>
      </c>
      <c r="D601" t="inlineStr">
        <is>
          <t>VÄSTERBOTTENS LÄN</t>
        </is>
      </c>
      <c r="E601" t="inlineStr">
        <is>
          <t>VÄNNÄS</t>
        </is>
      </c>
      <c r="F601" t="inlineStr">
        <is>
          <t>Holmen skog AB</t>
        </is>
      </c>
      <c r="G601" t="n">
        <v>5.5</v>
      </c>
      <c r="H601" t="n">
        <v>2</v>
      </c>
      <c r="I601" t="n">
        <v>1</v>
      </c>
      <c r="J601" t="n">
        <v>1</v>
      </c>
      <c r="K601" t="n">
        <v>0</v>
      </c>
      <c r="L601" t="n">
        <v>0</v>
      </c>
      <c r="M601" t="n">
        <v>0</v>
      </c>
      <c r="N601" t="n">
        <v>0</v>
      </c>
      <c r="O601" t="n">
        <v>1</v>
      </c>
      <c r="P601" t="n">
        <v>0</v>
      </c>
      <c r="Q601" t="n">
        <v>2</v>
      </c>
      <c r="R601" s="2" t="inlineStr">
        <is>
          <t>Spillkråka
Spindelblomster</t>
        </is>
      </c>
      <c r="S601">
        <f>HYPERLINK("https://klasma.github.io/Logging_2460/artfynd/A 22648-2024 artfynd.xlsx", "A 22648-2024")</f>
        <v/>
      </c>
      <c r="T601">
        <f>HYPERLINK("https://klasma.github.io/Logging_2460/kartor/A 22648-2024 karta.png", "A 22648-2024")</f>
        <v/>
      </c>
      <c r="V601">
        <f>HYPERLINK("https://klasma.github.io/Logging_2460/klagomål/A 22648-2024 FSC-klagomål.docx", "A 22648-2024")</f>
        <v/>
      </c>
      <c r="W601">
        <f>HYPERLINK("https://klasma.github.io/Logging_2460/klagomålsmail/A 22648-2024 FSC-klagomål mail.docx", "A 22648-2024")</f>
        <v/>
      </c>
      <c r="X601">
        <f>HYPERLINK("https://klasma.github.io/Logging_2460/tillsyn/A 22648-2024 tillsynsbegäran.docx", "A 22648-2024")</f>
        <v/>
      </c>
      <c r="Y601">
        <f>HYPERLINK("https://klasma.github.io/Logging_2460/tillsynsmail/A 22648-2024 tillsynsbegäran mail.docx", "A 22648-2024")</f>
        <v/>
      </c>
      <c r="Z601">
        <f>HYPERLINK("https://klasma.github.io/Logging_2460/fåglar/A 22648-2024 prioriterade fågelarter.docx", "A 22648-2024")</f>
        <v/>
      </c>
    </row>
    <row r="602" ht="15" customHeight="1">
      <c r="A602" t="inlineStr">
        <is>
          <t>A 13645-2025</t>
        </is>
      </c>
      <c r="B602" s="1" t="n">
        <v>45736.6775</v>
      </c>
      <c r="C602" s="1" t="n">
        <v>45971</v>
      </c>
      <c r="D602" t="inlineStr">
        <is>
          <t>VÄSTERBOTTENS LÄN</t>
        </is>
      </c>
      <c r="E602" t="inlineStr">
        <is>
          <t>LYCKSELE</t>
        </is>
      </c>
      <c r="F602" t="inlineStr">
        <is>
          <t>SCA</t>
        </is>
      </c>
      <c r="G602" t="n">
        <v>19.6</v>
      </c>
      <c r="H602" t="n">
        <v>1</v>
      </c>
      <c r="I602" t="n">
        <v>1</v>
      </c>
      <c r="J602" t="n">
        <v>1</v>
      </c>
      <c r="K602" t="n">
        <v>0</v>
      </c>
      <c r="L602" t="n">
        <v>0</v>
      </c>
      <c r="M602" t="n">
        <v>0</v>
      </c>
      <c r="N602" t="n">
        <v>0</v>
      </c>
      <c r="O602" t="n">
        <v>1</v>
      </c>
      <c r="P602" t="n">
        <v>0</v>
      </c>
      <c r="Q602" t="n">
        <v>2</v>
      </c>
      <c r="R602" s="2" t="inlineStr">
        <is>
          <t>Talltita
Dropptaggsvamp</t>
        </is>
      </c>
      <c r="S602">
        <f>HYPERLINK("https://klasma.github.io/Logging_2481/artfynd/A 13645-2025 artfynd.xlsx", "A 13645-2025")</f>
        <v/>
      </c>
      <c r="T602">
        <f>HYPERLINK("https://klasma.github.io/Logging_2481/kartor/A 13645-2025 karta.png", "A 13645-2025")</f>
        <v/>
      </c>
      <c r="V602">
        <f>HYPERLINK("https://klasma.github.io/Logging_2481/klagomål/A 13645-2025 FSC-klagomål.docx", "A 13645-2025")</f>
        <v/>
      </c>
      <c r="W602">
        <f>HYPERLINK("https://klasma.github.io/Logging_2481/klagomålsmail/A 13645-2025 FSC-klagomål mail.docx", "A 13645-2025")</f>
        <v/>
      </c>
      <c r="X602">
        <f>HYPERLINK("https://klasma.github.io/Logging_2481/tillsyn/A 13645-2025 tillsynsbegäran.docx", "A 13645-2025")</f>
        <v/>
      </c>
      <c r="Y602">
        <f>HYPERLINK("https://klasma.github.io/Logging_2481/tillsynsmail/A 13645-2025 tillsynsbegäran mail.docx", "A 13645-2025")</f>
        <v/>
      </c>
      <c r="Z602">
        <f>HYPERLINK("https://klasma.github.io/Logging_2481/fåglar/A 13645-2025 prioriterade fågelarter.docx", "A 13645-2025")</f>
        <v/>
      </c>
    </row>
    <row r="603" ht="15" customHeight="1">
      <c r="A603" t="inlineStr">
        <is>
          <t>A 58701-2023</t>
        </is>
      </c>
      <c r="B603" s="1" t="n">
        <v>45247</v>
      </c>
      <c r="C603" s="1" t="n">
        <v>45971</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52234-2024</t>
        </is>
      </c>
      <c r="B604" s="1" t="n">
        <v>45608.6122337963</v>
      </c>
      <c r="C604" s="1" t="n">
        <v>45971</v>
      </c>
      <c r="D604" t="inlineStr">
        <is>
          <t>VÄSTERBOTTENS LÄN</t>
        </is>
      </c>
      <c r="E604" t="inlineStr">
        <is>
          <t>LYCKSELE</t>
        </is>
      </c>
      <c r="F604" t="inlineStr">
        <is>
          <t>Sveaskog</t>
        </is>
      </c>
      <c r="G604" t="n">
        <v>2.7</v>
      </c>
      <c r="H604" t="n">
        <v>1</v>
      </c>
      <c r="I604" t="n">
        <v>1</v>
      </c>
      <c r="J604" t="n">
        <v>0</v>
      </c>
      <c r="K604" t="n">
        <v>0</v>
      </c>
      <c r="L604" t="n">
        <v>0</v>
      </c>
      <c r="M604" t="n">
        <v>0</v>
      </c>
      <c r="N604" t="n">
        <v>0</v>
      </c>
      <c r="O604" t="n">
        <v>0</v>
      </c>
      <c r="P604" t="n">
        <v>0</v>
      </c>
      <c r="Q604" t="n">
        <v>2</v>
      </c>
      <c r="R604" s="2" t="inlineStr">
        <is>
          <t>Dropptaggsvamp
Lavskrika</t>
        </is>
      </c>
      <c r="S604">
        <f>HYPERLINK("https://klasma.github.io/Logging_2481/artfynd/A 52234-2024 artfynd.xlsx", "A 52234-2024")</f>
        <v/>
      </c>
      <c r="T604">
        <f>HYPERLINK("https://klasma.github.io/Logging_2481/kartor/A 52234-2024 karta.png", "A 52234-2024")</f>
        <v/>
      </c>
      <c r="V604">
        <f>HYPERLINK("https://klasma.github.io/Logging_2481/klagomål/A 52234-2024 FSC-klagomål.docx", "A 52234-2024")</f>
        <v/>
      </c>
      <c r="W604">
        <f>HYPERLINK("https://klasma.github.io/Logging_2481/klagomålsmail/A 52234-2024 FSC-klagomål mail.docx", "A 52234-2024")</f>
        <v/>
      </c>
      <c r="X604">
        <f>HYPERLINK("https://klasma.github.io/Logging_2481/tillsyn/A 52234-2024 tillsynsbegäran.docx", "A 52234-2024")</f>
        <v/>
      </c>
      <c r="Y604">
        <f>HYPERLINK("https://klasma.github.io/Logging_2481/tillsynsmail/A 52234-2024 tillsynsbegäran mail.docx", "A 52234-2024")</f>
        <v/>
      </c>
      <c r="Z604">
        <f>HYPERLINK("https://klasma.github.io/Logging_2481/fåglar/A 52234-2024 prioriterade fågelarter.docx", "A 52234-2024")</f>
        <v/>
      </c>
    </row>
    <row r="605" ht="15" customHeight="1">
      <c r="A605" t="inlineStr">
        <is>
          <t>A 28515-2023</t>
        </is>
      </c>
      <c r="B605" s="1" t="n">
        <v>45103</v>
      </c>
      <c r="C605" s="1" t="n">
        <v>45971</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20434-2022</t>
        </is>
      </c>
      <c r="B606" s="1" t="n">
        <v>44699</v>
      </c>
      <c r="C606" s="1" t="n">
        <v>45971</v>
      </c>
      <c r="D606" t="inlineStr">
        <is>
          <t>VÄSTERBOTTENS LÄN</t>
        </is>
      </c>
      <c r="E606" t="inlineStr">
        <is>
          <t>STORUMAN</t>
        </is>
      </c>
      <c r="G606" t="n">
        <v>3.4</v>
      </c>
      <c r="H606" t="n">
        <v>2</v>
      </c>
      <c r="I606" t="n">
        <v>0</v>
      </c>
      <c r="J606" t="n">
        <v>1</v>
      </c>
      <c r="K606" t="n">
        <v>1</v>
      </c>
      <c r="L606" t="n">
        <v>0</v>
      </c>
      <c r="M606" t="n">
        <v>0</v>
      </c>
      <c r="N606" t="n">
        <v>0</v>
      </c>
      <c r="O606" t="n">
        <v>2</v>
      </c>
      <c r="P606" t="n">
        <v>1</v>
      </c>
      <c r="Q606" t="n">
        <v>2</v>
      </c>
      <c r="R606" s="2" t="inlineStr">
        <is>
          <t>Knärot
Spillkråka</t>
        </is>
      </c>
      <c r="S606">
        <f>HYPERLINK("https://klasma.github.io/Logging_2421/artfynd/A 20434-2022 artfynd.xlsx", "A 20434-2022")</f>
        <v/>
      </c>
      <c r="T606">
        <f>HYPERLINK("https://klasma.github.io/Logging_2421/kartor/A 20434-2022 karta.png", "A 20434-2022")</f>
        <v/>
      </c>
      <c r="U606">
        <f>HYPERLINK("https://klasma.github.io/Logging_2421/knärot/A 20434-2022 karta knärot.png", "A 20434-2022")</f>
        <v/>
      </c>
      <c r="V606">
        <f>HYPERLINK("https://klasma.github.io/Logging_2421/klagomål/A 20434-2022 FSC-klagomål.docx", "A 20434-2022")</f>
        <v/>
      </c>
      <c r="W606">
        <f>HYPERLINK("https://klasma.github.io/Logging_2421/klagomålsmail/A 20434-2022 FSC-klagomål mail.docx", "A 20434-2022")</f>
        <v/>
      </c>
      <c r="X606">
        <f>HYPERLINK("https://klasma.github.io/Logging_2421/tillsyn/A 20434-2022 tillsynsbegäran.docx", "A 20434-2022")</f>
        <v/>
      </c>
      <c r="Y606">
        <f>HYPERLINK("https://klasma.github.io/Logging_2421/tillsynsmail/A 20434-2022 tillsynsbegäran mail.docx", "A 20434-2022")</f>
        <v/>
      </c>
      <c r="Z606">
        <f>HYPERLINK("https://klasma.github.io/Logging_2421/fåglar/A 20434-2022 prioriterade fågelarter.docx", "A 20434-2022")</f>
        <v/>
      </c>
    </row>
    <row r="607" ht="15" customHeight="1">
      <c r="A607" t="inlineStr">
        <is>
          <t>A 37257-2023</t>
        </is>
      </c>
      <c r="B607" s="1" t="n">
        <v>45155.95586805556</v>
      </c>
      <c r="C607" s="1" t="n">
        <v>45971</v>
      </c>
      <c r="D607" t="inlineStr">
        <is>
          <t>VÄSTERBOTTENS LÄN</t>
        </is>
      </c>
      <c r="E607" t="inlineStr">
        <is>
          <t>VINDELN</t>
        </is>
      </c>
      <c r="F607" t="inlineStr">
        <is>
          <t>SCA</t>
        </is>
      </c>
      <c r="G607" t="n">
        <v>2.7</v>
      </c>
      <c r="H607" t="n">
        <v>0</v>
      </c>
      <c r="I607" t="n">
        <v>1</v>
      </c>
      <c r="J607" t="n">
        <v>1</v>
      </c>
      <c r="K607" t="n">
        <v>0</v>
      </c>
      <c r="L607" t="n">
        <v>0</v>
      </c>
      <c r="M607" t="n">
        <v>0</v>
      </c>
      <c r="N607" t="n">
        <v>0</v>
      </c>
      <c r="O607" t="n">
        <v>1</v>
      </c>
      <c r="P607" t="n">
        <v>0</v>
      </c>
      <c r="Q607" t="n">
        <v>2</v>
      </c>
      <c r="R607" s="2" t="inlineStr">
        <is>
          <t>Ullticka
Vedticka</t>
        </is>
      </c>
      <c r="S607">
        <f>HYPERLINK("https://klasma.github.io/Logging_2404/artfynd/A 37257-2023 artfynd.xlsx", "A 37257-2023")</f>
        <v/>
      </c>
      <c r="T607">
        <f>HYPERLINK("https://klasma.github.io/Logging_2404/kartor/A 37257-2023 karta.png", "A 37257-2023")</f>
        <v/>
      </c>
      <c r="V607">
        <f>HYPERLINK("https://klasma.github.io/Logging_2404/klagomål/A 37257-2023 FSC-klagomål.docx", "A 37257-2023")</f>
        <v/>
      </c>
      <c r="W607">
        <f>HYPERLINK("https://klasma.github.io/Logging_2404/klagomålsmail/A 37257-2023 FSC-klagomål mail.docx", "A 37257-2023")</f>
        <v/>
      </c>
      <c r="X607">
        <f>HYPERLINK("https://klasma.github.io/Logging_2404/tillsyn/A 37257-2023 tillsynsbegäran.docx", "A 37257-2023")</f>
        <v/>
      </c>
      <c r="Y607">
        <f>HYPERLINK("https://klasma.github.io/Logging_2404/tillsynsmail/A 37257-2023 tillsynsbegäran mail.docx", "A 37257-2023")</f>
        <v/>
      </c>
    </row>
    <row r="608" ht="15" customHeight="1">
      <c r="A608" t="inlineStr">
        <is>
          <t>A 1259-2024</t>
        </is>
      </c>
      <c r="B608" s="1" t="n">
        <v>45302</v>
      </c>
      <c r="C608" s="1" t="n">
        <v>45971</v>
      </c>
      <c r="D608" t="inlineStr">
        <is>
          <t>VÄSTERBOTTENS LÄN</t>
        </is>
      </c>
      <c r="E608" t="inlineStr">
        <is>
          <t>SKELLEFTEÅ</t>
        </is>
      </c>
      <c r="G608" t="n">
        <v>1.6</v>
      </c>
      <c r="H608" t="n">
        <v>0</v>
      </c>
      <c r="I608" t="n">
        <v>0</v>
      </c>
      <c r="J608" t="n">
        <v>2</v>
      </c>
      <c r="K608" t="n">
        <v>0</v>
      </c>
      <c r="L608" t="n">
        <v>0</v>
      </c>
      <c r="M608" t="n">
        <v>0</v>
      </c>
      <c r="N608" t="n">
        <v>0</v>
      </c>
      <c r="O608" t="n">
        <v>2</v>
      </c>
      <c r="P608" t="n">
        <v>0</v>
      </c>
      <c r="Q608" t="n">
        <v>2</v>
      </c>
      <c r="R608" s="2" t="inlineStr">
        <is>
          <t>Månlåsbräken
Nordlåsbräken</t>
        </is>
      </c>
      <c r="S608">
        <f>HYPERLINK("https://klasma.github.io/Logging_2482/artfynd/A 1259-2024 artfynd.xlsx", "A 1259-2024")</f>
        <v/>
      </c>
      <c r="T608">
        <f>HYPERLINK("https://klasma.github.io/Logging_2482/kartor/A 1259-2024 karta.png", "A 1259-2024")</f>
        <v/>
      </c>
      <c r="V608">
        <f>HYPERLINK("https://klasma.github.io/Logging_2482/klagomål/A 1259-2024 FSC-klagomål.docx", "A 1259-2024")</f>
        <v/>
      </c>
      <c r="W608">
        <f>HYPERLINK("https://klasma.github.io/Logging_2482/klagomålsmail/A 1259-2024 FSC-klagomål mail.docx", "A 1259-2024")</f>
        <v/>
      </c>
      <c r="X608">
        <f>HYPERLINK("https://klasma.github.io/Logging_2482/tillsyn/A 1259-2024 tillsynsbegäran.docx", "A 1259-2024")</f>
        <v/>
      </c>
      <c r="Y608">
        <f>HYPERLINK("https://klasma.github.io/Logging_2482/tillsynsmail/A 1259-2024 tillsynsbegäran mail.docx", "A 1259-2024")</f>
        <v/>
      </c>
    </row>
    <row r="609" ht="15" customHeight="1">
      <c r="A609" t="inlineStr">
        <is>
          <t>A 57222-2024</t>
        </is>
      </c>
      <c r="B609" s="1" t="n">
        <v>45629.52625</v>
      </c>
      <c r="C609" s="1" t="n">
        <v>45971</v>
      </c>
      <c r="D609" t="inlineStr">
        <is>
          <t>VÄSTERBOTTENS LÄN</t>
        </is>
      </c>
      <c r="E609" t="inlineStr">
        <is>
          <t>SKELLEFTEÅ</t>
        </is>
      </c>
      <c r="F609" t="inlineStr">
        <is>
          <t>Holmen skog AB</t>
        </is>
      </c>
      <c r="G609" t="n">
        <v>3.9</v>
      </c>
      <c r="H609" t="n">
        <v>1</v>
      </c>
      <c r="I609" t="n">
        <v>0</v>
      </c>
      <c r="J609" t="n">
        <v>1</v>
      </c>
      <c r="K609" t="n">
        <v>1</v>
      </c>
      <c r="L609" t="n">
        <v>0</v>
      </c>
      <c r="M609" t="n">
        <v>0</v>
      </c>
      <c r="N609" t="n">
        <v>0</v>
      </c>
      <c r="O609" t="n">
        <v>2</v>
      </c>
      <c r="P609" t="n">
        <v>1</v>
      </c>
      <c r="Q609" t="n">
        <v>2</v>
      </c>
      <c r="R609" s="2" t="inlineStr">
        <is>
          <t>Knärot
Gammelgransskål</t>
        </is>
      </c>
      <c r="S609">
        <f>HYPERLINK("https://klasma.github.io/Logging_2482/artfynd/A 57222-2024 artfynd.xlsx", "A 57222-2024")</f>
        <v/>
      </c>
      <c r="T609">
        <f>HYPERLINK("https://klasma.github.io/Logging_2482/kartor/A 57222-2024 karta.png", "A 57222-2024")</f>
        <v/>
      </c>
      <c r="U609">
        <f>HYPERLINK("https://klasma.github.io/Logging_2482/knärot/A 57222-2024 karta knärot.png", "A 57222-2024")</f>
        <v/>
      </c>
      <c r="V609">
        <f>HYPERLINK("https://klasma.github.io/Logging_2482/klagomål/A 57222-2024 FSC-klagomål.docx", "A 57222-2024")</f>
        <v/>
      </c>
      <c r="W609">
        <f>HYPERLINK("https://klasma.github.io/Logging_2482/klagomålsmail/A 57222-2024 FSC-klagomål mail.docx", "A 57222-2024")</f>
        <v/>
      </c>
      <c r="X609">
        <f>HYPERLINK("https://klasma.github.io/Logging_2482/tillsyn/A 57222-2024 tillsynsbegäran.docx", "A 57222-2024")</f>
        <v/>
      </c>
      <c r="Y609">
        <f>HYPERLINK("https://klasma.github.io/Logging_2482/tillsynsmail/A 57222-2024 tillsynsbegäran mail.docx", "A 57222-2024")</f>
        <v/>
      </c>
    </row>
    <row r="610" ht="15" customHeight="1">
      <c r="A610" t="inlineStr">
        <is>
          <t>A 22110-2024</t>
        </is>
      </c>
      <c r="B610" s="1" t="n">
        <v>45443</v>
      </c>
      <c r="C610" s="1" t="n">
        <v>45971</v>
      </c>
      <c r="D610" t="inlineStr">
        <is>
          <t>VÄSTERBOTTENS LÄN</t>
        </is>
      </c>
      <c r="E610" t="inlineStr">
        <is>
          <t>ÅSELE</t>
        </is>
      </c>
      <c r="F610" t="inlineStr">
        <is>
          <t>SCA</t>
        </is>
      </c>
      <c r="G610" t="n">
        <v>11.6</v>
      </c>
      <c r="H610" t="n">
        <v>0</v>
      </c>
      <c r="I610" t="n">
        <v>0</v>
      </c>
      <c r="J610" t="n">
        <v>2</v>
      </c>
      <c r="K610" t="n">
        <v>0</v>
      </c>
      <c r="L610" t="n">
        <v>0</v>
      </c>
      <c r="M610" t="n">
        <v>0</v>
      </c>
      <c r="N610" t="n">
        <v>0</v>
      </c>
      <c r="O610" t="n">
        <v>2</v>
      </c>
      <c r="P610" t="n">
        <v>0</v>
      </c>
      <c r="Q610" t="n">
        <v>2</v>
      </c>
      <c r="R610" s="2" t="inlineStr">
        <is>
          <t>Gammelgransskål
Lunglav</t>
        </is>
      </c>
      <c r="S610">
        <f>HYPERLINK("https://klasma.github.io/Logging_2463/artfynd/A 22110-2024 artfynd.xlsx", "A 22110-2024")</f>
        <v/>
      </c>
      <c r="T610">
        <f>HYPERLINK("https://klasma.github.io/Logging_2463/kartor/A 22110-2024 karta.png", "A 22110-2024")</f>
        <v/>
      </c>
      <c r="V610">
        <f>HYPERLINK("https://klasma.github.io/Logging_2463/klagomål/A 22110-2024 FSC-klagomål.docx", "A 22110-2024")</f>
        <v/>
      </c>
      <c r="W610">
        <f>HYPERLINK("https://klasma.github.io/Logging_2463/klagomålsmail/A 22110-2024 FSC-klagomål mail.docx", "A 22110-2024")</f>
        <v/>
      </c>
      <c r="X610">
        <f>HYPERLINK("https://klasma.github.io/Logging_2463/tillsyn/A 22110-2024 tillsynsbegäran.docx", "A 22110-2024")</f>
        <v/>
      </c>
      <c r="Y610">
        <f>HYPERLINK("https://klasma.github.io/Logging_2463/tillsynsmail/A 22110-2024 tillsynsbegäran mail.docx", "A 22110-2024")</f>
        <v/>
      </c>
    </row>
    <row r="611" ht="15" customHeight="1">
      <c r="A611" t="inlineStr">
        <is>
          <t>A 1059-2025</t>
        </is>
      </c>
      <c r="B611" s="1" t="n">
        <v>45666</v>
      </c>
      <c r="C611" s="1" t="n">
        <v>45971</v>
      </c>
      <c r="D611" t="inlineStr">
        <is>
          <t>VÄSTERBOTTENS LÄN</t>
        </is>
      </c>
      <c r="E611" t="inlineStr">
        <is>
          <t>VINDELN</t>
        </is>
      </c>
      <c r="F611" t="inlineStr">
        <is>
          <t>SCA</t>
        </is>
      </c>
      <c r="G611" t="n">
        <v>4.4</v>
      </c>
      <c r="H611" t="n">
        <v>1</v>
      </c>
      <c r="I611" t="n">
        <v>0</v>
      </c>
      <c r="J611" t="n">
        <v>2</v>
      </c>
      <c r="K611" t="n">
        <v>0</v>
      </c>
      <c r="L611" t="n">
        <v>0</v>
      </c>
      <c r="M611" t="n">
        <v>0</v>
      </c>
      <c r="N611" t="n">
        <v>0</v>
      </c>
      <c r="O611" t="n">
        <v>2</v>
      </c>
      <c r="P611" t="n">
        <v>0</v>
      </c>
      <c r="Q611" t="n">
        <v>2</v>
      </c>
      <c r="R611" s="2" t="inlineStr">
        <is>
          <t>Garnlav
Talltita</t>
        </is>
      </c>
      <c r="S611">
        <f>HYPERLINK("https://klasma.github.io/Logging_2404/artfynd/A 1059-2025 artfynd.xlsx", "A 1059-2025")</f>
        <v/>
      </c>
      <c r="T611">
        <f>HYPERLINK("https://klasma.github.io/Logging_2404/kartor/A 1059-2025 karta.png", "A 1059-2025")</f>
        <v/>
      </c>
      <c r="V611">
        <f>HYPERLINK("https://klasma.github.io/Logging_2404/klagomål/A 1059-2025 FSC-klagomål.docx", "A 1059-2025")</f>
        <v/>
      </c>
      <c r="W611">
        <f>HYPERLINK("https://klasma.github.io/Logging_2404/klagomålsmail/A 1059-2025 FSC-klagomål mail.docx", "A 1059-2025")</f>
        <v/>
      </c>
      <c r="X611">
        <f>HYPERLINK("https://klasma.github.io/Logging_2404/tillsyn/A 1059-2025 tillsynsbegäran.docx", "A 1059-2025")</f>
        <v/>
      </c>
      <c r="Y611">
        <f>HYPERLINK("https://klasma.github.io/Logging_2404/tillsynsmail/A 1059-2025 tillsynsbegäran mail.docx", "A 1059-2025")</f>
        <v/>
      </c>
      <c r="Z611">
        <f>HYPERLINK("https://klasma.github.io/Logging_2404/fåglar/A 1059-2025 prioriterade fågelarter.docx", "A 1059-2025")</f>
        <v/>
      </c>
    </row>
    <row r="612" ht="15" customHeight="1">
      <c r="A612" t="inlineStr">
        <is>
          <t>A 6704-2021</t>
        </is>
      </c>
      <c r="B612" s="1" t="n">
        <v>44235</v>
      </c>
      <c r="C612" s="1" t="n">
        <v>45971</v>
      </c>
      <c r="D612" t="inlineStr">
        <is>
          <t>VÄSTERBOTTENS LÄN</t>
        </is>
      </c>
      <c r="E612" t="inlineStr">
        <is>
          <t>VILHELMINA</t>
        </is>
      </c>
      <c r="G612" t="n">
        <v>14.5</v>
      </c>
      <c r="H612" t="n">
        <v>1</v>
      </c>
      <c r="I612" t="n">
        <v>1</v>
      </c>
      <c r="J612" t="n">
        <v>1</v>
      </c>
      <c r="K612" t="n">
        <v>0</v>
      </c>
      <c r="L612" t="n">
        <v>0</v>
      </c>
      <c r="M612" t="n">
        <v>0</v>
      </c>
      <c r="N612" t="n">
        <v>0</v>
      </c>
      <c r="O612" t="n">
        <v>1</v>
      </c>
      <c r="P612" t="n">
        <v>0</v>
      </c>
      <c r="Q612" t="n">
        <v>2</v>
      </c>
      <c r="R612" s="2" t="inlineStr">
        <is>
          <t>Tretåig hackspett
Trådticka</t>
        </is>
      </c>
      <c r="S612">
        <f>HYPERLINK("https://klasma.github.io/Logging_2462/artfynd/A 6704-2021 artfynd.xlsx", "A 6704-2021")</f>
        <v/>
      </c>
      <c r="T612">
        <f>HYPERLINK("https://klasma.github.io/Logging_2462/kartor/A 6704-2021 karta.png", "A 6704-2021")</f>
        <v/>
      </c>
      <c r="V612">
        <f>HYPERLINK("https://klasma.github.io/Logging_2462/klagomål/A 6704-2021 FSC-klagomål.docx", "A 6704-2021")</f>
        <v/>
      </c>
      <c r="W612">
        <f>HYPERLINK("https://klasma.github.io/Logging_2462/klagomålsmail/A 6704-2021 FSC-klagomål mail.docx", "A 6704-2021")</f>
        <v/>
      </c>
      <c r="X612">
        <f>HYPERLINK("https://klasma.github.io/Logging_2462/tillsyn/A 6704-2021 tillsynsbegäran.docx", "A 6704-2021")</f>
        <v/>
      </c>
      <c r="Y612">
        <f>HYPERLINK("https://klasma.github.io/Logging_2462/tillsynsmail/A 6704-2021 tillsynsbegäran mail.docx", "A 6704-2021")</f>
        <v/>
      </c>
      <c r="Z612">
        <f>HYPERLINK("https://klasma.github.io/Logging_2462/fåglar/A 6704-2021 prioriterade fågelarter.docx", "A 6704-2021")</f>
        <v/>
      </c>
    </row>
    <row r="613" ht="15" customHeight="1">
      <c r="A613" t="inlineStr">
        <is>
          <t>A 38052-2024</t>
        </is>
      </c>
      <c r="B613" s="1" t="n">
        <v>45544.70700231481</v>
      </c>
      <c r="C613" s="1" t="n">
        <v>45971</v>
      </c>
      <c r="D613" t="inlineStr">
        <is>
          <t>VÄSTERBOTTENS LÄN</t>
        </is>
      </c>
      <c r="E613" t="inlineStr">
        <is>
          <t>NORSJÖ</t>
        </is>
      </c>
      <c r="F613" t="inlineStr">
        <is>
          <t>Holmen skog AB</t>
        </is>
      </c>
      <c r="G613" t="n">
        <v>3.4</v>
      </c>
      <c r="H613" t="n">
        <v>1</v>
      </c>
      <c r="I613" t="n">
        <v>0</v>
      </c>
      <c r="J613" t="n">
        <v>1</v>
      </c>
      <c r="K613" t="n">
        <v>0</v>
      </c>
      <c r="L613" t="n">
        <v>0</v>
      </c>
      <c r="M613" t="n">
        <v>0</v>
      </c>
      <c r="N613" t="n">
        <v>0</v>
      </c>
      <c r="O613" t="n">
        <v>1</v>
      </c>
      <c r="P613" t="n">
        <v>0</v>
      </c>
      <c r="Q613" t="n">
        <v>2</v>
      </c>
      <c r="R613" s="2" t="inlineStr">
        <is>
          <t>Garnlav
Fläcknycklar</t>
        </is>
      </c>
      <c r="S613">
        <f>HYPERLINK("https://klasma.github.io/Logging_2417/artfynd/A 38052-2024 artfynd.xlsx", "A 38052-2024")</f>
        <v/>
      </c>
      <c r="T613">
        <f>HYPERLINK("https://klasma.github.io/Logging_2417/kartor/A 38052-2024 karta.png", "A 38052-2024")</f>
        <v/>
      </c>
      <c r="V613">
        <f>HYPERLINK("https://klasma.github.io/Logging_2417/klagomål/A 38052-2024 FSC-klagomål.docx", "A 38052-2024")</f>
        <v/>
      </c>
      <c r="W613">
        <f>HYPERLINK("https://klasma.github.io/Logging_2417/klagomålsmail/A 38052-2024 FSC-klagomål mail.docx", "A 38052-2024")</f>
        <v/>
      </c>
      <c r="X613">
        <f>HYPERLINK("https://klasma.github.io/Logging_2417/tillsyn/A 38052-2024 tillsynsbegäran.docx", "A 38052-2024")</f>
        <v/>
      </c>
      <c r="Y613">
        <f>HYPERLINK("https://klasma.github.io/Logging_2417/tillsynsmail/A 38052-2024 tillsynsbegäran mail.docx", "A 38052-2024")</f>
        <v/>
      </c>
    </row>
    <row r="614" ht="15" customHeight="1">
      <c r="A614" t="inlineStr">
        <is>
          <t>A 38776-2025</t>
        </is>
      </c>
      <c r="B614" s="1" t="n">
        <v>45887.42761574074</v>
      </c>
      <c r="C614" s="1" t="n">
        <v>45971</v>
      </c>
      <c r="D614" t="inlineStr">
        <is>
          <t>VÄSTERBOTTENS LÄN</t>
        </is>
      </c>
      <c r="E614" t="inlineStr">
        <is>
          <t>LYCKSELE</t>
        </is>
      </c>
      <c r="F614" t="inlineStr">
        <is>
          <t>Sveaskog</t>
        </is>
      </c>
      <c r="G614" t="n">
        <v>7.5</v>
      </c>
      <c r="H614" t="n">
        <v>0</v>
      </c>
      <c r="I614" t="n">
        <v>1</v>
      </c>
      <c r="J614" t="n">
        <v>1</v>
      </c>
      <c r="K614" t="n">
        <v>0</v>
      </c>
      <c r="L614" t="n">
        <v>0</v>
      </c>
      <c r="M614" t="n">
        <v>0</v>
      </c>
      <c r="N614" t="n">
        <v>0</v>
      </c>
      <c r="O614" t="n">
        <v>1</v>
      </c>
      <c r="P614" t="n">
        <v>0</v>
      </c>
      <c r="Q614" t="n">
        <v>2</v>
      </c>
      <c r="R614" s="2" t="inlineStr">
        <is>
          <t>Kolflarnlav
Dropptaggsvamp</t>
        </is>
      </c>
      <c r="S614">
        <f>HYPERLINK("https://klasma.github.io/Logging_2481/artfynd/A 38776-2025 artfynd.xlsx", "A 38776-2025")</f>
        <v/>
      </c>
      <c r="T614">
        <f>HYPERLINK("https://klasma.github.io/Logging_2481/kartor/A 38776-2025 karta.png", "A 38776-2025")</f>
        <v/>
      </c>
      <c r="V614">
        <f>HYPERLINK("https://klasma.github.io/Logging_2481/klagomål/A 38776-2025 FSC-klagomål.docx", "A 38776-2025")</f>
        <v/>
      </c>
      <c r="W614">
        <f>HYPERLINK("https://klasma.github.io/Logging_2481/klagomålsmail/A 38776-2025 FSC-klagomål mail.docx", "A 38776-2025")</f>
        <v/>
      </c>
      <c r="X614">
        <f>HYPERLINK("https://klasma.github.io/Logging_2481/tillsyn/A 38776-2025 tillsynsbegäran.docx", "A 38776-2025")</f>
        <v/>
      </c>
      <c r="Y614">
        <f>HYPERLINK("https://klasma.github.io/Logging_2481/tillsynsmail/A 38776-2025 tillsynsbegäran mail.docx", "A 38776-2025")</f>
        <v/>
      </c>
    </row>
    <row r="615" ht="15" customHeight="1">
      <c r="A615" t="inlineStr">
        <is>
          <t>A 19492-2025</t>
        </is>
      </c>
      <c r="B615" s="1" t="n">
        <v>45770.38863425926</v>
      </c>
      <c r="C615" s="1" t="n">
        <v>45971</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45971</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15197-2023</t>
        </is>
      </c>
      <c r="B617" s="1" t="n">
        <v>45016</v>
      </c>
      <c r="C617" s="1" t="n">
        <v>45971</v>
      </c>
      <c r="D617" t="inlineStr">
        <is>
          <t>VÄSTERBOTTENS LÄN</t>
        </is>
      </c>
      <c r="E617" t="inlineStr">
        <is>
          <t>LYCKSELE</t>
        </is>
      </c>
      <c r="G617" t="n">
        <v>11.2</v>
      </c>
      <c r="H617" t="n">
        <v>0</v>
      </c>
      <c r="I617" t="n">
        <v>1</v>
      </c>
      <c r="J617" t="n">
        <v>1</v>
      </c>
      <c r="K617" t="n">
        <v>0</v>
      </c>
      <c r="L617" t="n">
        <v>0</v>
      </c>
      <c r="M617" t="n">
        <v>0</v>
      </c>
      <c r="N617" t="n">
        <v>0</v>
      </c>
      <c r="O617" t="n">
        <v>1</v>
      </c>
      <c r="P617" t="n">
        <v>0</v>
      </c>
      <c r="Q617" t="n">
        <v>2</v>
      </c>
      <c r="R617" s="2" t="inlineStr">
        <is>
          <t>Vaddporing
Dropptaggsvamp</t>
        </is>
      </c>
      <c r="S617">
        <f>HYPERLINK("https://klasma.github.io/Logging_2481/artfynd/A 15197-2023 artfynd.xlsx", "A 15197-2023")</f>
        <v/>
      </c>
      <c r="T617">
        <f>HYPERLINK("https://klasma.github.io/Logging_2481/kartor/A 15197-2023 karta.png", "A 15197-2023")</f>
        <v/>
      </c>
      <c r="V617">
        <f>HYPERLINK("https://klasma.github.io/Logging_2481/klagomål/A 15197-2023 FSC-klagomål.docx", "A 15197-2023")</f>
        <v/>
      </c>
      <c r="W617">
        <f>HYPERLINK("https://klasma.github.io/Logging_2481/klagomålsmail/A 15197-2023 FSC-klagomål mail.docx", "A 15197-2023")</f>
        <v/>
      </c>
      <c r="X617">
        <f>HYPERLINK("https://klasma.github.io/Logging_2481/tillsyn/A 15197-2023 tillsynsbegäran.docx", "A 15197-2023")</f>
        <v/>
      </c>
      <c r="Y617">
        <f>HYPERLINK("https://klasma.github.io/Logging_2481/tillsynsmail/A 15197-2023 tillsynsbegäran mail.docx", "A 15197-2023")</f>
        <v/>
      </c>
    </row>
    <row r="618" ht="15" customHeight="1">
      <c r="A618" t="inlineStr">
        <is>
          <t>A 63236-2020</t>
        </is>
      </c>
      <c r="B618" s="1" t="n">
        <v>44163</v>
      </c>
      <c r="C618" s="1" t="n">
        <v>45971</v>
      </c>
      <c r="D618" t="inlineStr">
        <is>
          <t>VÄSTERBOTTENS LÄN</t>
        </is>
      </c>
      <c r="E618" t="inlineStr">
        <is>
          <t>ROBERTSFORS</t>
        </is>
      </c>
      <c r="F618" t="inlineStr">
        <is>
          <t>Sveaskog</t>
        </is>
      </c>
      <c r="G618" t="n">
        <v>0.7</v>
      </c>
      <c r="H618" t="n">
        <v>0</v>
      </c>
      <c r="I618" t="n">
        <v>0</v>
      </c>
      <c r="J618" t="n">
        <v>2</v>
      </c>
      <c r="K618" t="n">
        <v>0</v>
      </c>
      <c r="L618" t="n">
        <v>0</v>
      </c>
      <c r="M618" t="n">
        <v>0</v>
      </c>
      <c r="N618" t="n">
        <v>0</v>
      </c>
      <c r="O618" t="n">
        <v>2</v>
      </c>
      <c r="P618" t="n">
        <v>0</v>
      </c>
      <c r="Q618" t="n">
        <v>2</v>
      </c>
      <c r="R618" s="2" t="inlineStr">
        <is>
          <t>Gammelgransskål
Garnlav</t>
        </is>
      </c>
      <c r="S618">
        <f>HYPERLINK("https://klasma.github.io/Logging_2409/artfynd/A 63236-2020 artfynd.xlsx", "A 63236-2020")</f>
        <v/>
      </c>
      <c r="T618">
        <f>HYPERLINK("https://klasma.github.io/Logging_2409/kartor/A 63236-2020 karta.png", "A 63236-2020")</f>
        <v/>
      </c>
      <c r="V618">
        <f>HYPERLINK("https://klasma.github.io/Logging_2409/klagomål/A 63236-2020 FSC-klagomål.docx", "A 63236-2020")</f>
        <v/>
      </c>
      <c r="W618">
        <f>HYPERLINK("https://klasma.github.io/Logging_2409/klagomålsmail/A 63236-2020 FSC-klagomål mail.docx", "A 63236-2020")</f>
        <v/>
      </c>
      <c r="X618">
        <f>HYPERLINK("https://klasma.github.io/Logging_2409/tillsyn/A 63236-2020 tillsynsbegäran.docx", "A 63236-2020")</f>
        <v/>
      </c>
      <c r="Y618">
        <f>HYPERLINK("https://klasma.github.io/Logging_2409/tillsynsmail/A 63236-2020 tillsynsbegäran mail.docx", "A 63236-2020")</f>
        <v/>
      </c>
    </row>
    <row r="619" ht="15" customHeight="1">
      <c r="A619" t="inlineStr">
        <is>
          <t>A 41723-2024</t>
        </is>
      </c>
      <c r="B619" s="1" t="n">
        <v>45560</v>
      </c>
      <c r="C619" s="1" t="n">
        <v>45971</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65586-2021</t>
        </is>
      </c>
      <c r="B620" s="1" t="n">
        <v>44518</v>
      </c>
      <c r="C620" s="1" t="n">
        <v>45971</v>
      </c>
      <c r="D620" t="inlineStr">
        <is>
          <t>VÄSTERBOTTENS LÄN</t>
        </is>
      </c>
      <c r="E620" t="inlineStr">
        <is>
          <t>VILHELMINA</t>
        </is>
      </c>
      <c r="G620" t="n">
        <v>38</v>
      </c>
      <c r="H620" t="n">
        <v>2</v>
      </c>
      <c r="I620" t="n">
        <v>0</v>
      </c>
      <c r="J620" t="n">
        <v>1</v>
      </c>
      <c r="K620" t="n">
        <v>1</v>
      </c>
      <c r="L620" t="n">
        <v>0</v>
      </c>
      <c r="M620" t="n">
        <v>0</v>
      </c>
      <c r="N620" t="n">
        <v>0</v>
      </c>
      <c r="O620" t="n">
        <v>2</v>
      </c>
      <c r="P620" t="n">
        <v>1</v>
      </c>
      <c r="Q620" t="n">
        <v>2</v>
      </c>
      <c r="R620" s="2" t="inlineStr">
        <is>
          <t>Lappuggla
Tretåig hackspett</t>
        </is>
      </c>
      <c r="S620">
        <f>HYPERLINK("https://klasma.github.io/Logging_2462/artfynd/A 65586-2021 artfynd.xlsx", "A 65586-2021")</f>
        <v/>
      </c>
      <c r="T620">
        <f>HYPERLINK("https://klasma.github.io/Logging_2462/kartor/A 65586-2021 karta.png", "A 65586-2021")</f>
        <v/>
      </c>
      <c r="V620">
        <f>HYPERLINK("https://klasma.github.io/Logging_2462/klagomål/A 65586-2021 FSC-klagomål.docx", "A 65586-2021")</f>
        <v/>
      </c>
      <c r="W620">
        <f>HYPERLINK("https://klasma.github.io/Logging_2462/klagomålsmail/A 65586-2021 FSC-klagomål mail.docx", "A 65586-2021")</f>
        <v/>
      </c>
      <c r="X620">
        <f>HYPERLINK("https://klasma.github.io/Logging_2462/tillsyn/A 65586-2021 tillsynsbegäran.docx", "A 65586-2021")</f>
        <v/>
      </c>
      <c r="Y620">
        <f>HYPERLINK("https://klasma.github.io/Logging_2462/tillsynsmail/A 65586-2021 tillsynsbegäran mail.docx", "A 65586-2021")</f>
        <v/>
      </c>
      <c r="Z620">
        <f>HYPERLINK("https://klasma.github.io/Logging_2462/fåglar/A 65586-2021 prioriterade fågelarter.docx", "A 65586-2021")</f>
        <v/>
      </c>
    </row>
    <row r="621" ht="15" customHeight="1">
      <c r="A621" t="inlineStr">
        <is>
          <t>A 25712-2024</t>
        </is>
      </c>
      <c r="B621" s="1" t="n">
        <v>45463</v>
      </c>
      <c r="C621" s="1" t="n">
        <v>45971</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57060-2024</t>
        </is>
      </c>
      <c r="B622" s="1" t="n">
        <v>45629</v>
      </c>
      <c r="C622" s="1" t="n">
        <v>45971</v>
      </c>
      <c r="D622" t="inlineStr">
        <is>
          <t>VÄSTERBOTTENS LÄN</t>
        </is>
      </c>
      <c r="E622" t="inlineStr">
        <is>
          <t>DOROTEA</t>
        </is>
      </c>
      <c r="F622" t="inlineStr">
        <is>
          <t>SCA</t>
        </is>
      </c>
      <c r="G622" t="n">
        <v>8.9</v>
      </c>
      <c r="H622" t="n">
        <v>0</v>
      </c>
      <c r="I622" t="n">
        <v>0</v>
      </c>
      <c r="J622" t="n">
        <v>2</v>
      </c>
      <c r="K622" t="n">
        <v>0</v>
      </c>
      <c r="L622" t="n">
        <v>0</v>
      </c>
      <c r="M622" t="n">
        <v>0</v>
      </c>
      <c r="N622" t="n">
        <v>0</v>
      </c>
      <c r="O622" t="n">
        <v>2</v>
      </c>
      <c r="P622" t="n">
        <v>0</v>
      </c>
      <c r="Q622" t="n">
        <v>2</v>
      </c>
      <c r="R622" s="2" t="inlineStr">
        <is>
          <t>Garnlav
Granticka</t>
        </is>
      </c>
      <c r="S622">
        <f>HYPERLINK("https://klasma.github.io/Logging_2425/artfynd/A 57060-2024 artfynd.xlsx", "A 57060-2024")</f>
        <v/>
      </c>
      <c r="T622">
        <f>HYPERLINK("https://klasma.github.io/Logging_2425/kartor/A 57060-2024 karta.png", "A 57060-2024")</f>
        <v/>
      </c>
      <c r="V622">
        <f>HYPERLINK("https://klasma.github.io/Logging_2425/klagomål/A 57060-2024 FSC-klagomål.docx", "A 57060-2024")</f>
        <v/>
      </c>
      <c r="W622">
        <f>HYPERLINK("https://klasma.github.io/Logging_2425/klagomålsmail/A 57060-2024 FSC-klagomål mail.docx", "A 57060-2024")</f>
        <v/>
      </c>
      <c r="X622">
        <f>HYPERLINK("https://klasma.github.io/Logging_2425/tillsyn/A 57060-2024 tillsynsbegäran.docx", "A 57060-2024")</f>
        <v/>
      </c>
      <c r="Y622">
        <f>HYPERLINK("https://klasma.github.io/Logging_2425/tillsynsmail/A 57060-2024 tillsynsbegäran mail.docx", "A 57060-2024")</f>
        <v/>
      </c>
    </row>
    <row r="623" ht="15" customHeight="1">
      <c r="A623" t="inlineStr">
        <is>
          <t>A 32618-2024</t>
        </is>
      </c>
      <c r="B623" s="1" t="n">
        <v>45513.68399305556</v>
      </c>
      <c r="C623" s="1" t="n">
        <v>45971</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55632-2023</t>
        </is>
      </c>
      <c r="B624" s="1" t="n">
        <v>45238</v>
      </c>
      <c r="C624" s="1" t="n">
        <v>45971</v>
      </c>
      <c r="D624" t="inlineStr">
        <is>
          <t>VÄSTERBOTTENS LÄN</t>
        </is>
      </c>
      <c r="E624" t="inlineStr">
        <is>
          <t>NORDMALING</t>
        </is>
      </c>
      <c r="G624" t="n">
        <v>1</v>
      </c>
      <c r="H624" t="n">
        <v>0</v>
      </c>
      <c r="I624" t="n">
        <v>1</v>
      </c>
      <c r="J624" t="n">
        <v>1</v>
      </c>
      <c r="K624" t="n">
        <v>0</v>
      </c>
      <c r="L624" t="n">
        <v>0</v>
      </c>
      <c r="M624" t="n">
        <v>0</v>
      </c>
      <c r="N624" t="n">
        <v>0</v>
      </c>
      <c r="O624" t="n">
        <v>1</v>
      </c>
      <c r="P624" t="n">
        <v>0</v>
      </c>
      <c r="Q624" t="n">
        <v>2</v>
      </c>
      <c r="R624" s="2" t="inlineStr">
        <is>
          <t>Garnlav
Skinnlav</t>
        </is>
      </c>
      <c r="S624">
        <f>HYPERLINK("https://klasma.github.io/Logging_2401/artfynd/A 55632-2023 artfynd.xlsx", "A 55632-2023")</f>
        <v/>
      </c>
      <c r="T624">
        <f>HYPERLINK("https://klasma.github.io/Logging_2401/kartor/A 55632-2023 karta.png", "A 55632-2023")</f>
        <v/>
      </c>
      <c r="V624">
        <f>HYPERLINK("https://klasma.github.io/Logging_2401/klagomål/A 55632-2023 FSC-klagomål.docx", "A 55632-2023")</f>
        <v/>
      </c>
      <c r="W624">
        <f>HYPERLINK("https://klasma.github.io/Logging_2401/klagomålsmail/A 55632-2023 FSC-klagomål mail.docx", "A 55632-2023")</f>
        <v/>
      </c>
      <c r="X624">
        <f>HYPERLINK("https://klasma.github.io/Logging_2401/tillsyn/A 55632-2023 tillsynsbegäran.docx", "A 55632-2023")</f>
        <v/>
      </c>
      <c r="Y624">
        <f>HYPERLINK("https://klasma.github.io/Logging_2401/tillsynsmail/A 55632-2023 tillsynsbegäran mail.docx", "A 55632-2023")</f>
        <v/>
      </c>
    </row>
    <row r="625" ht="15" customHeight="1">
      <c r="A625" t="inlineStr">
        <is>
          <t>A 69023-2021</t>
        </is>
      </c>
      <c r="B625" s="1" t="n">
        <v>44529</v>
      </c>
      <c r="C625" s="1" t="n">
        <v>45971</v>
      </c>
      <c r="D625" t="inlineStr">
        <is>
          <t>VÄSTERBOTTENS LÄN</t>
        </is>
      </c>
      <c r="E625" t="inlineStr">
        <is>
          <t>VILHELMINA</t>
        </is>
      </c>
      <c r="G625" t="n">
        <v>88</v>
      </c>
      <c r="H625" t="n">
        <v>0</v>
      </c>
      <c r="I625" t="n">
        <v>0</v>
      </c>
      <c r="J625" t="n">
        <v>2</v>
      </c>
      <c r="K625" t="n">
        <v>0</v>
      </c>
      <c r="L625" t="n">
        <v>0</v>
      </c>
      <c r="M625" t="n">
        <v>0</v>
      </c>
      <c r="N625" t="n">
        <v>0</v>
      </c>
      <c r="O625" t="n">
        <v>2</v>
      </c>
      <c r="P625" t="n">
        <v>0</v>
      </c>
      <c r="Q625" t="n">
        <v>2</v>
      </c>
      <c r="R625" s="2" t="inlineStr">
        <is>
          <t>Garnlav
Lunglav</t>
        </is>
      </c>
      <c r="S625">
        <f>HYPERLINK("https://klasma.github.io/Logging_2462/artfynd/A 69023-2021 artfynd.xlsx", "A 69023-2021")</f>
        <v/>
      </c>
      <c r="T625">
        <f>HYPERLINK("https://klasma.github.io/Logging_2462/kartor/A 69023-2021 karta.png", "A 69023-2021")</f>
        <v/>
      </c>
      <c r="V625">
        <f>HYPERLINK("https://klasma.github.io/Logging_2462/klagomål/A 69023-2021 FSC-klagomål.docx", "A 69023-2021")</f>
        <v/>
      </c>
      <c r="W625">
        <f>HYPERLINK("https://klasma.github.io/Logging_2462/klagomålsmail/A 69023-2021 FSC-klagomål mail.docx", "A 69023-2021")</f>
        <v/>
      </c>
      <c r="X625">
        <f>HYPERLINK("https://klasma.github.io/Logging_2462/tillsyn/A 69023-2021 tillsynsbegäran.docx", "A 69023-2021")</f>
        <v/>
      </c>
      <c r="Y625">
        <f>HYPERLINK("https://klasma.github.io/Logging_2462/tillsynsmail/A 69023-2021 tillsynsbegäran mail.docx", "A 69023-2021")</f>
        <v/>
      </c>
    </row>
    <row r="626" ht="15" customHeight="1">
      <c r="A626" t="inlineStr">
        <is>
          <t>A 27295-2024</t>
        </is>
      </c>
      <c r="B626" s="1" t="n">
        <v>45471.94290509259</v>
      </c>
      <c r="C626" s="1" t="n">
        <v>45971</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60379-2024</t>
        </is>
      </c>
      <c r="B627" s="1" t="n">
        <v>45643</v>
      </c>
      <c r="C627" s="1" t="n">
        <v>45971</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59706-2021</t>
        </is>
      </c>
      <c r="B628" s="1" t="n">
        <v>44494</v>
      </c>
      <c r="C628" s="1" t="n">
        <v>45971</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45971</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45971</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43743-2024</t>
        </is>
      </c>
      <c r="B631" s="1" t="n">
        <v>45569.66039351852</v>
      </c>
      <c r="C631" s="1" t="n">
        <v>45971</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901-2023</t>
        </is>
      </c>
      <c r="B632" s="1" t="n">
        <v>44931.92556712963</v>
      </c>
      <c r="C632" s="1" t="n">
        <v>45971</v>
      </c>
      <c r="D632" t="inlineStr">
        <is>
          <t>VÄSTERBOTTENS LÄN</t>
        </is>
      </c>
      <c r="E632" t="inlineStr">
        <is>
          <t>SKELLEFTEÅ</t>
        </is>
      </c>
      <c r="G632" t="n">
        <v>7.7</v>
      </c>
      <c r="H632" t="n">
        <v>0</v>
      </c>
      <c r="I632" t="n">
        <v>0</v>
      </c>
      <c r="J632" t="n">
        <v>2</v>
      </c>
      <c r="K632" t="n">
        <v>0</v>
      </c>
      <c r="L632" t="n">
        <v>0</v>
      </c>
      <c r="M632" t="n">
        <v>0</v>
      </c>
      <c r="N632" t="n">
        <v>0</v>
      </c>
      <c r="O632" t="n">
        <v>2</v>
      </c>
      <c r="P632" t="n">
        <v>0</v>
      </c>
      <c r="Q632" t="n">
        <v>2</v>
      </c>
      <c r="R632" s="2" t="inlineStr">
        <is>
          <t>Garnlav
Skogshare</t>
        </is>
      </c>
      <c r="S632">
        <f>HYPERLINK("https://klasma.github.io/Logging_2482/artfynd/A 901-2023 artfynd.xlsx", "A 901-2023")</f>
        <v/>
      </c>
      <c r="T632">
        <f>HYPERLINK("https://klasma.github.io/Logging_2482/kartor/A 901-2023 karta.png", "A 901-2023")</f>
        <v/>
      </c>
      <c r="V632">
        <f>HYPERLINK("https://klasma.github.io/Logging_2482/klagomål/A 901-2023 FSC-klagomål.docx", "A 901-2023")</f>
        <v/>
      </c>
      <c r="W632">
        <f>HYPERLINK("https://klasma.github.io/Logging_2482/klagomålsmail/A 901-2023 FSC-klagomål mail.docx", "A 901-2023")</f>
        <v/>
      </c>
      <c r="X632">
        <f>HYPERLINK("https://klasma.github.io/Logging_2482/tillsyn/A 901-2023 tillsynsbegäran.docx", "A 901-2023")</f>
        <v/>
      </c>
      <c r="Y632">
        <f>HYPERLINK("https://klasma.github.io/Logging_2482/tillsynsmail/A 901-2023 tillsynsbegäran mail.docx", "A 901-2023")</f>
        <v/>
      </c>
    </row>
    <row r="633" ht="15" customHeight="1">
      <c r="A633" t="inlineStr">
        <is>
          <t>A 54779-2024</t>
        </is>
      </c>
      <c r="B633" s="1" t="n">
        <v>45618</v>
      </c>
      <c r="C633" s="1" t="n">
        <v>45971</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46391-2024</t>
        </is>
      </c>
      <c r="B634" s="1" t="n">
        <v>45582</v>
      </c>
      <c r="C634" s="1" t="n">
        <v>45971</v>
      </c>
      <c r="D634" t="inlineStr">
        <is>
          <t>VÄSTERBOTTENS LÄN</t>
        </is>
      </c>
      <c r="E634" t="inlineStr">
        <is>
          <t>VILHELMINA</t>
        </is>
      </c>
      <c r="F634" t="inlineStr">
        <is>
          <t>SCA</t>
        </is>
      </c>
      <c r="G634" t="n">
        <v>23.4</v>
      </c>
      <c r="H634" t="n">
        <v>0</v>
      </c>
      <c r="I634" t="n">
        <v>0</v>
      </c>
      <c r="J634" t="n">
        <v>2</v>
      </c>
      <c r="K634" t="n">
        <v>0</v>
      </c>
      <c r="L634" t="n">
        <v>0</v>
      </c>
      <c r="M634" t="n">
        <v>0</v>
      </c>
      <c r="N634" t="n">
        <v>0</v>
      </c>
      <c r="O634" t="n">
        <v>2</v>
      </c>
      <c r="P634" t="n">
        <v>0</v>
      </c>
      <c r="Q634" t="n">
        <v>2</v>
      </c>
      <c r="R634" s="2" t="inlineStr">
        <is>
          <t>Granticka
Gränsticka</t>
        </is>
      </c>
      <c r="S634">
        <f>HYPERLINK("https://klasma.github.io/Logging_2462/artfynd/A 46391-2024 artfynd.xlsx", "A 46391-2024")</f>
        <v/>
      </c>
      <c r="T634">
        <f>HYPERLINK("https://klasma.github.io/Logging_2462/kartor/A 46391-2024 karta.png", "A 46391-2024")</f>
        <v/>
      </c>
      <c r="V634">
        <f>HYPERLINK("https://klasma.github.io/Logging_2462/klagomål/A 46391-2024 FSC-klagomål.docx", "A 46391-2024")</f>
        <v/>
      </c>
      <c r="W634">
        <f>HYPERLINK("https://klasma.github.io/Logging_2462/klagomålsmail/A 46391-2024 FSC-klagomål mail.docx", "A 46391-2024")</f>
        <v/>
      </c>
      <c r="X634">
        <f>HYPERLINK("https://klasma.github.io/Logging_2462/tillsyn/A 46391-2024 tillsynsbegäran.docx", "A 46391-2024")</f>
        <v/>
      </c>
      <c r="Y634">
        <f>HYPERLINK("https://klasma.github.io/Logging_2462/tillsynsmail/A 46391-2024 tillsynsbegäran mail.docx", "A 46391-2024")</f>
        <v/>
      </c>
    </row>
    <row r="635" ht="15" customHeight="1">
      <c r="A635" t="inlineStr">
        <is>
          <t>A 49136-2024</t>
        </is>
      </c>
      <c r="B635" s="1" t="n">
        <v>45594.70607638889</v>
      </c>
      <c r="C635" s="1" t="n">
        <v>45971</v>
      </c>
      <c r="D635" t="inlineStr">
        <is>
          <t>VÄSTERBOTTENS LÄN</t>
        </is>
      </c>
      <c r="E635" t="inlineStr">
        <is>
          <t>UMEÅ</t>
        </is>
      </c>
      <c r="G635" t="n">
        <v>2.7</v>
      </c>
      <c r="H635" t="n">
        <v>0</v>
      </c>
      <c r="I635" t="n">
        <v>0</v>
      </c>
      <c r="J635" t="n">
        <v>2</v>
      </c>
      <c r="K635" t="n">
        <v>0</v>
      </c>
      <c r="L635" t="n">
        <v>0</v>
      </c>
      <c r="M635" t="n">
        <v>0</v>
      </c>
      <c r="N635" t="n">
        <v>0</v>
      </c>
      <c r="O635" t="n">
        <v>2</v>
      </c>
      <c r="P635" t="n">
        <v>0</v>
      </c>
      <c r="Q635" t="n">
        <v>2</v>
      </c>
      <c r="R635" s="2" t="inlineStr">
        <is>
          <t>Garnlav
Lunglav</t>
        </is>
      </c>
      <c r="S635">
        <f>HYPERLINK("https://klasma.github.io/Logging_2480/artfynd/A 49136-2024 artfynd.xlsx", "A 49136-2024")</f>
        <v/>
      </c>
      <c r="T635">
        <f>HYPERLINK("https://klasma.github.io/Logging_2480/kartor/A 49136-2024 karta.png", "A 49136-2024")</f>
        <v/>
      </c>
      <c r="V635">
        <f>HYPERLINK("https://klasma.github.io/Logging_2480/klagomål/A 49136-2024 FSC-klagomål.docx", "A 49136-2024")</f>
        <v/>
      </c>
      <c r="W635">
        <f>HYPERLINK("https://klasma.github.io/Logging_2480/klagomålsmail/A 49136-2024 FSC-klagomål mail.docx", "A 49136-2024")</f>
        <v/>
      </c>
      <c r="X635">
        <f>HYPERLINK("https://klasma.github.io/Logging_2480/tillsyn/A 49136-2024 tillsynsbegäran.docx", "A 49136-2024")</f>
        <v/>
      </c>
      <c r="Y635">
        <f>HYPERLINK("https://klasma.github.io/Logging_2480/tillsynsmail/A 49136-2024 tillsynsbegäran mail.docx", "A 49136-2024")</f>
        <v/>
      </c>
    </row>
    <row r="636" ht="15" customHeight="1">
      <c r="A636" t="inlineStr">
        <is>
          <t>A 57675-2024</t>
        </is>
      </c>
      <c r="B636" s="1" t="n">
        <v>45630</v>
      </c>
      <c r="C636" s="1" t="n">
        <v>45971</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9771-2022</t>
        </is>
      </c>
      <c r="B637" s="1" t="n">
        <v>44619</v>
      </c>
      <c r="C637" s="1" t="n">
        <v>45971</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58624-2022</t>
        </is>
      </c>
      <c r="B638" s="1" t="n">
        <v>44902</v>
      </c>
      <c r="C638" s="1" t="n">
        <v>45971</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38440-2021</t>
        </is>
      </c>
      <c r="B639" s="1" t="n">
        <v>44406</v>
      </c>
      <c r="C639" s="1" t="n">
        <v>45971</v>
      </c>
      <c r="D639" t="inlineStr">
        <is>
          <t>VÄSTERBOTTENS LÄN</t>
        </is>
      </c>
      <c r="E639" t="inlineStr">
        <is>
          <t>UMEÅ</t>
        </is>
      </c>
      <c r="F639" t="inlineStr">
        <is>
          <t>Kommuner</t>
        </is>
      </c>
      <c r="G639" t="n">
        <v>2.6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HYPERLINK("https://klasma.github.io/Logging_2480/artfynd/A 38440-2021 artfynd.xlsx", "A 38440-2021")</f>
        <v/>
      </c>
      <c r="T639">
        <f>HYPERLINK("https://klasma.github.io/Logging_2480/kartor/A 38440-2021 karta.png", "A 38440-2021")</f>
        <v/>
      </c>
      <c r="V639">
        <f>HYPERLINK("https://klasma.github.io/Logging_2480/klagomål/A 38440-2021 FSC-klagomål.docx", "A 38440-2021")</f>
        <v/>
      </c>
      <c r="W639">
        <f>HYPERLINK("https://klasma.github.io/Logging_2480/klagomålsmail/A 38440-2021 FSC-klagomål mail.docx", "A 38440-2021")</f>
        <v/>
      </c>
      <c r="X639">
        <f>HYPERLINK("https://klasma.github.io/Logging_2480/tillsyn/A 38440-2021 tillsynsbegäran.docx", "A 38440-2021")</f>
        <v/>
      </c>
      <c r="Y639">
        <f>HYPERLINK("https://klasma.github.io/Logging_2480/tillsynsmail/A 38440-2021 tillsynsbegäran mail.docx", "A 38440-2021")</f>
        <v/>
      </c>
    </row>
    <row r="640" ht="15" customHeight="1">
      <c r="A640" t="inlineStr">
        <is>
          <t>A 11627-2023</t>
        </is>
      </c>
      <c r="B640" s="1" t="n">
        <v>44994</v>
      </c>
      <c r="C640" s="1" t="n">
        <v>45971</v>
      </c>
      <c r="D640" t="inlineStr">
        <is>
          <t>VÄSTERBOTTENS LÄN</t>
        </is>
      </c>
      <c r="E640" t="inlineStr">
        <is>
          <t>SKELLEFTEÅ</t>
        </is>
      </c>
      <c r="G640" t="n">
        <v>16.6</v>
      </c>
      <c r="H640" t="n">
        <v>1</v>
      </c>
      <c r="I640" t="n">
        <v>1</v>
      </c>
      <c r="J640" t="n">
        <v>0</v>
      </c>
      <c r="K640" t="n">
        <v>0</v>
      </c>
      <c r="L640" t="n">
        <v>0</v>
      </c>
      <c r="M640" t="n">
        <v>0</v>
      </c>
      <c r="N640" t="n">
        <v>0</v>
      </c>
      <c r="O640" t="n">
        <v>0</v>
      </c>
      <c r="P640" t="n">
        <v>0</v>
      </c>
      <c r="Q640" t="n">
        <v>2</v>
      </c>
      <c r="R640" s="2" t="inlineStr">
        <is>
          <t>Norrlandslav
Revlummer</t>
        </is>
      </c>
      <c r="S640">
        <f>HYPERLINK("https://klasma.github.io/Logging_2482/artfynd/A 11627-2023 artfynd.xlsx", "A 11627-2023")</f>
        <v/>
      </c>
      <c r="T640">
        <f>HYPERLINK("https://klasma.github.io/Logging_2482/kartor/A 11627-2023 karta.png", "A 11627-2023")</f>
        <v/>
      </c>
      <c r="V640">
        <f>HYPERLINK("https://klasma.github.io/Logging_2482/klagomål/A 11627-2023 FSC-klagomål.docx", "A 11627-2023")</f>
        <v/>
      </c>
      <c r="W640">
        <f>HYPERLINK("https://klasma.github.io/Logging_2482/klagomålsmail/A 11627-2023 FSC-klagomål mail.docx", "A 11627-2023")</f>
        <v/>
      </c>
      <c r="X640">
        <f>HYPERLINK("https://klasma.github.io/Logging_2482/tillsyn/A 11627-2023 tillsynsbegäran.docx", "A 11627-2023")</f>
        <v/>
      </c>
      <c r="Y640">
        <f>HYPERLINK("https://klasma.github.io/Logging_2482/tillsynsmail/A 11627-2023 tillsynsbegäran mail.docx", "A 11627-2023")</f>
        <v/>
      </c>
    </row>
    <row r="641" ht="15" customHeight="1">
      <c r="A641" t="inlineStr">
        <is>
          <t>A 20367-2025</t>
        </is>
      </c>
      <c r="B641" s="1" t="n">
        <v>45775.40958333333</v>
      </c>
      <c r="C641" s="1" t="n">
        <v>45971</v>
      </c>
      <c r="D641" t="inlineStr">
        <is>
          <t>VÄSTERBOTTENS LÄN</t>
        </is>
      </c>
      <c r="E641" t="inlineStr">
        <is>
          <t>SKELLEFTEÅ</t>
        </is>
      </c>
      <c r="G641" t="n">
        <v>3</v>
      </c>
      <c r="H641" t="n">
        <v>1</v>
      </c>
      <c r="I641" t="n">
        <v>0</v>
      </c>
      <c r="J641" t="n">
        <v>1</v>
      </c>
      <c r="K641" t="n">
        <v>1</v>
      </c>
      <c r="L641" t="n">
        <v>0</v>
      </c>
      <c r="M641" t="n">
        <v>0</v>
      </c>
      <c r="N641" t="n">
        <v>0</v>
      </c>
      <c r="O641" t="n">
        <v>2</v>
      </c>
      <c r="P641" t="n">
        <v>1</v>
      </c>
      <c r="Q641" t="n">
        <v>2</v>
      </c>
      <c r="R641" s="2" t="inlineStr">
        <is>
          <t>Knärot
Ullticka</t>
        </is>
      </c>
      <c r="S641">
        <f>HYPERLINK("https://klasma.github.io/Logging_2482/artfynd/A 20367-2025 artfynd.xlsx", "A 20367-2025")</f>
        <v/>
      </c>
      <c r="T641">
        <f>HYPERLINK("https://klasma.github.io/Logging_2482/kartor/A 20367-2025 karta.png", "A 20367-2025")</f>
        <v/>
      </c>
      <c r="U641">
        <f>HYPERLINK("https://klasma.github.io/Logging_2482/knärot/A 20367-2025 karta knärot.png", "A 20367-2025")</f>
        <v/>
      </c>
      <c r="V641">
        <f>HYPERLINK("https://klasma.github.io/Logging_2482/klagomål/A 20367-2025 FSC-klagomål.docx", "A 20367-2025")</f>
        <v/>
      </c>
      <c r="W641">
        <f>HYPERLINK("https://klasma.github.io/Logging_2482/klagomålsmail/A 20367-2025 FSC-klagomål mail.docx", "A 20367-2025")</f>
        <v/>
      </c>
      <c r="X641">
        <f>HYPERLINK("https://klasma.github.io/Logging_2482/tillsyn/A 20367-2025 tillsynsbegäran.docx", "A 20367-2025")</f>
        <v/>
      </c>
      <c r="Y641">
        <f>HYPERLINK("https://klasma.github.io/Logging_2482/tillsynsmail/A 20367-2025 tillsynsbegäran mail.docx", "A 20367-2025")</f>
        <v/>
      </c>
    </row>
    <row r="642" ht="15" customHeight="1">
      <c r="A642" t="inlineStr">
        <is>
          <t>A 58736-2022</t>
        </is>
      </c>
      <c r="B642" s="1" t="n">
        <v>44902</v>
      </c>
      <c r="C642" s="1" t="n">
        <v>45971</v>
      </c>
      <c r="D642" t="inlineStr">
        <is>
          <t>VÄSTERBOTTENS LÄN</t>
        </is>
      </c>
      <c r="E642" t="inlineStr">
        <is>
          <t>DOROTEA</t>
        </is>
      </c>
      <c r="F642" t="inlineStr">
        <is>
          <t>SCA</t>
        </is>
      </c>
      <c r="G642" t="n">
        <v>3.4</v>
      </c>
      <c r="H642" t="n">
        <v>0</v>
      </c>
      <c r="I642" t="n">
        <v>0</v>
      </c>
      <c r="J642" t="n">
        <v>2</v>
      </c>
      <c r="K642" t="n">
        <v>0</v>
      </c>
      <c r="L642" t="n">
        <v>0</v>
      </c>
      <c r="M642" t="n">
        <v>0</v>
      </c>
      <c r="N642" t="n">
        <v>0</v>
      </c>
      <c r="O642" t="n">
        <v>2</v>
      </c>
      <c r="P642" t="n">
        <v>0</v>
      </c>
      <c r="Q642" t="n">
        <v>2</v>
      </c>
      <c r="R642" s="2" t="inlineStr">
        <is>
          <t>Lunglav
Skrovellav</t>
        </is>
      </c>
      <c r="S642">
        <f>HYPERLINK("https://klasma.github.io/Logging_2425/artfynd/A 58736-2022 artfynd.xlsx", "A 58736-2022")</f>
        <v/>
      </c>
      <c r="T642">
        <f>HYPERLINK("https://klasma.github.io/Logging_2425/kartor/A 58736-2022 karta.png", "A 58736-2022")</f>
        <v/>
      </c>
      <c r="V642">
        <f>HYPERLINK("https://klasma.github.io/Logging_2425/klagomål/A 58736-2022 FSC-klagomål.docx", "A 58736-2022")</f>
        <v/>
      </c>
      <c r="W642">
        <f>HYPERLINK("https://klasma.github.io/Logging_2425/klagomålsmail/A 58736-2022 FSC-klagomål mail.docx", "A 58736-2022")</f>
        <v/>
      </c>
      <c r="X642">
        <f>HYPERLINK("https://klasma.github.io/Logging_2425/tillsyn/A 58736-2022 tillsynsbegäran.docx", "A 58736-2022")</f>
        <v/>
      </c>
      <c r="Y642">
        <f>HYPERLINK("https://klasma.github.io/Logging_2425/tillsynsmail/A 58736-2022 tillsynsbegäran mail.docx", "A 58736-2022")</f>
        <v/>
      </c>
    </row>
    <row r="643" ht="15" customHeight="1">
      <c r="A643" t="inlineStr">
        <is>
          <t>A 42195-2024</t>
        </is>
      </c>
      <c r="B643" s="1" t="n">
        <v>45562.50609953704</v>
      </c>
      <c r="C643" s="1" t="n">
        <v>45971</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7050-2024</t>
        </is>
      </c>
      <c r="B644" s="1" t="n">
        <v>45343</v>
      </c>
      <c r="C644" s="1" t="n">
        <v>45971</v>
      </c>
      <c r="D644" t="inlineStr">
        <is>
          <t>VÄSTERBOTTENS LÄN</t>
        </is>
      </c>
      <c r="E644" t="inlineStr">
        <is>
          <t>UMEÅ</t>
        </is>
      </c>
      <c r="G644" t="n">
        <v>6.5</v>
      </c>
      <c r="H644" t="n">
        <v>1</v>
      </c>
      <c r="I644" t="n">
        <v>0</v>
      </c>
      <c r="J644" t="n">
        <v>2</v>
      </c>
      <c r="K644" t="n">
        <v>0</v>
      </c>
      <c r="L644" t="n">
        <v>0</v>
      </c>
      <c r="M644" t="n">
        <v>0</v>
      </c>
      <c r="N644" t="n">
        <v>0</v>
      </c>
      <c r="O644" t="n">
        <v>2</v>
      </c>
      <c r="P644" t="n">
        <v>0</v>
      </c>
      <c r="Q644" t="n">
        <v>2</v>
      </c>
      <c r="R644" s="2" t="inlineStr">
        <is>
          <t>Granticka
Talltita</t>
        </is>
      </c>
      <c r="S644">
        <f>HYPERLINK("https://klasma.github.io/Logging_2480/artfynd/A 7050-2024 artfynd.xlsx", "A 7050-2024")</f>
        <v/>
      </c>
      <c r="T644">
        <f>HYPERLINK("https://klasma.github.io/Logging_2480/kartor/A 7050-2024 karta.png", "A 7050-2024")</f>
        <v/>
      </c>
      <c r="V644">
        <f>HYPERLINK("https://klasma.github.io/Logging_2480/klagomål/A 7050-2024 FSC-klagomål.docx", "A 7050-2024")</f>
        <v/>
      </c>
      <c r="W644">
        <f>HYPERLINK("https://klasma.github.io/Logging_2480/klagomålsmail/A 7050-2024 FSC-klagomål mail.docx", "A 7050-2024")</f>
        <v/>
      </c>
      <c r="X644">
        <f>HYPERLINK("https://klasma.github.io/Logging_2480/tillsyn/A 7050-2024 tillsynsbegäran.docx", "A 7050-2024")</f>
        <v/>
      </c>
      <c r="Y644">
        <f>HYPERLINK("https://klasma.github.io/Logging_2480/tillsynsmail/A 7050-2024 tillsynsbegäran mail.docx", "A 7050-2024")</f>
        <v/>
      </c>
      <c r="Z644">
        <f>HYPERLINK("https://klasma.github.io/Logging_2480/fåglar/A 7050-2024 prioriterade fågelarter.docx", "A 7050-2024")</f>
        <v/>
      </c>
    </row>
    <row r="645" ht="15" customHeight="1">
      <c r="A645" t="inlineStr">
        <is>
          <t>A 46143-2024</t>
        </is>
      </c>
      <c r="B645" s="1" t="n">
        <v>45581.45096064815</v>
      </c>
      <c r="C645" s="1" t="n">
        <v>45971</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10292-2023</t>
        </is>
      </c>
      <c r="B646" s="1" t="n">
        <v>44986</v>
      </c>
      <c r="C646" s="1" t="n">
        <v>45971</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39679-2025</t>
        </is>
      </c>
      <c r="B647" s="1" t="n">
        <v>45890</v>
      </c>
      <c r="C647" s="1" t="n">
        <v>45971</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47744-2025</t>
        </is>
      </c>
      <c r="B648" s="1" t="n">
        <v>45931.64844907408</v>
      </c>
      <c r="C648" s="1" t="n">
        <v>45971</v>
      </c>
      <c r="D648" t="inlineStr">
        <is>
          <t>VÄSTERBOTTENS LÄN</t>
        </is>
      </c>
      <c r="E648" t="inlineStr">
        <is>
          <t>LYCKSELE</t>
        </is>
      </c>
      <c r="F648" t="inlineStr">
        <is>
          <t>Sveaskog</t>
        </is>
      </c>
      <c r="G648" t="n">
        <v>4.1</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HYPERLINK("https://klasma.github.io/Logging_2481/artfynd/A 47744-2025 artfynd.xlsx", "A 47744-2025")</f>
        <v/>
      </c>
      <c r="T648">
        <f>HYPERLINK("https://klasma.github.io/Logging_2481/kartor/A 47744-2025 karta.png", "A 47744-2025")</f>
        <v/>
      </c>
      <c r="V648">
        <f>HYPERLINK("https://klasma.github.io/Logging_2481/klagomål/A 47744-2025 FSC-klagomål.docx", "A 47744-2025")</f>
        <v/>
      </c>
      <c r="W648">
        <f>HYPERLINK("https://klasma.github.io/Logging_2481/klagomålsmail/A 47744-2025 FSC-klagomål mail.docx", "A 47744-2025")</f>
        <v/>
      </c>
      <c r="X648">
        <f>HYPERLINK("https://klasma.github.io/Logging_2481/tillsyn/A 47744-2025 tillsynsbegäran.docx", "A 47744-2025")</f>
        <v/>
      </c>
      <c r="Y648">
        <f>HYPERLINK("https://klasma.github.io/Logging_2481/tillsynsmail/A 47744-2025 tillsynsbegäran mail.docx", "A 47744-2025")</f>
        <v/>
      </c>
    </row>
    <row r="649" ht="15" customHeight="1">
      <c r="A649" t="inlineStr">
        <is>
          <t>A 35430-2024</t>
        </is>
      </c>
      <c r="B649" s="1" t="n">
        <v>45531.41425925926</v>
      </c>
      <c r="C649" s="1" t="n">
        <v>45971</v>
      </c>
      <c r="D649" t="inlineStr">
        <is>
          <t>VÄSTERBOTTENS LÄN</t>
        </is>
      </c>
      <c r="E649" t="inlineStr">
        <is>
          <t>NORSJÖ</t>
        </is>
      </c>
      <c r="G649" t="n">
        <v>6.1</v>
      </c>
      <c r="H649" t="n">
        <v>2</v>
      </c>
      <c r="I649" t="n">
        <v>0</v>
      </c>
      <c r="J649" t="n">
        <v>0</v>
      </c>
      <c r="K649" t="n">
        <v>0</v>
      </c>
      <c r="L649" t="n">
        <v>0</v>
      </c>
      <c r="M649" t="n">
        <v>0</v>
      </c>
      <c r="N649" t="n">
        <v>0</v>
      </c>
      <c r="O649" t="n">
        <v>0</v>
      </c>
      <c r="P649" t="n">
        <v>0</v>
      </c>
      <c r="Q649" t="n">
        <v>2</v>
      </c>
      <c r="R649" s="2" t="inlineStr">
        <is>
          <t>Orre
Tjäder</t>
        </is>
      </c>
      <c r="S649">
        <f>HYPERLINK("https://klasma.github.io/Logging_2417/artfynd/A 35430-2024 artfynd.xlsx", "A 35430-2024")</f>
        <v/>
      </c>
      <c r="T649">
        <f>HYPERLINK("https://klasma.github.io/Logging_2417/kartor/A 35430-2024 karta.png", "A 35430-2024")</f>
        <v/>
      </c>
      <c r="V649">
        <f>HYPERLINK("https://klasma.github.io/Logging_2417/klagomål/A 35430-2024 FSC-klagomål.docx", "A 35430-2024")</f>
        <v/>
      </c>
      <c r="W649">
        <f>HYPERLINK("https://klasma.github.io/Logging_2417/klagomålsmail/A 35430-2024 FSC-klagomål mail.docx", "A 35430-2024")</f>
        <v/>
      </c>
      <c r="X649">
        <f>HYPERLINK("https://klasma.github.io/Logging_2417/tillsyn/A 35430-2024 tillsynsbegäran.docx", "A 35430-2024")</f>
        <v/>
      </c>
      <c r="Y649">
        <f>HYPERLINK("https://klasma.github.io/Logging_2417/tillsynsmail/A 35430-2024 tillsynsbegäran mail.docx", "A 35430-2024")</f>
        <v/>
      </c>
      <c r="Z649">
        <f>HYPERLINK("https://klasma.github.io/Logging_2417/fåglar/A 35430-2024 prioriterade fågelarter.docx", "A 35430-2024")</f>
        <v/>
      </c>
    </row>
    <row r="650" ht="15" customHeight="1">
      <c r="A650" t="inlineStr">
        <is>
          <t>A 28012-2023</t>
        </is>
      </c>
      <c r="B650" s="1" t="n">
        <v>45098</v>
      </c>
      <c r="C650" s="1" t="n">
        <v>45971</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Garnlav
Tretåig hackspett</t>
        </is>
      </c>
      <c r="S650">
        <f>HYPERLINK("https://klasma.github.io/Logging_2462/artfynd/A 28012-2023 artfynd.xlsx", "A 28012-2023")</f>
        <v/>
      </c>
      <c r="T650">
        <f>HYPERLINK("https://klasma.github.io/Logging_2462/kartor/A 28012-2023 karta.png", "A 28012-2023")</f>
        <v/>
      </c>
      <c r="V650">
        <f>HYPERLINK("https://klasma.github.io/Logging_2462/klagomål/A 28012-2023 FSC-klagomål.docx", "A 28012-2023")</f>
        <v/>
      </c>
      <c r="W650">
        <f>HYPERLINK("https://klasma.github.io/Logging_2462/klagomålsmail/A 28012-2023 FSC-klagomål mail.docx", "A 28012-2023")</f>
        <v/>
      </c>
      <c r="X650">
        <f>HYPERLINK("https://klasma.github.io/Logging_2462/tillsyn/A 28012-2023 tillsynsbegäran.docx", "A 28012-2023")</f>
        <v/>
      </c>
      <c r="Y650">
        <f>HYPERLINK("https://klasma.github.io/Logging_2462/tillsynsmail/A 28012-2023 tillsynsbegäran mail.docx", "A 28012-2023")</f>
        <v/>
      </c>
      <c r="Z650">
        <f>HYPERLINK("https://klasma.github.io/Logging_2462/fåglar/A 28012-2023 prioriterade fågelarter.docx", "A 28012-2023")</f>
        <v/>
      </c>
    </row>
    <row r="651" ht="15" customHeight="1">
      <c r="A651" t="inlineStr">
        <is>
          <t>A 40939-2021</t>
        </is>
      </c>
      <c r="B651" s="1" t="n">
        <v>44421</v>
      </c>
      <c r="C651" s="1" t="n">
        <v>45971</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43250-2023</t>
        </is>
      </c>
      <c r="B652" s="1" t="n">
        <v>45180</v>
      </c>
      <c r="C652" s="1" t="n">
        <v>45971</v>
      </c>
      <c r="D652" t="inlineStr">
        <is>
          <t>VÄSTERBOTTENS LÄN</t>
        </is>
      </c>
      <c r="E652" t="inlineStr">
        <is>
          <t>SKELLEFTEÅ</t>
        </is>
      </c>
      <c r="G652" t="n">
        <v>3.3</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43250-2023 artfynd.xlsx", "A 43250-2023")</f>
        <v/>
      </c>
      <c r="T652">
        <f>HYPERLINK("https://klasma.github.io/Logging_2482/kartor/A 43250-2023 karta.png", "A 43250-2023")</f>
        <v/>
      </c>
      <c r="U652">
        <f>HYPERLINK("https://klasma.github.io/Logging_2482/knärot/A 43250-2023 karta knärot.png", "A 43250-2023")</f>
        <v/>
      </c>
      <c r="V652">
        <f>HYPERLINK("https://klasma.github.io/Logging_2482/klagomål/A 43250-2023 FSC-klagomål.docx", "A 43250-2023")</f>
        <v/>
      </c>
      <c r="W652">
        <f>HYPERLINK("https://klasma.github.io/Logging_2482/klagomålsmail/A 43250-2023 FSC-klagomål mail.docx", "A 43250-2023")</f>
        <v/>
      </c>
      <c r="X652">
        <f>HYPERLINK("https://klasma.github.io/Logging_2482/tillsyn/A 43250-2023 tillsynsbegäran.docx", "A 43250-2023")</f>
        <v/>
      </c>
      <c r="Y652">
        <f>HYPERLINK("https://klasma.github.io/Logging_2482/tillsynsmail/A 43250-2023 tillsynsbegäran mail.docx", "A 43250-2023")</f>
        <v/>
      </c>
    </row>
    <row r="653" ht="15" customHeight="1">
      <c r="A653" t="inlineStr">
        <is>
          <t>A 30173-2025</t>
        </is>
      </c>
      <c r="B653" s="1" t="n">
        <v>45827.34200231481</v>
      </c>
      <c r="C653" s="1" t="n">
        <v>45971</v>
      </c>
      <c r="D653" t="inlineStr">
        <is>
          <t>VÄSTERBOTTENS LÄN</t>
        </is>
      </c>
      <c r="E653" t="inlineStr">
        <is>
          <t>UMEÅ</t>
        </is>
      </c>
      <c r="G653" t="n">
        <v>11</v>
      </c>
      <c r="H653" t="n">
        <v>1</v>
      </c>
      <c r="I653" t="n">
        <v>0</v>
      </c>
      <c r="J653" t="n">
        <v>2</v>
      </c>
      <c r="K653" t="n">
        <v>0</v>
      </c>
      <c r="L653" t="n">
        <v>0</v>
      </c>
      <c r="M653" t="n">
        <v>0</v>
      </c>
      <c r="N653" t="n">
        <v>0</v>
      </c>
      <c r="O653" t="n">
        <v>2</v>
      </c>
      <c r="P653" t="n">
        <v>0</v>
      </c>
      <c r="Q653" t="n">
        <v>2</v>
      </c>
      <c r="R653" s="2" t="inlineStr">
        <is>
          <t>Nordfladdermus
Ullticka</t>
        </is>
      </c>
      <c r="S653">
        <f>HYPERLINK("https://klasma.github.io/Logging_2480/artfynd/A 30173-2025 artfynd.xlsx", "A 30173-2025")</f>
        <v/>
      </c>
      <c r="T653">
        <f>HYPERLINK("https://klasma.github.io/Logging_2480/kartor/A 30173-2025 karta.png", "A 30173-2025")</f>
        <v/>
      </c>
      <c r="V653">
        <f>HYPERLINK("https://klasma.github.io/Logging_2480/klagomål/A 30173-2025 FSC-klagomål.docx", "A 30173-2025")</f>
        <v/>
      </c>
      <c r="W653">
        <f>HYPERLINK("https://klasma.github.io/Logging_2480/klagomålsmail/A 30173-2025 FSC-klagomål mail.docx", "A 30173-2025")</f>
        <v/>
      </c>
      <c r="X653">
        <f>HYPERLINK("https://klasma.github.io/Logging_2480/tillsyn/A 30173-2025 tillsynsbegäran.docx", "A 30173-2025")</f>
        <v/>
      </c>
      <c r="Y653">
        <f>HYPERLINK("https://klasma.github.io/Logging_2480/tillsynsmail/A 30173-2025 tillsynsbegäran mail.docx", "A 30173-2025")</f>
        <v/>
      </c>
    </row>
    <row r="654" ht="15" customHeight="1">
      <c r="A654" t="inlineStr">
        <is>
          <t>A 37513-2024</t>
        </is>
      </c>
      <c r="B654" s="1" t="n">
        <v>45541.38572916666</v>
      </c>
      <c r="C654" s="1" t="n">
        <v>45971</v>
      </c>
      <c r="D654" t="inlineStr">
        <is>
          <t>VÄSTERBOTTENS LÄN</t>
        </is>
      </c>
      <c r="E654" t="inlineStr">
        <is>
          <t>VILHELMINA</t>
        </is>
      </c>
      <c r="F654" t="inlineStr">
        <is>
          <t>SCA</t>
        </is>
      </c>
      <c r="G654" t="n">
        <v>3.4</v>
      </c>
      <c r="H654" t="n">
        <v>0</v>
      </c>
      <c r="I654" t="n">
        <v>0</v>
      </c>
      <c r="J654" t="n">
        <v>2</v>
      </c>
      <c r="K654" t="n">
        <v>0</v>
      </c>
      <c r="L654" t="n">
        <v>0</v>
      </c>
      <c r="M654" t="n">
        <v>0</v>
      </c>
      <c r="N654" t="n">
        <v>0</v>
      </c>
      <c r="O654" t="n">
        <v>2</v>
      </c>
      <c r="P654" t="n">
        <v>0</v>
      </c>
      <c r="Q654" t="n">
        <v>2</v>
      </c>
      <c r="R654" s="2" t="inlineStr">
        <is>
          <t>Rosenticka
Ullticka</t>
        </is>
      </c>
      <c r="S654">
        <f>HYPERLINK("https://klasma.github.io/Logging_2462/artfynd/A 37513-2024 artfynd.xlsx", "A 37513-2024")</f>
        <v/>
      </c>
      <c r="T654">
        <f>HYPERLINK("https://klasma.github.io/Logging_2462/kartor/A 37513-2024 karta.png", "A 37513-2024")</f>
        <v/>
      </c>
      <c r="V654">
        <f>HYPERLINK("https://klasma.github.io/Logging_2462/klagomål/A 37513-2024 FSC-klagomål.docx", "A 37513-2024")</f>
        <v/>
      </c>
      <c r="W654">
        <f>HYPERLINK("https://klasma.github.io/Logging_2462/klagomålsmail/A 37513-2024 FSC-klagomål mail.docx", "A 37513-2024")</f>
        <v/>
      </c>
      <c r="X654">
        <f>HYPERLINK("https://klasma.github.io/Logging_2462/tillsyn/A 37513-2024 tillsynsbegäran.docx", "A 37513-2024")</f>
        <v/>
      </c>
      <c r="Y654">
        <f>HYPERLINK("https://klasma.github.io/Logging_2462/tillsynsmail/A 37513-2024 tillsynsbegäran mail.docx", "A 37513-2024")</f>
        <v/>
      </c>
    </row>
    <row r="655" ht="15" customHeight="1">
      <c r="A655" t="inlineStr">
        <is>
          <t>A 37548-2024</t>
        </is>
      </c>
      <c r="B655" s="1" t="n">
        <v>45541.43171296296</v>
      </c>
      <c r="C655" s="1" t="n">
        <v>45971</v>
      </c>
      <c r="D655" t="inlineStr">
        <is>
          <t>VÄSTERBOTTENS LÄN</t>
        </is>
      </c>
      <c r="E655" t="inlineStr">
        <is>
          <t>LYCKSELE</t>
        </is>
      </c>
      <c r="F655" t="inlineStr">
        <is>
          <t>Sveaskog</t>
        </is>
      </c>
      <c r="G655" t="n">
        <v>13.5</v>
      </c>
      <c r="H655" t="n">
        <v>0</v>
      </c>
      <c r="I655" t="n">
        <v>1</v>
      </c>
      <c r="J655" t="n">
        <v>1</v>
      </c>
      <c r="K655" t="n">
        <v>0</v>
      </c>
      <c r="L655" t="n">
        <v>0</v>
      </c>
      <c r="M655" t="n">
        <v>0</v>
      </c>
      <c r="N655" t="n">
        <v>0</v>
      </c>
      <c r="O655" t="n">
        <v>1</v>
      </c>
      <c r="P655" t="n">
        <v>0</v>
      </c>
      <c r="Q655" t="n">
        <v>2</v>
      </c>
      <c r="R655" s="2" t="inlineStr">
        <is>
          <t>Kolflarnlav
Skarp dropptaggsvamp</t>
        </is>
      </c>
      <c r="S655">
        <f>HYPERLINK("https://klasma.github.io/Logging_2481/artfynd/A 37548-2024 artfynd.xlsx", "A 37548-2024")</f>
        <v/>
      </c>
      <c r="T655">
        <f>HYPERLINK("https://klasma.github.io/Logging_2481/kartor/A 37548-2024 karta.png", "A 37548-2024")</f>
        <v/>
      </c>
      <c r="V655">
        <f>HYPERLINK("https://klasma.github.io/Logging_2481/klagomål/A 37548-2024 FSC-klagomål.docx", "A 37548-2024")</f>
        <v/>
      </c>
      <c r="W655">
        <f>HYPERLINK("https://klasma.github.io/Logging_2481/klagomålsmail/A 37548-2024 FSC-klagomål mail.docx", "A 37548-2024")</f>
        <v/>
      </c>
      <c r="X655">
        <f>HYPERLINK("https://klasma.github.io/Logging_2481/tillsyn/A 37548-2024 tillsynsbegäran.docx", "A 37548-2024")</f>
        <v/>
      </c>
      <c r="Y655">
        <f>HYPERLINK("https://klasma.github.io/Logging_2481/tillsynsmail/A 37548-2024 tillsynsbegäran mail.docx", "A 37548-2024")</f>
        <v/>
      </c>
    </row>
    <row r="656" ht="15" customHeight="1">
      <c r="A656" t="inlineStr">
        <is>
          <t>A 47276-2025</t>
        </is>
      </c>
      <c r="B656" s="1" t="n">
        <v>45930.46909722222</v>
      </c>
      <c r="C656" s="1" t="n">
        <v>45971</v>
      </c>
      <c r="D656" t="inlineStr">
        <is>
          <t>VÄSTERBOTTENS LÄN</t>
        </is>
      </c>
      <c r="E656" t="inlineStr">
        <is>
          <t>UMEÅ</t>
        </is>
      </c>
      <c r="G656" t="n">
        <v>1.9</v>
      </c>
      <c r="H656" t="n">
        <v>0</v>
      </c>
      <c r="I656" t="n">
        <v>1</v>
      </c>
      <c r="J656" t="n">
        <v>1</v>
      </c>
      <c r="K656" t="n">
        <v>0</v>
      </c>
      <c r="L656" t="n">
        <v>0</v>
      </c>
      <c r="M656" t="n">
        <v>0</v>
      </c>
      <c r="N656" t="n">
        <v>0</v>
      </c>
      <c r="O656" t="n">
        <v>1</v>
      </c>
      <c r="P656" t="n">
        <v>0</v>
      </c>
      <c r="Q656" t="n">
        <v>2</v>
      </c>
      <c r="R656" s="2" t="inlineStr">
        <is>
          <t>Granticka
Vedticka</t>
        </is>
      </c>
      <c r="S656">
        <f>HYPERLINK("https://klasma.github.io/Logging_2480/artfynd/A 47276-2025 artfynd.xlsx", "A 47276-2025")</f>
        <v/>
      </c>
      <c r="T656">
        <f>HYPERLINK("https://klasma.github.io/Logging_2480/kartor/A 47276-2025 karta.png", "A 47276-2025")</f>
        <v/>
      </c>
      <c r="V656">
        <f>HYPERLINK("https://klasma.github.io/Logging_2480/klagomål/A 47276-2025 FSC-klagomål.docx", "A 47276-2025")</f>
        <v/>
      </c>
      <c r="W656">
        <f>HYPERLINK("https://klasma.github.io/Logging_2480/klagomålsmail/A 47276-2025 FSC-klagomål mail.docx", "A 47276-2025")</f>
        <v/>
      </c>
      <c r="X656">
        <f>HYPERLINK("https://klasma.github.io/Logging_2480/tillsyn/A 47276-2025 tillsynsbegäran.docx", "A 47276-2025")</f>
        <v/>
      </c>
      <c r="Y656">
        <f>HYPERLINK("https://klasma.github.io/Logging_2480/tillsynsmail/A 47276-2025 tillsynsbegäran mail.docx", "A 47276-2025")</f>
        <v/>
      </c>
    </row>
    <row r="657" ht="15" customHeight="1">
      <c r="A657" t="inlineStr">
        <is>
          <t>A 36561-2023</t>
        </is>
      </c>
      <c r="B657" s="1" t="n">
        <v>45153</v>
      </c>
      <c r="C657" s="1" t="n">
        <v>45971</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49440-2022</t>
        </is>
      </c>
      <c r="B658" s="1" t="n">
        <v>44859</v>
      </c>
      <c r="C658" s="1" t="n">
        <v>45971</v>
      </c>
      <c r="D658" t="inlineStr">
        <is>
          <t>VÄSTERBOTTENS LÄN</t>
        </is>
      </c>
      <c r="E658" t="inlineStr">
        <is>
          <t>SKELLEFTEÅ</t>
        </is>
      </c>
      <c r="G658" t="n">
        <v>1.5</v>
      </c>
      <c r="H658" t="n">
        <v>0</v>
      </c>
      <c r="I658" t="n">
        <v>0</v>
      </c>
      <c r="J658" t="n">
        <v>2</v>
      </c>
      <c r="K658" t="n">
        <v>0</v>
      </c>
      <c r="L658" t="n">
        <v>0</v>
      </c>
      <c r="M658" t="n">
        <v>0</v>
      </c>
      <c r="N658" t="n">
        <v>0</v>
      </c>
      <c r="O658" t="n">
        <v>2</v>
      </c>
      <c r="P658" t="n">
        <v>0</v>
      </c>
      <c r="Q658" t="n">
        <v>2</v>
      </c>
      <c r="R658" s="2" t="inlineStr">
        <is>
          <t>Gränsticka
Ullticka</t>
        </is>
      </c>
      <c r="S658">
        <f>HYPERLINK("https://klasma.github.io/Logging_2482/artfynd/A 49440-2022 artfynd.xlsx", "A 49440-2022")</f>
        <v/>
      </c>
      <c r="T658">
        <f>HYPERLINK("https://klasma.github.io/Logging_2482/kartor/A 49440-2022 karta.png", "A 49440-2022")</f>
        <v/>
      </c>
      <c r="V658">
        <f>HYPERLINK("https://klasma.github.io/Logging_2482/klagomål/A 49440-2022 FSC-klagomål.docx", "A 49440-2022")</f>
        <v/>
      </c>
      <c r="W658">
        <f>HYPERLINK("https://klasma.github.io/Logging_2482/klagomålsmail/A 49440-2022 FSC-klagomål mail.docx", "A 49440-2022")</f>
        <v/>
      </c>
      <c r="X658">
        <f>HYPERLINK("https://klasma.github.io/Logging_2482/tillsyn/A 49440-2022 tillsynsbegäran.docx", "A 49440-2022")</f>
        <v/>
      </c>
      <c r="Y658">
        <f>HYPERLINK("https://klasma.github.io/Logging_2482/tillsynsmail/A 49440-2022 tillsynsbegäran mail.docx", "A 49440-2022")</f>
        <v/>
      </c>
    </row>
    <row r="659" ht="15" customHeight="1">
      <c r="A659" t="inlineStr">
        <is>
          <t>A 2893-2023</t>
        </is>
      </c>
      <c r="B659" s="1" t="n">
        <v>44945.50438657407</v>
      </c>
      <c r="C659" s="1" t="n">
        <v>45971</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40742-2023</t>
        </is>
      </c>
      <c r="B660" s="1" t="n">
        <v>45170</v>
      </c>
      <c r="C660" s="1" t="n">
        <v>45971</v>
      </c>
      <c r="D660" t="inlineStr">
        <is>
          <t>VÄSTERBOTTENS LÄN</t>
        </is>
      </c>
      <c r="E660" t="inlineStr">
        <is>
          <t>SKELLEFTEÅ</t>
        </is>
      </c>
      <c r="F660" t="inlineStr">
        <is>
          <t>Sveaskog</t>
        </is>
      </c>
      <c r="G660" t="n">
        <v>13.6</v>
      </c>
      <c r="H660" t="n">
        <v>0</v>
      </c>
      <c r="I660" t="n">
        <v>1</v>
      </c>
      <c r="J660" t="n">
        <v>1</v>
      </c>
      <c r="K660" t="n">
        <v>0</v>
      </c>
      <c r="L660" t="n">
        <v>0</v>
      </c>
      <c r="M660" t="n">
        <v>0</v>
      </c>
      <c r="N660" t="n">
        <v>0</v>
      </c>
      <c r="O660" t="n">
        <v>1</v>
      </c>
      <c r="P660" t="n">
        <v>0</v>
      </c>
      <c r="Q660" t="n">
        <v>2</v>
      </c>
      <c r="R660" s="2" t="inlineStr">
        <is>
          <t>Kolflarnlav
Stuplav</t>
        </is>
      </c>
      <c r="S660">
        <f>HYPERLINK("https://klasma.github.io/Logging_2482/artfynd/A 40742-2023 artfynd.xlsx", "A 40742-2023")</f>
        <v/>
      </c>
      <c r="T660">
        <f>HYPERLINK("https://klasma.github.io/Logging_2482/kartor/A 40742-2023 karta.png", "A 40742-2023")</f>
        <v/>
      </c>
      <c r="V660">
        <f>HYPERLINK("https://klasma.github.io/Logging_2482/klagomål/A 40742-2023 FSC-klagomål.docx", "A 40742-2023")</f>
        <v/>
      </c>
      <c r="W660">
        <f>HYPERLINK("https://klasma.github.io/Logging_2482/klagomålsmail/A 40742-2023 FSC-klagomål mail.docx", "A 40742-2023")</f>
        <v/>
      </c>
      <c r="X660">
        <f>HYPERLINK("https://klasma.github.io/Logging_2482/tillsyn/A 40742-2023 tillsynsbegäran.docx", "A 40742-2023")</f>
        <v/>
      </c>
      <c r="Y660">
        <f>HYPERLINK("https://klasma.github.io/Logging_2482/tillsynsmail/A 40742-2023 tillsynsbegäran mail.docx", "A 40742-2023")</f>
        <v/>
      </c>
    </row>
    <row r="661" ht="15" customHeight="1">
      <c r="A661" t="inlineStr">
        <is>
          <t>A 8880-2024</t>
        </is>
      </c>
      <c r="B661" s="1" t="n">
        <v>45357</v>
      </c>
      <c r="C661" s="1" t="n">
        <v>45971</v>
      </c>
      <c r="D661" t="inlineStr">
        <is>
          <t>VÄSTERBOTTENS LÄN</t>
        </is>
      </c>
      <c r="E661" t="inlineStr">
        <is>
          <t>ÅSELE</t>
        </is>
      </c>
      <c r="F661" t="inlineStr">
        <is>
          <t>SCA</t>
        </is>
      </c>
      <c r="G661" t="n">
        <v>10.8</v>
      </c>
      <c r="H661" t="n">
        <v>0</v>
      </c>
      <c r="I661" t="n">
        <v>0</v>
      </c>
      <c r="J661" t="n">
        <v>2</v>
      </c>
      <c r="K661" t="n">
        <v>0</v>
      </c>
      <c r="L661" t="n">
        <v>0</v>
      </c>
      <c r="M661" t="n">
        <v>0</v>
      </c>
      <c r="N661" t="n">
        <v>0</v>
      </c>
      <c r="O661" t="n">
        <v>2</v>
      </c>
      <c r="P661" t="n">
        <v>0</v>
      </c>
      <c r="Q661" t="n">
        <v>2</v>
      </c>
      <c r="R661" s="2" t="inlineStr">
        <is>
          <t>Dvärgbägarlav
Garnlav</t>
        </is>
      </c>
      <c r="S661">
        <f>HYPERLINK("https://klasma.github.io/Logging_2463/artfynd/A 8880-2024 artfynd.xlsx", "A 8880-2024")</f>
        <v/>
      </c>
      <c r="T661">
        <f>HYPERLINK("https://klasma.github.io/Logging_2463/kartor/A 8880-2024 karta.png", "A 8880-2024")</f>
        <v/>
      </c>
      <c r="V661">
        <f>HYPERLINK("https://klasma.github.io/Logging_2463/klagomål/A 8880-2024 FSC-klagomål.docx", "A 8880-2024")</f>
        <v/>
      </c>
      <c r="W661">
        <f>HYPERLINK("https://klasma.github.io/Logging_2463/klagomålsmail/A 8880-2024 FSC-klagomål mail.docx", "A 8880-2024")</f>
        <v/>
      </c>
      <c r="X661">
        <f>HYPERLINK("https://klasma.github.io/Logging_2463/tillsyn/A 8880-2024 tillsynsbegäran.docx", "A 8880-2024")</f>
        <v/>
      </c>
      <c r="Y661">
        <f>HYPERLINK("https://klasma.github.io/Logging_2463/tillsynsmail/A 8880-2024 tillsynsbegäran mail.docx", "A 8880-2024")</f>
        <v/>
      </c>
    </row>
    <row r="662" ht="15" customHeight="1">
      <c r="A662" t="inlineStr">
        <is>
          <t>A 38475-2023</t>
        </is>
      </c>
      <c r="B662" s="1" t="n">
        <v>45162.4615625</v>
      </c>
      <c r="C662" s="1" t="n">
        <v>45971</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15081-2023</t>
        </is>
      </c>
      <c r="B663" s="1" t="n">
        <v>45016.07569444444</v>
      </c>
      <c r="C663" s="1" t="n">
        <v>45971</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787-2023</t>
        </is>
      </c>
      <c r="B664" s="1" t="n">
        <v>44931</v>
      </c>
      <c r="C664" s="1" t="n">
        <v>45971</v>
      </c>
      <c r="D664" t="inlineStr">
        <is>
          <t>VÄSTERBOTTENS LÄN</t>
        </is>
      </c>
      <c r="E664" t="inlineStr">
        <is>
          <t>SKELLEFTEÅ</t>
        </is>
      </c>
      <c r="G664" t="n">
        <v>13.9</v>
      </c>
      <c r="H664" t="n">
        <v>0</v>
      </c>
      <c r="I664" t="n">
        <v>1</v>
      </c>
      <c r="J664" t="n">
        <v>1</v>
      </c>
      <c r="K664" t="n">
        <v>0</v>
      </c>
      <c r="L664" t="n">
        <v>0</v>
      </c>
      <c r="M664" t="n">
        <v>0</v>
      </c>
      <c r="N664" t="n">
        <v>0</v>
      </c>
      <c r="O664" t="n">
        <v>1</v>
      </c>
      <c r="P664" t="n">
        <v>0</v>
      </c>
      <c r="Q664" t="n">
        <v>2</v>
      </c>
      <c r="R664" s="2" t="inlineStr">
        <is>
          <t>Storgröe
Ögonpyrola</t>
        </is>
      </c>
      <c r="S664">
        <f>HYPERLINK("https://klasma.github.io/Logging_2482/artfynd/A 787-2023 artfynd.xlsx", "A 787-2023")</f>
        <v/>
      </c>
      <c r="T664">
        <f>HYPERLINK("https://klasma.github.io/Logging_2482/kartor/A 787-2023 karta.png", "A 787-2023")</f>
        <v/>
      </c>
      <c r="V664">
        <f>HYPERLINK("https://klasma.github.io/Logging_2482/klagomål/A 787-2023 FSC-klagomål.docx", "A 787-2023")</f>
        <v/>
      </c>
      <c r="W664">
        <f>HYPERLINK("https://klasma.github.io/Logging_2482/klagomålsmail/A 787-2023 FSC-klagomål mail.docx", "A 787-2023")</f>
        <v/>
      </c>
      <c r="X664">
        <f>HYPERLINK("https://klasma.github.io/Logging_2482/tillsyn/A 787-2023 tillsynsbegäran.docx", "A 787-2023")</f>
        <v/>
      </c>
      <c r="Y664">
        <f>HYPERLINK("https://klasma.github.io/Logging_2482/tillsynsmail/A 787-2023 tillsynsbegäran mail.docx", "A 787-2023")</f>
        <v/>
      </c>
    </row>
    <row r="665" ht="15" customHeight="1">
      <c r="A665" t="inlineStr">
        <is>
          <t>A 25037-2024</t>
        </is>
      </c>
      <c r="B665" s="1" t="n">
        <v>45461</v>
      </c>
      <c r="C665" s="1" t="n">
        <v>45971</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31320-2024</t>
        </is>
      </c>
      <c r="B666" s="1" t="n">
        <v>45504</v>
      </c>
      <c r="C666" s="1" t="n">
        <v>45971</v>
      </c>
      <c r="D666" t="inlineStr">
        <is>
          <t>VÄSTERBOTTENS LÄN</t>
        </is>
      </c>
      <c r="E666" t="inlineStr">
        <is>
          <t>ROBERTSFORS</t>
        </is>
      </c>
      <c r="F666" t="inlineStr">
        <is>
          <t>Holmen skog AB</t>
        </is>
      </c>
      <c r="G666" t="n">
        <v>4.9</v>
      </c>
      <c r="H666" t="n">
        <v>0</v>
      </c>
      <c r="I666" t="n">
        <v>0</v>
      </c>
      <c r="J666" t="n">
        <v>2</v>
      </c>
      <c r="K666" t="n">
        <v>0</v>
      </c>
      <c r="L666" t="n">
        <v>0</v>
      </c>
      <c r="M666" t="n">
        <v>0</v>
      </c>
      <c r="N666" t="n">
        <v>0</v>
      </c>
      <c r="O666" t="n">
        <v>2</v>
      </c>
      <c r="P666" t="n">
        <v>0</v>
      </c>
      <c r="Q666" t="n">
        <v>2</v>
      </c>
      <c r="R666" s="2" t="inlineStr">
        <is>
          <t>Kolflarnlav
Vedflamlav</t>
        </is>
      </c>
      <c r="S666">
        <f>HYPERLINK("https://klasma.github.io/Logging_2409/artfynd/A 31320-2024 artfynd.xlsx", "A 31320-2024")</f>
        <v/>
      </c>
      <c r="T666">
        <f>HYPERLINK("https://klasma.github.io/Logging_2409/kartor/A 31320-2024 karta.png", "A 31320-2024")</f>
        <v/>
      </c>
      <c r="V666">
        <f>HYPERLINK("https://klasma.github.io/Logging_2409/klagomål/A 31320-2024 FSC-klagomål.docx", "A 31320-2024")</f>
        <v/>
      </c>
      <c r="W666">
        <f>HYPERLINK("https://klasma.github.io/Logging_2409/klagomålsmail/A 31320-2024 FSC-klagomål mail.docx", "A 31320-2024")</f>
        <v/>
      </c>
      <c r="X666">
        <f>HYPERLINK("https://klasma.github.io/Logging_2409/tillsyn/A 31320-2024 tillsynsbegäran.docx", "A 31320-2024")</f>
        <v/>
      </c>
      <c r="Y666">
        <f>HYPERLINK("https://klasma.github.io/Logging_2409/tillsynsmail/A 31320-2024 tillsynsbegäran mail.docx", "A 31320-2024")</f>
        <v/>
      </c>
    </row>
    <row r="667" ht="15" customHeight="1">
      <c r="A667" t="inlineStr">
        <is>
          <t>A 53271-2024</t>
        </is>
      </c>
      <c r="B667" s="1" t="n">
        <v>45614.36726851852</v>
      </c>
      <c r="C667" s="1" t="n">
        <v>45971</v>
      </c>
      <c r="D667" t="inlineStr">
        <is>
          <t>VÄSTERBOTTENS LÄN</t>
        </is>
      </c>
      <c r="E667" t="inlineStr">
        <is>
          <t>SKELLEFTEÅ</t>
        </is>
      </c>
      <c r="F667" t="inlineStr">
        <is>
          <t>Holmen skog AB</t>
        </is>
      </c>
      <c r="G667" t="n">
        <v>11.1</v>
      </c>
      <c r="H667" t="n">
        <v>0</v>
      </c>
      <c r="I667" t="n">
        <v>1</v>
      </c>
      <c r="J667" t="n">
        <v>1</v>
      </c>
      <c r="K667" t="n">
        <v>0</v>
      </c>
      <c r="L667" t="n">
        <v>0</v>
      </c>
      <c r="M667" t="n">
        <v>0</v>
      </c>
      <c r="N667" t="n">
        <v>0</v>
      </c>
      <c r="O667" t="n">
        <v>1</v>
      </c>
      <c r="P667" t="n">
        <v>0</v>
      </c>
      <c r="Q667" t="n">
        <v>2</v>
      </c>
      <c r="R667" s="2" t="inlineStr">
        <is>
          <t>Orange taggsvamp
Ögonpyrola</t>
        </is>
      </c>
      <c r="S667">
        <f>HYPERLINK("https://klasma.github.io/Logging_2482/artfynd/A 53271-2024 artfynd.xlsx", "A 53271-2024")</f>
        <v/>
      </c>
      <c r="T667">
        <f>HYPERLINK("https://klasma.github.io/Logging_2482/kartor/A 53271-2024 karta.png", "A 53271-2024")</f>
        <v/>
      </c>
      <c r="V667">
        <f>HYPERLINK("https://klasma.github.io/Logging_2482/klagomål/A 53271-2024 FSC-klagomål.docx", "A 53271-2024")</f>
        <v/>
      </c>
      <c r="W667">
        <f>HYPERLINK("https://klasma.github.io/Logging_2482/klagomålsmail/A 53271-2024 FSC-klagomål mail.docx", "A 53271-2024")</f>
        <v/>
      </c>
      <c r="X667">
        <f>HYPERLINK("https://klasma.github.io/Logging_2482/tillsyn/A 53271-2024 tillsynsbegäran.docx", "A 53271-2024")</f>
        <v/>
      </c>
      <c r="Y667">
        <f>HYPERLINK("https://klasma.github.io/Logging_2482/tillsynsmail/A 53271-2024 tillsynsbegäran mail.docx", "A 53271-2024")</f>
        <v/>
      </c>
    </row>
    <row r="668" ht="15" customHeight="1">
      <c r="A668" t="inlineStr">
        <is>
          <t>A 55198-2024</t>
        </is>
      </c>
      <c r="B668" s="1" t="n">
        <v>45620</v>
      </c>
      <c r="C668" s="1" t="n">
        <v>45971</v>
      </c>
      <c r="D668" t="inlineStr">
        <is>
          <t>VÄSTERBOTTENS LÄN</t>
        </is>
      </c>
      <c r="E668" t="inlineStr">
        <is>
          <t>SKELLEFTEÅ</t>
        </is>
      </c>
      <c r="G668" t="n">
        <v>1.8</v>
      </c>
      <c r="H668" t="n">
        <v>0</v>
      </c>
      <c r="I668" t="n">
        <v>1</v>
      </c>
      <c r="J668" t="n">
        <v>1</v>
      </c>
      <c r="K668" t="n">
        <v>0</v>
      </c>
      <c r="L668" t="n">
        <v>0</v>
      </c>
      <c r="M668" t="n">
        <v>0</v>
      </c>
      <c r="N668" t="n">
        <v>0</v>
      </c>
      <c r="O668" t="n">
        <v>1</v>
      </c>
      <c r="P668" t="n">
        <v>0</v>
      </c>
      <c r="Q668" t="n">
        <v>2</v>
      </c>
      <c r="R668" s="2" t="inlineStr">
        <is>
          <t>Blanksvart spiklav
Nästlav</t>
        </is>
      </c>
      <c r="S668">
        <f>HYPERLINK("https://klasma.github.io/Logging_2482/artfynd/A 55198-2024 artfynd.xlsx", "A 55198-2024")</f>
        <v/>
      </c>
      <c r="T668">
        <f>HYPERLINK("https://klasma.github.io/Logging_2482/kartor/A 55198-2024 karta.png", "A 55198-2024")</f>
        <v/>
      </c>
      <c r="V668">
        <f>HYPERLINK("https://klasma.github.io/Logging_2482/klagomål/A 55198-2024 FSC-klagomål.docx", "A 55198-2024")</f>
        <v/>
      </c>
      <c r="W668">
        <f>HYPERLINK("https://klasma.github.io/Logging_2482/klagomålsmail/A 55198-2024 FSC-klagomål mail.docx", "A 55198-2024")</f>
        <v/>
      </c>
      <c r="X668">
        <f>HYPERLINK("https://klasma.github.io/Logging_2482/tillsyn/A 55198-2024 tillsynsbegäran.docx", "A 55198-2024")</f>
        <v/>
      </c>
      <c r="Y668">
        <f>HYPERLINK("https://klasma.github.io/Logging_2482/tillsynsmail/A 55198-2024 tillsynsbegäran mail.docx", "A 55198-2024")</f>
        <v/>
      </c>
    </row>
    <row r="669" ht="15" customHeight="1">
      <c r="A669" t="inlineStr">
        <is>
          <t>A 49364-2025</t>
        </is>
      </c>
      <c r="B669" s="1" t="n">
        <v>45938.62302083334</v>
      </c>
      <c r="C669" s="1" t="n">
        <v>45971</v>
      </c>
      <c r="D669" t="inlineStr">
        <is>
          <t>VÄSTERBOTTENS LÄN</t>
        </is>
      </c>
      <c r="E669" t="inlineStr">
        <is>
          <t>LYCKSELE</t>
        </is>
      </c>
      <c r="F669" t="inlineStr">
        <is>
          <t>Sveaskog</t>
        </is>
      </c>
      <c r="G669" t="n">
        <v>7.9</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49364-2025 artfynd.xlsx", "A 49364-2025")</f>
        <v/>
      </c>
      <c r="T669">
        <f>HYPERLINK("https://klasma.github.io/Logging_2481/kartor/A 49364-2025 karta.png", "A 49364-2025")</f>
        <v/>
      </c>
      <c r="V669">
        <f>HYPERLINK("https://klasma.github.io/Logging_2481/klagomål/A 49364-2025 FSC-klagomål.docx", "A 49364-2025")</f>
        <v/>
      </c>
      <c r="W669">
        <f>HYPERLINK("https://klasma.github.io/Logging_2481/klagomålsmail/A 49364-2025 FSC-klagomål mail.docx", "A 49364-2025")</f>
        <v/>
      </c>
      <c r="X669">
        <f>HYPERLINK("https://klasma.github.io/Logging_2481/tillsyn/A 49364-2025 tillsynsbegäran.docx", "A 49364-2025")</f>
        <v/>
      </c>
      <c r="Y669">
        <f>HYPERLINK("https://klasma.github.io/Logging_2481/tillsynsmail/A 49364-2025 tillsynsbegäran mail.docx", "A 49364-2025")</f>
        <v/>
      </c>
    </row>
    <row r="670" ht="15" customHeight="1">
      <c r="A670" t="inlineStr">
        <is>
          <t>A 40520-2025</t>
        </is>
      </c>
      <c r="B670" s="1" t="n">
        <v>45896.36488425926</v>
      </c>
      <c r="C670" s="1" t="n">
        <v>45971</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9924-2024</t>
        </is>
      </c>
      <c r="B671" s="1" t="n">
        <v>45363</v>
      </c>
      <c r="C671" s="1" t="n">
        <v>45971</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24413-2024</t>
        </is>
      </c>
      <c r="B672" s="1" t="n">
        <v>45457</v>
      </c>
      <c r="C672" s="1" t="n">
        <v>45971</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48882-2025</t>
        </is>
      </c>
      <c r="B673" s="1" t="n">
        <v>45937.46267361111</v>
      </c>
      <c r="C673" s="1" t="n">
        <v>45971</v>
      </c>
      <c r="D673" t="inlineStr">
        <is>
          <t>VÄSTERBOTTENS LÄN</t>
        </is>
      </c>
      <c r="E673" t="inlineStr">
        <is>
          <t>ROBERTSFORS</t>
        </is>
      </c>
      <c r="F673" t="inlineStr">
        <is>
          <t>Kyrkan</t>
        </is>
      </c>
      <c r="G673" t="n">
        <v>5.5</v>
      </c>
      <c r="H673" t="n">
        <v>0</v>
      </c>
      <c r="I673" t="n">
        <v>0</v>
      </c>
      <c r="J673" t="n">
        <v>2</v>
      </c>
      <c r="K673" t="n">
        <v>0</v>
      </c>
      <c r="L673" t="n">
        <v>0</v>
      </c>
      <c r="M673" t="n">
        <v>0</v>
      </c>
      <c r="N673" t="n">
        <v>0</v>
      </c>
      <c r="O673" t="n">
        <v>2</v>
      </c>
      <c r="P673" t="n">
        <v>0</v>
      </c>
      <c r="Q673" t="n">
        <v>2</v>
      </c>
      <c r="R673" s="2" t="inlineStr">
        <is>
          <t>Granticka
Ullticka</t>
        </is>
      </c>
      <c r="S673">
        <f>HYPERLINK("https://klasma.github.io/Logging_2409/artfynd/A 48882-2025 artfynd.xlsx", "A 48882-2025")</f>
        <v/>
      </c>
      <c r="T673">
        <f>HYPERLINK("https://klasma.github.io/Logging_2409/kartor/A 48882-2025 karta.png", "A 48882-2025")</f>
        <v/>
      </c>
      <c r="V673">
        <f>HYPERLINK("https://klasma.github.io/Logging_2409/klagomål/A 48882-2025 FSC-klagomål.docx", "A 48882-2025")</f>
        <v/>
      </c>
      <c r="W673">
        <f>HYPERLINK("https://klasma.github.io/Logging_2409/klagomålsmail/A 48882-2025 FSC-klagomål mail.docx", "A 48882-2025")</f>
        <v/>
      </c>
      <c r="X673">
        <f>HYPERLINK("https://klasma.github.io/Logging_2409/tillsyn/A 48882-2025 tillsynsbegäran.docx", "A 48882-2025")</f>
        <v/>
      </c>
      <c r="Y673">
        <f>HYPERLINK("https://klasma.github.io/Logging_2409/tillsynsmail/A 48882-2025 tillsynsbegäran mail.docx", "A 48882-2025")</f>
        <v/>
      </c>
    </row>
    <row r="674" ht="15" customHeight="1">
      <c r="A674" t="inlineStr">
        <is>
          <t>A 20983-2025</t>
        </is>
      </c>
      <c r="B674" s="1" t="n">
        <v>45777.46910879629</v>
      </c>
      <c r="C674" s="1" t="n">
        <v>45971</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49045-2025</t>
        </is>
      </c>
      <c r="B675" s="1" t="n">
        <v>45937.63671296297</v>
      </c>
      <c r="C675" s="1" t="n">
        <v>45971</v>
      </c>
      <c r="D675" t="inlineStr">
        <is>
          <t>VÄSTERBOTTENS LÄN</t>
        </is>
      </c>
      <c r="E675" t="inlineStr">
        <is>
          <t>DOROTEA</t>
        </is>
      </c>
      <c r="F675" t="inlineStr">
        <is>
          <t>SCA</t>
        </is>
      </c>
      <c r="G675" t="n">
        <v>4.5</v>
      </c>
      <c r="H675" t="n">
        <v>1</v>
      </c>
      <c r="I675" t="n">
        <v>0</v>
      </c>
      <c r="J675" t="n">
        <v>2</v>
      </c>
      <c r="K675" t="n">
        <v>0</v>
      </c>
      <c r="L675" t="n">
        <v>0</v>
      </c>
      <c r="M675" t="n">
        <v>0</v>
      </c>
      <c r="N675" t="n">
        <v>0</v>
      </c>
      <c r="O675" t="n">
        <v>2</v>
      </c>
      <c r="P675" t="n">
        <v>0</v>
      </c>
      <c r="Q675" t="n">
        <v>2</v>
      </c>
      <c r="R675" s="2" t="inlineStr">
        <is>
          <t>Gammelgransskål
Tretåig hackspett</t>
        </is>
      </c>
      <c r="S675">
        <f>HYPERLINK("https://klasma.github.io/Logging_2425/artfynd/A 49045-2025 artfynd.xlsx", "A 49045-2025")</f>
        <v/>
      </c>
      <c r="T675">
        <f>HYPERLINK("https://klasma.github.io/Logging_2425/kartor/A 49045-2025 karta.png", "A 49045-2025")</f>
        <v/>
      </c>
      <c r="V675">
        <f>HYPERLINK("https://klasma.github.io/Logging_2425/klagomål/A 49045-2025 FSC-klagomål.docx", "A 49045-2025")</f>
        <v/>
      </c>
      <c r="W675">
        <f>HYPERLINK("https://klasma.github.io/Logging_2425/klagomålsmail/A 49045-2025 FSC-klagomål mail.docx", "A 49045-2025")</f>
        <v/>
      </c>
      <c r="X675">
        <f>HYPERLINK("https://klasma.github.io/Logging_2425/tillsyn/A 49045-2025 tillsynsbegäran.docx", "A 49045-2025")</f>
        <v/>
      </c>
      <c r="Y675">
        <f>HYPERLINK("https://klasma.github.io/Logging_2425/tillsynsmail/A 49045-2025 tillsynsbegäran mail.docx", "A 49045-2025")</f>
        <v/>
      </c>
      <c r="Z675">
        <f>HYPERLINK("https://klasma.github.io/Logging_2425/fåglar/A 49045-2025 prioriterade fågelarter.docx", "A 49045-2025")</f>
        <v/>
      </c>
    </row>
    <row r="676" ht="15" customHeight="1">
      <c r="A676" t="inlineStr">
        <is>
          <t>A 52538-2024</t>
        </is>
      </c>
      <c r="B676" s="1" t="n">
        <v>45609.62820601852</v>
      </c>
      <c r="C676" s="1" t="n">
        <v>45971</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45971</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10546-2023</t>
        </is>
      </c>
      <c r="B678" s="1" t="n">
        <v>44987</v>
      </c>
      <c r="C678" s="1" t="n">
        <v>45971</v>
      </c>
      <c r="D678" t="inlineStr">
        <is>
          <t>VÄSTERBOTTENS LÄN</t>
        </is>
      </c>
      <c r="E678" t="inlineStr">
        <is>
          <t>ÅSELE</t>
        </is>
      </c>
      <c r="F678" t="inlineStr">
        <is>
          <t>SCA</t>
        </is>
      </c>
      <c r="G678" t="n">
        <v>11.5</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10546-2023 artfynd.xlsx", "A 10546-2023")</f>
        <v/>
      </c>
      <c r="T678">
        <f>HYPERLINK("https://klasma.github.io/Logging_2463/kartor/A 10546-2023 karta.png", "A 10546-2023")</f>
        <v/>
      </c>
      <c r="V678">
        <f>HYPERLINK("https://klasma.github.io/Logging_2463/klagomål/A 10546-2023 FSC-klagomål.docx", "A 10546-2023")</f>
        <v/>
      </c>
      <c r="W678">
        <f>HYPERLINK("https://klasma.github.io/Logging_2463/klagomålsmail/A 10546-2023 FSC-klagomål mail.docx", "A 10546-2023")</f>
        <v/>
      </c>
      <c r="X678">
        <f>HYPERLINK("https://klasma.github.io/Logging_2463/tillsyn/A 10546-2023 tillsynsbegäran.docx", "A 10546-2023")</f>
        <v/>
      </c>
      <c r="Y678">
        <f>HYPERLINK("https://klasma.github.io/Logging_2463/tillsynsmail/A 10546-2023 tillsynsbegäran mail.docx", "A 10546-2023")</f>
        <v/>
      </c>
    </row>
    <row r="679" ht="15" customHeight="1">
      <c r="A679" t="inlineStr">
        <is>
          <t>A 53422-2024</t>
        </is>
      </c>
      <c r="B679" s="1" t="n">
        <v>45614.51167824074</v>
      </c>
      <c r="C679" s="1" t="n">
        <v>45971</v>
      </c>
      <c r="D679" t="inlineStr">
        <is>
          <t>VÄSTERBOTTENS LÄN</t>
        </is>
      </c>
      <c r="E679" t="inlineStr">
        <is>
          <t>SKELLEFTEÅ</t>
        </is>
      </c>
      <c r="G679" t="n">
        <v>1.6</v>
      </c>
      <c r="H679" t="n">
        <v>1</v>
      </c>
      <c r="I679" t="n">
        <v>0</v>
      </c>
      <c r="J679" t="n">
        <v>2</v>
      </c>
      <c r="K679" t="n">
        <v>0</v>
      </c>
      <c r="L679" t="n">
        <v>0</v>
      </c>
      <c r="M679" t="n">
        <v>0</v>
      </c>
      <c r="N679" t="n">
        <v>0</v>
      </c>
      <c r="O679" t="n">
        <v>2</v>
      </c>
      <c r="P679" t="n">
        <v>0</v>
      </c>
      <c r="Q679" t="n">
        <v>2</v>
      </c>
      <c r="R679" s="2" t="inlineStr">
        <is>
          <t>Järpe
Talltaggsvamp</t>
        </is>
      </c>
      <c r="S679">
        <f>HYPERLINK("https://klasma.github.io/Logging_2482/artfynd/A 53422-2024 artfynd.xlsx", "A 53422-2024")</f>
        <v/>
      </c>
      <c r="T679">
        <f>HYPERLINK("https://klasma.github.io/Logging_2482/kartor/A 53422-2024 karta.png", "A 53422-2024")</f>
        <v/>
      </c>
      <c r="V679">
        <f>HYPERLINK("https://klasma.github.io/Logging_2482/klagomål/A 53422-2024 FSC-klagomål.docx", "A 53422-2024")</f>
        <v/>
      </c>
      <c r="W679">
        <f>HYPERLINK("https://klasma.github.io/Logging_2482/klagomålsmail/A 53422-2024 FSC-klagomål mail.docx", "A 53422-2024")</f>
        <v/>
      </c>
      <c r="X679">
        <f>HYPERLINK("https://klasma.github.io/Logging_2482/tillsyn/A 53422-2024 tillsynsbegäran.docx", "A 53422-2024")</f>
        <v/>
      </c>
      <c r="Y679">
        <f>HYPERLINK("https://klasma.github.io/Logging_2482/tillsynsmail/A 53422-2024 tillsynsbegäran mail.docx", "A 53422-2024")</f>
        <v/>
      </c>
      <c r="Z679">
        <f>HYPERLINK("https://klasma.github.io/Logging_2482/fåglar/A 53422-2024 prioriterade fågelarter.docx", "A 53422-2024")</f>
        <v/>
      </c>
    </row>
    <row r="680" ht="15" customHeight="1">
      <c r="A680" t="inlineStr">
        <is>
          <t>A 22363-2025</t>
        </is>
      </c>
      <c r="B680" s="1" t="n">
        <v>45786.46878472222</v>
      </c>
      <c r="C680" s="1" t="n">
        <v>45971</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22363-2025 artfynd.xlsx", "A 22363-2025")</f>
        <v/>
      </c>
      <c r="T680">
        <f>HYPERLINK("https://klasma.github.io/Logging_2481/kartor/A 22363-2025 karta.png", "A 22363-2025")</f>
        <v/>
      </c>
      <c r="V680">
        <f>HYPERLINK("https://klasma.github.io/Logging_2481/klagomål/A 22363-2025 FSC-klagomål.docx", "A 22363-2025")</f>
        <v/>
      </c>
      <c r="W680">
        <f>HYPERLINK("https://klasma.github.io/Logging_2481/klagomålsmail/A 22363-2025 FSC-klagomål mail.docx", "A 22363-2025")</f>
        <v/>
      </c>
      <c r="X680">
        <f>HYPERLINK("https://klasma.github.io/Logging_2481/tillsyn/A 22363-2025 tillsynsbegäran.docx", "A 22363-2025")</f>
        <v/>
      </c>
      <c r="Y680">
        <f>HYPERLINK("https://klasma.github.io/Logging_2481/tillsynsmail/A 22363-2025 tillsynsbegäran mail.docx", "A 22363-2025")</f>
        <v/>
      </c>
    </row>
    <row r="681" ht="15" customHeight="1">
      <c r="A681" t="inlineStr">
        <is>
          <t>A 22360-2025</t>
        </is>
      </c>
      <c r="B681" s="1" t="n">
        <v>45786.46645833334</v>
      </c>
      <c r="C681" s="1" t="n">
        <v>45971</v>
      </c>
      <c r="D681" t="inlineStr">
        <is>
          <t>VÄSTERBOTTENS LÄN</t>
        </is>
      </c>
      <c r="E681" t="inlineStr">
        <is>
          <t>LYCKSELE</t>
        </is>
      </c>
      <c r="F681" t="inlineStr">
        <is>
          <t>Sveaskog</t>
        </is>
      </c>
      <c r="G681" t="n">
        <v>2.2</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HYPERLINK("https://klasma.github.io/Logging_2481/artfynd/A 22360-2025 artfynd.xlsx", "A 22360-2025")</f>
        <v/>
      </c>
      <c r="T681">
        <f>HYPERLINK("https://klasma.github.io/Logging_2481/kartor/A 22360-2025 karta.png", "A 22360-2025")</f>
        <v/>
      </c>
      <c r="V681">
        <f>HYPERLINK("https://klasma.github.io/Logging_2481/klagomål/A 22360-2025 FSC-klagomål.docx", "A 22360-2025")</f>
        <v/>
      </c>
      <c r="W681">
        <f>HYPERLINK("https://klasma.github.io/Logging_2481/klagomålsmail/A 22360-2025 FSC-klagomål mail.docx", "A 22360-2025")</f>
        <v/>
      </c>
      <c r="X681">
        <f>HYPERLINK("https://klasma.github.io/Logging_2481/tillsyn/A 22360-2025 tillsynsbegäran.docx", "A 22360-2025")</f>
        <v/>
      </c>
      <c r="Y681">
        <f>HYPERLINK("https://klasma.github.io/Logging_2481/tillsynsmail/A 22360-2025 tillsynsbegäran mail.docx", "A 22360-2025")</f>
        <v/>
      </c>
    </row>
    <row r="682" ht="15" customHeight="1">
      <c r="A682" t="inlineStr">
        <is>
          <t>A 45935-2024</t>
        </is>
      </c>
      <c r="B682" s="1" t="n">
        <v>45580.5121412037</v>
      </c>
      <c r="C682" s="1" t="n">
        <v>45971</v>
      </c>
      <c r="D682" t="inlineStr">
        <is>
          <t>VÄSTERBOTTENS LÄN</t>
        </is>
      </c>
      <c r="E682" t="inlineStr">
        <is>
          <t>LYCKSELE</t>
        </is>
      </c>
      <c r="F682" t="inlineStr">
        <is>
          <t>Sveaskog</t>
        </is>
      </c>
      <c r="G682" t="n">
        <v>2.4</v>
      </c>
      <c r="H682" t="n">
        <v>0</v>
      </c>
      <c r="I682" t="n">
        <v>0</v>
      </c>
      <c r="J682" t="n">
        <v>2</v>
      </c>
      <c r="K682" t="n">
        <v>0</v>
      </c>
      <c r="L682" t="n">
        <v>0</v>
      </c>
      <c r="M682" t="n">
        <v>0</v>
      </c>
      <c r="N682" t="n">
        <v>0</v>
      </c>
      <c r="O682" t="n">
        <v>2</v>
      </c>
      <c r="P682" t="n">
        <v>0</v>
      </c>
      <c r="Q682" t="n">
        <v>2</v>
      </c>
      <c r="R682" s="2" t="inlineStr">
        <is>
          <t>Lunglav
Orange taggsvamp</t>
        </is>
      </c>
      <c r="S682">
        <f>HYPERLINK("https://klasma.github.io/Logging_2481/artfynd/A 45935-2024 artfynd.xlsx", "A 45935-2024")</f>
        <v/>
      </c>
      <c r="T682">
        <f>HYPERLINK("https://klasma.github.io/Logging_2481/kartor/A 45935-2024 karta.png", "A 45935-2024")</f>
        <v/>
      </c>
      <c r="V682">
        <f>HYPERLINK("https://klasma.github.io/Logging_2481/klagomål/A 45935-2024 FSC-klagomål.docx", "A 45935-2024")</f>
        <v/>
      </c>
      <c r="W682">
        <f>HYPERLINK("https://klasma.github.io/Logging_2481/klagomålsmail/A 45935-2024 FSC-klagomål mail.docx", "A 45935-2024")</f>
        <v/>
      </c>
      <c r="X682">
        <f>HYPERLINK("https://klasma.github.io/Logging_2481/tillsyn/A 45935-2024 tillsynsbegäran.docx", "A 45935-2024")</f>
        <v/>
      </c>
      <c r="Y682">
        <f>HYPERLINK("https://klasma.github.io/Logging_2481/tillsynsmail/A 45935-2024 tillsynsbegäran mail.docx", "A 45935-2024")</f>
        <v/>
      </c>
    </row>
    <row r="683" ht="15" customHeight="1">
      <c r="A683" t="inlineStr">
        <is>
          <t>A 22629-2025</t>
        </is>
      </c>
      <c r="B683" s="1" t="n">
        <v>45789.43789351852</v>
      </c>
      <c r="C683" s="1" t="n">
        <v>45971</v>
      </c>
      <c r="D683" t="inlineStr">
        <is>
          <t>VÄSTERBOTTENS LÄN</t>
        </is>
      </c>
      <c r="E683" t="inlineStr">
        <is>
          <t>LYCKSELE</t>
        </is>
      </c>
      <c r="F683" t="inlineStr">
        <is>
          <t>Sveaskog</t>
        </is>
      </c>
      <c r="G683" t="n">
        <v>11.3</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22629-2025 artfynd.xlsx", "A 22629-2025")</f>
        <v/>
      </c>
      <c r="T683">
        <f>HYPERLINK("https://klasma.github.io/Logging_2481/kartor/A 22629-2025 karta.png", "A 22629-2025")</f>
        <v/>
      </c>
      <c r="V683">
        <f>HYPERLINK("https://klasma.github.io/Logging_2481/klagomål/A 22629-2025 FSC-klagomål.docx", "A 22629-2025")</f>
        <v/>
      </c>
      <c r="W683">
        <f>HYPERLINK("https://klasma.github.io/Logging_2481/klagomålsmail/A 22629-2025 FSC-klagomål mail.docx", "A 22629-2025")</f>
        <v/>
      </c>
      <c r="X683">
        <f>HYPERLINK("https://klasma.github.io/Logging_2481/tillsyn/A 22629-2025 tillsynsbegäran.docx", "A 22629-2025")</f>
        <v/>
      </c>
      <c r="Y683">
        <f>HYPERLINK("https://klasma.github.io/Logging_2481/tillsynsmail/A 22629-2025 tillsynsbegäran mail.docx", "A 22629-2025")</f>
        <v/>
      </c>
    </row>
    <row r="684" ht="15" customHeight="1">
      <c r="A684" t="inlineStr">
        <is>
          <t>A 49553-2025</t>
        </is>
      </c>
      <c r="B684" s="1" t="n">
        <v>45939.4471875</v>
      </c>
      <c r="C684" s="1" t="n">
        <v>45971</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16914-2024</t>
        </is>
      </c>
      <c r="B685" s="1" t="n">
        <v>45411</v>
      </c>
      <c r="C685" s="1" t="n">
        <v>45971</v>
      </c>
      <c r="D685" t="inlineStr">
        <is>
          <t>VÄSTERBOTTENS LÄN</t>
        </is>
      </c>
      <c r="E685" t="inlineStr">
        <is>
          <t>LYCKSELE</t>
        </is>
      </c>
      <c r="G685" t="n">
        <v>24.6</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HYPERLINK("https://klasma.github.io/Logging_2481/artfynd/A 16914-2024 artfynd.xlsx", "A 16914-2024")</f>
        <v/>
      </c>
      <c r="T685">
        <f>HYPERLINK("https://klasma.github.io/Logging_2481/kartor/A 16914-2024 karta.png", "A 16914-2024")</f>
        <v/>
      </c>
      <c r="V685">
        <f>HYPERLINK("https://klasma.github.io/Logging_2481/klagomål/A 16914-2024 FSC-klagomål.docx", "A 16914-2024")</f>
        <v/>
      </c>
      <c r="W685">
        <f>HYPERLINK("https://klasma.github.io/Logging_2481/klagomålsmail/A 16914-2024 FSC-klagomål mail.docx", "A 16914-2024")</f>
        <v/>
      </c>
      <c r="X685">
        <f>HYPERLINK("https://klasma.github.io/Logging_2481/tillsyn/A 16914-2024 tillsynsbegäran.docx", "A 16914-2024")</f>
        <v/>
      </c>
      <c r="Y685">
        <f>HYPERLINK("https://klasma.github.io/Logging_2481/tillsynsmail/A 16914-2024 tillsynsbegäran mail.docx", "A 16914-2024")</f>
        <v/>
      </c>
      <c r="Z685">
        <f>HYPERLINK("https://klasma.github.io/Logging_2481/fåglar/A 16914-2024 prioriterade fågelarter.docx", "A 16914-2024")</f>
        <v/>
      </c>
    </row>
    <row r="686" ht="15" customHeight="1">
      <c r="A686" t="inlineStr">
        <is>
          <t>A 8715-2024</t>
        </is>
      </c>
      <c r="B686" s="1" t="n">
        <v>45356</v>
      </c>
      <c r="C686" s="1" t="n">
        <v>45971</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49550-2025</t>
        </is>
      </c>
      <c r="B687" s="1" t="n">
        <v>45939.44409722222</v>
      </c>
      <c r="C687" s="1" t="n">
        <v>45971</v>
      </c>
      <c r="D687" t="inlineStr">
        <is>
          <t>VÄSTERBOTTENS LÄN</t>
        </is>
      </c>
      <c r="E687" t="inlineStr">
        <is>
          <t>LYCKSELE</t>
        </is>
      </c>
      <c r="F687" t="inlineStr">
        <is>
          <t>Sveaskog</t>
        </is>
      </c>
      <c r="G687" t="n">
        <v>4.5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49550-2025 artfynd.xlsx", "A 49550-2025")</f>
        <v/>
      </c>
      <c r="T687">
        <f>HYPERLINK("https://klasma.github.io/Logging_2481/kartor/A 49550-2025 karta.png", "A 49550-2025")</f>
        <v/>
      </c>
      <c r="V687">
        <f>HYPERLINK("https://klasma.github.io/Logging_2481/klagomål/A 49550-2025 FSC-klagomål.docx", "A 49550-2025")</f>
        <v/>
      </c>
      <c r="W687">
        <f>HYPERLINK("https://klasma.github.io/Logging_2481/klagomålsmail/A 49550-2025 FSC-klagomål mail.docx", "A 49550-2025")</f>
        <v/>
      </c>
      <c r="X687">
        <f>HYPERLINK("https://klasma.github.io/Logging_2481/tillsyn/A 49550-2025 tillsynsbegäran.docx", "A 49550-2025")</f>
        <v/>
      </c>
      <c r="Y687">
        <f>HYPERLINK("https://klasma.github.io/Logging_2481/tillsynsmail/A 49550-2025 tillsynsbegäran mail.docx", "A 49550-2025")</f>
        <v/>
      </c>
    </row>
    <row r="688" ht="15" customHeight="1">
      <c r="A688" t="inlineStr">
        <is>
          <t>A 41018-2025</t>
        </is>
      </c>
      <c r="B688" s="1" t="n">
        <v>45898.365</v>
      </c>
      <c r="C688" s="1" t="n">
        <v>45971</v>
      </c>
      <c r="D688" t="inlineStr">
        <is>
          <t>VÄSTERBOTTENS LÄN</t>
        </is>
      </c>
      <c r="E688" t="inlineStr">
        <is>
          <t>ÅSELE</t>
        </is>
      </c>
      <c r="F688" t="inlineStr">
        <is>
          <t>SCA</t>
        </is>
      </c>
      <c r="G688" t="n">
        <v>13.4</v>
      </c>
      <c r="H688" t="n">
        <v>0</v>
      </c>
      <c r="I688" t="n">
        <v>0</v>
      </c>
      <c r="J688" t="n">
        <v>2</v>
      </c>
      <c r="K688" t="n">
        <v>0</v>
      </c>
      <c r="L688" t="n">
        <v>0</v>
      </c>
      <c r="M688" t="n">
        <v>0</v>
      </c>
      <c r="N688" t="n">
        <v>0</v>
      </c>
      <c r="O688" t="n">
        <v>2</v>
      </c>
      <c r="P688" t="n">
        <v>0</v>
      </c>
      <c r="Q688" t="n">
        <v>2</v>
      </c>
      <c r="R688" s="2" t="inlineStr">
        <is>
          <t>Granticka
Ullticka</t>
        </is>
      </c>
      <c r="S688">
        <f>HYPERLINK("https://klasma.github.io/Logging_2463/artfynd/A 41018-2025 artfynd.xlsx", "A 41018-2025")</f>
        <v/>
      </c>
      <c r="T688">
        <f>HYPERLINK("https://klasma.github.io/Logging_2463/kartor/A 41018-2025 karta.png", "A 41018-2025")</f>
        <v/>
      </c>
      <c r="V688">
        <f>HYPERLINK("https://klasma.github.io/Logging_2463/klagomål/A 41018-2025 FSC-klagomål.docx", "A 41018-2025")</f>
        <v/>
      </c>
      <c r="W688">
        <f>HYPERLINK("https://klasma.github.io/Logging_2463/klagomålsmail/A 41018-2025 FSC-klagomål mail.docx", "A 41018-2025")</f>
        <v/>
      </c>
      <c r="X688">
        <f>HYPERLINK("https://klasma.github.io/Logging_2463/tillsyn/A 41018-2025 tillsynsbegäran.docx", "A 41018-2025")</f>
        <v/>
      </c>
      <c r="Y688">
        <f>HYPERLINK("https://klasma.github.io/Logging_2463/tillsynsmail/A 41018-2025 tillsynsbegäran mail.docx", "A 41018-2025")</f>
        <v/>
      </c>
    </row>
    <row r="689" ht="15" customHeight="1">
      <c r="A689" t="inlineStr">
        <is>
          <t>A 23341-2025</t>
        </is>
      </c>
      <c r="B689" s="1" t="n">
        <v>45791.65668981482</v>
      </c>
      <c r="C689" s="1" t="n">
        <v>45971</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49740-2025</t>
        </is>
      </c>
      <c r="B690" s="1" t="n">
        <v>45940.33377314815</v>
      </c>
      <c r="C690" s="1" t="n">
        <v>45971</v>
      </c>
      <c r="D690" t="inlineStr">
        <is>
          <t>VÄSTERBOTTENS LÄN</t>
        </is>
      </c>
      <c r="E690" t="inlineStr">
        <is>
          <t>LYCKSELE</t>
        </is>
      </c>
      <c r="F690" t="inlineStr">
        <is>
          <t>Sveaskog</t>
        </is>
      </c>
      <c r="G690" t="n">
        <v>13.8</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49740-2025 artfynd.xlsx", "A 49740-2025")</f>
        <v/>
      </c>
      <c r="T690">
        <f>HYPERLINK("https://klasma.github.io/Logging_2481/kartor/A 49740-2025 karta.png", "A 49740-2025")</f>
        <v/>
      </c>
      <c r="V690">
        <f>HYPERLINK("https://klasma.github.io/Logging_2481/klagomål/A 49740-2025 FSC-klagomål.docx", "A 49740-2025")</f>
        <v/>
      </c>
      <c r="W690">
        <f>HYPERLINK("https://klasma.github.io/Logging_2481/klagomålsmail/A 49740-2025 FSC-klagomål mail.docx", "A 49740-2025")</f>
        <v/>
      </c>
      <c r="X690">
        <f>HYPERLINK("https://klasma.github.io/Logging_2481/tillsyn/A 49740-2025 tillsynsbegäran.docx", "A 49740-2025")</f>
        <v/>
      </c>
      <c r="Y690">
        <f>HYPERLINK("https://klasma.github.io/Logging_2481/tillsynsmail/A 49740-2025 tillsynsbegäran mail.docx", "A 49740-2025")</f>
        <v/>
      </c>
    </row>
    <row r="691" ht="15" customHeight="1">
      <c r="A691" t="inlineStr">
        <is>
          <t>A 41360-2025</t>
        </is>
      </c>
      <c r="B691" s="1" t="n">
        <v>45900.46912037037</v>
      </c>
      <c r="C691" s="1" t="n">
        <v>45971</v>
      </c>
      <c r="D691" t="inlineStr">
        <is>
          <t>VÄSTERBOTTENS LÄN</t>
        </is>
      </c>
      <c r="E691" t="inlineStr">
        <is>
          <t>DOROTEA</t>
        </is>
      </c>
      <c r="F691" t="inlineStr">
        <is>
          <t>SCA</t>
        </is>
      </c>
      <c r="G691" t="n">
        <v>11.5</v>
      </c>
      <c r="H691" t="n">
        <v>1</v>
      </c>
      <c r="I691" t="n">
        <v>1</v>
      </c>
      <c r="J691" t="n">
        <v>0</v>
      </c>
      <c r="K691" t="n">
        <v>0</v>
      </c>
      <c r="L691" t="n">
        <v>0</v>
      </c>
      <c r="M691" t="n">
        <v>0</v>
      </c>
      <c r="N691" t="n">
        <v>0</v>
      </c>
      <c r="O691" t="n">
        <v>0</v>
      </c>
      <c r="P691" t="n">
        <v>0</v>
      </c>
      <c r="Q691" t="n">
        <v>2</v>
      </c>
      <c r="R691" s="2" t="inlineStr">
        <is>
          <t>Kransrams
Skogsrör</t>
        </is>
      </c>
      <c r="S691">
        <f>HYPERLINK("https://klasma.github.io/Logging_2425/artfynd/A 41360-2025 artfynd.xlsx", "A 41360-2025")</f>
        <v/>
      </c>
      <c r="T691">
        <f>HYPERLINK("https://klasma.github.io/Logging_2425/kartor/A 41360-2025 karta.png", "A 41360-2025")</f>
        <v/>
      </c>
      <c r="V691">
        <f>HYPERLINK("https://klasma.github.io/Logging_2425/klagomål/A 41360-2025 FSC-klagomål.docx", "A 41360-2025")</f>
        <v/>
      </c>
      <c r="W691">
        <f>HYPERLINK("https://klasma.github.io/Logging_2425/klagomålsmail/A 41360-2025 FSC-klagomål mail.docx", "A 41360-2025")</f>
        <v/>
      </c>
      <c r="X691">
        <f>HYPERLINK("https://klasma.github.io/Logging_2425/tillsyn/A 41360-2025 tillsynsbegäran.docx", "A 41360-2025")</f>
        <v/>
      </c>
      <c r="Y691">
        <f>HYPERLINK("https://klasma.github.io/Logging_2425/tillsynsmail/A 41360-2025 tillsynsbegäran mail.docx", "A 41360-2025")</f>
        <v/>
      </c>
    </row>
    <row r="692" ht="15" customHeight="1">
      <c r="A692" t="inlineStr">
        <is>
          <t>A 23328-2025</t>
        </is>
      </c>
      <c r="B692" s="1" t="n">
        <v>45791.63113425926</v>
      </c>
      <c r="C692" s="1" t="n">
        <v>45971</v>
      </c>
      <c r="D692" t="inlineStr">
        <is>
          <t>VÄSTERBOTTENS LÄN</t>
        </is>
      </c>
      <c r="E692" t="inlineStr">
        <is>
          <t>LYCKSELE</t>
        </is>
      </c>
      <c r="F692" t="inlineStr">
        <is>
          <t>Sveaskog</t>
        </is>
      </c>
      <c r="G692" t="n">
        <v>2.2</v>
      </c>
      <c r="H692" t="n">
        <v>0</v>
      </c>
      <c r="I692" t="n">
        <v>0</v>
      </c>
      <c r="J692" t="n">
        <v>2</v>
      </c>
      <c r="K692" t="n">
        <v>0</v>
      </c>
      <c r="L692" t="n">
        <v>0</v>
      </c>
      <c r="M692" t="n">
        <v>0</v>
      </c>
      <c r="N692" t="n">
        <v>0</v>
      </c>
      <c r="O692" t="n">
        <v>2</v>
      </c>
      <c r="P692" t="n">
        <v>0</v>
      </c>
      <c r="Q692" t="n">
        <v>2</v>
      </c>
      <c r="R692" s="2" t="inlineStr">
        <is>
          <t>Blå taggsvamp
Orange taggsvamp</t>
        </is>
      </c>
      <c r="S692">
        <f>HYPERLINK("https://klasma.github.io/Logging_2481/artfynd/A 23328-2025 artfynd.xlsx", "A 23328-2025")</f>
        <v/>
      </c>
      <c r="T692">
        <f>HYPERLINK("https://klasma.github.io/Logging_2481/kartor/A 23328-2025 karta.png", "A 23328-2025")</f>
        <v/>
      </c>
      <c r="V692">
        <f>HYPERLINK("https://klasma.github.io/Logging_2481/klagomål/A 23328-2025 FSC-klagomål.docx", "A 23328-2025")</f>
        <v/>
      </c>
      <c r="W692">
        <f>HYPERLINK("https://klasma.github.io/Logging_2481/klagomålsmail/A 23328-2025 FSC-klagomål mail.docx", "A 23328-2025")</f>
        <v/>
      </c>
      <c r="X692">
        <f>HYPERLINK("https://klasma.github.io/Logging_2481/tillsyn/A 23328-2025 tillsynsbegäran.docx", "A 23328-2025")</f>
        <v/>
      </c>
      <c r="Y692">
        <f>HYPERLINK("https://klasma.github.io/Logging_2481/tillsynsmail/A 23328-2025 tillsynsbegäran mail.docx", "A 23328-2025")</f>
        <v/>
      </c>
    </row>
    <row r="693" ht="15" customHeight="1">
      <c r="A693" t="inlineStr">
        <is>
          <t>A 23329-2025</t>
        </is>
      </c>
      <c r="B693" s="1" t="n">
        <v>45791.64069444445</v>
      </c>
      <c r="C693" s="1" t="n">
        <v>45971</v>
      </c>
      <c r="D693" t="inlineStr">
        <is>
          <t>VÄSTERBOTTENS LÄN</t>
        </is>
      </c>
      <c r="E693" t="inlineStr">
        <is>
          <t>SKELLEFTEÅ</t>
        </is>
      </c>
      <c r="F693" t="inlineStr">
        <is>
          <t>Holmen skog AB</t>
        </is>
      </c>
      <c r="G693" t="n">
        <v>3.3</v>
      </c>
      <c r="H693" t="n">
        <v>0</v>
      </c>
      <c r="I693" t="n">
        <v>1</v>
      </c>
      <c r="J693" t="n">
        <v>1</v>
      </c>
      <c r="K693" t="n">
        <v>0</v>
      </c>
      <c r="L693" t="n">
        <v>0</v>
      </c>
      <c r="M693" t="n">
        <v>0</v>
      </c>
      <c r="N693" t="n">
        <v>0</v>
      </c>
      <c r="O693" t="n">
        <v>1</v>
      </c>
      <c r="P693" t="n">
        <v>0</v>
      </c>
      <c r="Q693" t="n">
        <v>2</v>
      </c>
      <c r="R693" s="2" t="inlineStr">
        <is>
          <t>Garnlav
Dropptaggsvamp</t>
        </is>
      </c>
      <c r="S693">
        <f>HYPERLINK("https://klasma.github.io/Logging_2482/artfynd/A 23329-2025 artfynd.xlsx", "A 23329-2025")</f>
        <v/>
      </c>
      <c r="T693">
        <f>HYPERLINK("https://klasma.github.io/Logging_2482/kartor/A 23329-2025 karta.png", "A 23329-2025")</f>
        <v/>
      </c>
      <c r="V693">
        <f>HYPERLINK("https://klasma.github.io/Logging_2482/klagomål/A 23329-2025 FSC-klagomål.docx", "A 23329-2025")</f>
        <v/>
      </c>
      <c r="W693">
        <f>HYPERLINK("https://klasma.github.io/Logging_2482/klagomålsmail/A 23329-2025 FSC-klagomål mail.docx", "A 23329-2025")</f>
        <v/>
      </c>
      <c r="X693">
        <f>HYPERLINK("https://klasma.github.io/Logging_2482/tillsyn/A 23329-2025 tillsynsbegäran.docx", "A 23329-2025")</f>
        <v/>
      </c>
      <c r="Y693">
        <f>HYPERLINK("https://klasma.github.io/Logging_2482/tillsynsmail/A 23329-2025 tillsynsbegäran mail.docx", "A 23329-2025")</f>
        <v/>
      </c>
    </row>
    <row r="694" ht="15" customHeight="1">
      <c r="A694" t="inlineStr">
        <is>
          <t>A 52525-2024</t>
        </is>
      </c>
      <c r="B694" s="1" t="n">
        <v>45609</v>
      </c>
      <c r="C694" s="1" t="n">
        <v>45971</v>
      </c>
      <c r="D694" t="inlineStr">
        <is>
          <t>VÄSTERBOTTENS LÄN</t>
        </is>
      </c>
      <c r="E694" t="inlineStr">
        <is>
          <t>SKELLEFTEÅ</t>
        </is>
      </c>
      <c r="G694" t="n">
        <v>8.6</v>
      </c>
      <c r="H694" t="n">
        <v>0</v>
      </c>
      <c r="I694" t="n">
        <v>1</v>
      </c>
      <c r="J694" t="n">
        <v>1</v>
      </c>
      <c r="K694" t="n">
        <v>0</v>
      </c>
      <c r="L694" t="n">
        <v>0</v>
      </c>
      <c r="M694" t="n">
        <v>0</v>
      </c>
      <c r="N694" t="n">
        <v>0</v>
      </c>
      <c r="O694" t="n">
        <v>1</v>
      </c>
      <c r="P694" t="n">
        <v>0</v>
      </c>
      <c r="Q694" t="n">
        <v>2</v>
      </c>
      <c r="R694" s="2" t="inlineStr">
        <is>
          <t>Lunglav
Stuplav</t>
        </is>
      </c>
      <c r="S694">
        <f>HYPERLINK("https://klasma.github.io/Logging_2482/artfynd/A 52525-2024 artfynd.xlsx", "A 52525-2024")</f>
        <v/>
      </c>
      <c r="T694">
        <f>HYPERLINK("https://klasma.github.io/Logging_2482/kartor/A 52525-2024 karta.png", "A 52525-2024")</f>
        <v/>
      </c>
      <c r="V694">
        <f>HYPERLINK("https://klasma.github.io/Logging_2482/klagomål/A 52525-2024 FSC-klagomål.docx", "A 52525-2024")</f>
        <v/>
      </c>
      <c r="W694">
        <f>HYPERLINK("https://klasma.github.io/Logging_2482/klagomålsmail/A 52525-2024 FSC-klagomål mail.docx", "A 52525-2024")</f>
        <v/>
      </c>
      <c r="X694">
        <f>HYPERLINK("https://klasma.github.io/Logging_2482/tillsyn/A 52525-2024 tillsynsbegäran.docx", "A 52525-2024")</f>
        <v/>
      </c>
      <c r="Y694">
        <f>HYPERLINK("https://klasma.github.io/Logging_2482/tillsynsmail/A 52525-2024 tillsynsbegäran mail.docx", "A 52525-2024")</f>
        <v/>
      </c>
    </row>
    <row r="695" ht="15" customHeight="1">
      <c r="A695" t="inlineStr">
        <is>
          <t>A 43094-2023</t>
        </is>
      </c>
      <c r="B695" s="1" t="n">
        <v>45182</v>
      </c>
      <c r="C695" s="1" t="n">
        <v>45971</v>
      </c>
      <c r="D695" t="inlineStr">
        <is>
          <t>VÄSTERBOTTENS LÄN</t>
        </is>
      </c>
      <c r="E695" t="inlineStr">
        <is>
          <t>ROBERTSFORS</t>
        </is>
      </c>
      <c r="G695" t="n">
        <v>7.7</v>
      </c>
      <c r="H695" t="n">
        <v>2</v>
      </c>
      <c r="I695" t="n">
        <v>0</v>
      </c>
      <c r="J695" t="n">
        <v>2</v>
      </c>
      <c r="K695" t="n">
        <v>0</v>
      </c>
      <c r="L695" t="n">
        <v>0</v>
      </c>
      <c r="M695" t="n">
        <v>0</v>
      </c>
      <c r="N695" t="n">
        <v>0</v>
      </c>
      <c r="O695" t="n">
        <v>2</v>
      </c>
      <c r="P695" t="n">
        <v>0</v>
      </c>
      <c r="Q695" t="n">
        <v>2</v>
      </c>
      <c r="R695" s="2" t="inlineStr">
        <is>
          <t>Svartvit flugsnappare
Ärtsångare</t>
        </is>
      </c>
      <c r="S695">
        <f>HYPERLINK("https://klasma.github.io/Logging_2409/artfynd/A 43094-2023 artfynd.xlsx", "A 43094-2023")</f>
        <v/>
      </c>
      <c r="T695">
        <f>HYPERLINK("https://klasma.github.io/Logging_2409/kartor/A 43094-2023 karta.png", "A 43094-2023")</f>
        <v/>
      </c>
      <c r="V695">
        <f>HYPERLINK("https://klasma.github.io/Logging_2409/klagomål/A 43094-2023 FSC-klagomål.docx", "A 43094-2023")</f>
        <v/>
      </c>
      <c r="W695">
        <f>HYPERLINK("https://klasma.github.io/Logging_2409/klagomålsmail/A 43094-2023 FSC-klagomål mail.docx", "A 43094-2023")</f>
        <v/>
      </c>
      <c r="X695">
        <f>HYPERLINK("https://klasma.github.io/Logging_2409/tillsyn/A 43094-2023 tillsynsbegäran.docx", "A 43094-2023")</f>
        <v/>
      </c>
      <c r="Y695">
        <f>HYPERLINK("https://klasma.github.io/Logging_2409/tillsynsmail/A 43094-2023 tillsynsbegäran mail.docx", "A 43094-2023")</f>
        <v/>
      </c>
      <c r="Z695">
        <f>HYPERLINK("https://klasma.github.io/Logging_2409/fåglar/A 43094-2023 prioriterade fågelarter.docx", "A 43094-2023")</f>
        <v/>
      </c>
    </row>
    <row r="696" ht="15" customHeight="1">
      <c r="A696" t="inlineStr">
        <is>
          <t>A 23862-2025</t>
        </is>
      </c>
      <c r="B696" s="1" t="n">
        <v>45793.66493055555</v>
      </c>
      <c r="C696" s="1" t="n">
        <v>45971</v>
      </c>
      <c r="D696" t="inlineStr">
        <is>
          <t>VÄSTERBOTTENS LÄN</t>
        </is>
      </c>
      <c r="E696" t="inlineStr">
        <is>
          <t>LYCKSELE</t>
        </is>
      </c>
      <c r="F696" t="inlineStr">
        <is>
          <t>Sveaskog</t>
        </is>
      </c>
      <c r="G696" t="n">
        <v>4.7</v>
      </c>
      <c r="H696" t="n">
        <v>2</v>
      </c>
      <c r="I696" t="n">
        <v>0</v>
      </c>
      <c r="J696" t="n">
        <v>0</v>
      </c>
      <c r="K696" t="n">
        <v>0</v>
      </c>
      <c r="L696" t="n">
        <v>0</v>
      </c>
      <c r="M696" t="n">
        <v>0</v>
      </c>
      <c r="N696" t="n">
        <v>0</v>
      </c>
      <c r="O696" t="n">
        <v>0</v>
      </c>
      <c r="P696" t="n">
        <v>0</v>
      </c>
      <c r="Q696" t="n">
        <v>2</v>
      </c>
      <c r="R696" s="2" t="inlineStr">
        <is>
          <t>Fläcknycklar
Revlummer</t>
        </is>
      </c>
      <c r="S696">
        <f>HYPERLINK("https://klasma.github.io/Logging_2481/artfynd/A 23862-2025 artfynd.xlsx", "A 23862-2025")</f>
        <v/>
      </c>
      <c r="T696">
        <f>HYPERLINK("https://klasma.github.io/Logging_2481/kartor/A 23862-2025 karta.png", "A 23862-2025")</f>
        <v/>
      </c>
      <c r="V696">
        <f>HYPERLINK("https://klasma.github.io/Logging_2481/klagomål/A 23862-2025 FSC-klagomål.docx", "A 23862-2025")</f>
        <v/>
      </c>
      <c r="W696">
        <f>HYPERLINK("https://klasma.github.io/Logging_2481/klagomålsmail/A 23862-2025 FSC-klagomål mail.docx", "A 23862-2025")</f>
        <v/>
      </c>
      <c r="X696">
        <f>HYPERLINK("https://klasma.github.io/Logging_2481/tillsyn/A 23862-2025 tillsynsbegäran.docx", "A 23862-2025")</f>
        <v/>
      </c>
      <c r="Y696">
        <f>HYPERLINK("https://klasma.github.io/Logging_2481/tillsynsmail/A 23862-2025 tillsynsbegäran mail.docx", "A 23862-2025")</f>
        <v/>
      </c>
    </row>
    <row r="697" ht="15" customHeight="1">
      <c r="A697" t="inlineStr">
        <is>
          <t>A 7702-2025</t>
        </is>
      </c>
      <c r="B697" s="1" t="n">
        <v>45706.4094212963</v>
      </c>
      <c r="C697" s="1" t="n">
        <v>45971</v>
      </c>
      <c r="D697" t="inlineStr">
        <is>
          <t>VÄSTERBOTTENS LÄN</t>
        </is>
      </c>
      <c r="E697" t="inlineStr">
        <is>
          <t>LYCKSELE</t>
        </is>
      </c>
      <c r="G697" t="n">
        <v>3.5</v>
      </c>
      <c r="H697" t="n">
        <v>1</v>
      </c>
      <c r="I697" t="n">
        <v>0</v>
      </c>
      <c r="J697" t="n">
        <v>1</v>
      </c>
      <c r="K697" t="n">
        <v>0</v>
      </c>
      <c r="L697" t="n">
        <v>0</v>
      </c>
      <c r="M697" t="n">
        <v>0</v>
      </c>
      <c r="N697" t="n">
        <v>0</v>
      </c>
      <c r="O697" t="n">
        <v>1</v>
      </c>
      <c r="P697" t="n">
        <v>0</v>
      </c>
      <c r="Q697" t="n">
        <v>2</v>
      </c>
      <c r="R697" s="2" t="inlineStr">
        <is>
          <t>Garnlav
Kungsfågel</t>
        </is>
      </c>
      <c r="S697">
        <f>HYPERLINK("https://klasma.github.io/Logging_2481/artfynd/A 7702-2025 artfynd.xlsx", "A 7702-2025")</f>
        <v/>
      </c>
      <c r="T697">
        <f>HYPERLINK("https://klasma.github.io/Logging_2481/kartor/A 7702-2025 karta.png", "A 7702-2025")</f>
        <v/>
      </c>
      <c r="V697">
        <f>HYPERLINK("https://klasma.github.io/Logging_2481/klagomål/A 7702-2025 FSC-klagomål.docx", "A 7702-2025")</f>
        <v/>
      </c>
      <c r="W697">
        <f>HYPERLINK("https://klasma.github.io/Logging_2481/klagomålsmail/A 7702-2025 FSC-klagomål mail.docx", "A 7702-2025")</f>
        <v/>
      </c>
      <c r="X697">
        <f>HYPERLINK("https://klasma.github.io/Logging_2481/tillsyn/A 7702-2025 tillsynsbegäran.docx", "A 7702-2025")</f>
        <v/>
      </c>
      <c r="Y697">
        <f>HYPERLINK("https://klasma.github.io/Logging_2481/tillsynsmail/A 7702-2025 tillsynsbegäran mail.docx", "A 7702-2025")</f>
        <v/>
      </c>
      <c r="Z697">
        <f>HYPERLINK("https://klasma.github.io/Logging_2481/fåglar/A 7702-2025 prioriterade fågelarter.docx", "A 7702-2025")</f>
        <v/>
      </c>
    </row>
    <row r="698" ht="15" customHeight="1">
      <c r="A698" t="inlineStr">
        <is>
          <t>A 57851-2024</t>
        </is>
      </c>
      <c r="B698" s="1" t="n">
        <v>45631</v>
      </c>
      <c r="C698" s="1" t="n">
        <v>45971</v>
      </c>
      <c r="D698" t="inlineStr">
        <is>
          <t>VÄSTERBOTTENS LÄN</t>
        </is>
      </c>
      <c r="E698" t="inlineStr">
        <is>
          <t>SKELLEFTEÅ</t>
        </is>
      </c>
      <c r="F698" t="inlineStr">
        <is>
          <t>Sveaskog</t>
        </is>
      </c>
      <c r="G698" t="n">
        <v>15.7</v>
      </c>
      <c r="H698" t="n">
        <v>2</v>
      </c>
      <c r="I698" t="n">
        <v>0</v>
      </c>
      <c r="J698" t="n">
        <v>0</v>
      </c>
      <c r="K698" t="n">
        <v>0</v>
      </c>
      <c r="L698" t="n">
        <v>0</v>
      </c>
      <c r="M698" t="n">
        <v>0</v>
      </c>
      <c r="N698" t="n">
        <v>0</v>
      </c>
      <c r="O698" t="n">
        <v>0</v>
      </c>
      <c r="P698" t="n">
        <v>0</v>
      </c>
      <c r="Q698" t="n">
        <v>2</v>
      </c>
      <c r="R698" s="2" t="inlineStr">
        <is>
          <t>Fläcknycklar
Revlummer</t>
        </is>
      </c>
      <c r="S698">
        <f>HYPERLINK("https://klasma.github.io/Logging_2482/artfynd/A 57851-2024 artfynd.xlsx", "A 57851-2024")</f>
        <v/>
      </c>
      <c r="T698">
        <f>HYPERLINK("https://klasma.github.io/Logging_2482/kartor/A 57851-2024 karta.png", "A 57851-2024")</f>
        <v/>
      </c>
      <c r="V698">
        <f>HYPERLINK("https://klasma.github.io/Logging_2482/klagomål/A 57851-2024 FSC-klagomål.docx", "A 57851-2024")</f>
        <v/>
      </c>
      <c r="W698">
        <f>HYPERLINK("https://klasma.github.io/Logging_2482/klagomålsmail/A 57851-2024 FSC-klagomål mail.docx", "A 57851-2024")</f>
        <v/>
      </c>
      <c r="X698">
        <f>HYPERLINK("https://klasma.github.io/Logging_2482/tillsyn/A 57851-2024 tillsynsbegäran.docx", "A 57851-2024")</f>
        <v/>
      </c>
      <c r="Y698">
        <f>HYPERLINK("https://klasma.github.io/Logging_2482/tillsynsmail/A 57851-2024 tillsynsbegäran mail.docx", "A 57851-2024")</f>
        <v/>
      </c>
    </row>
    <row r="699" ht="15" customHeight="1">
      <c r="A699" t="inlineStr">
        <is>
          <t>A 23853-2025</t>
        </is>
      </c>
      <c r="B699" s="1" t="n">
        <v>45793.65607638889</v>
      </c>
      <c r="C699" s="1" t="n">
        <v>45971</v>
      </c>
      <c r="D699" t="inlineStr">
        <is>
          <t>VÄSTERBOTTENS LÄN</t>
        </is>
      </c>
      <c r="E699" t="inlineStr">
        <is>
          <t>STORUMAN</t>
        </is>
      </c>
      <c r="G699" t="n">
        <v>4.2</v>
      </c>
      <c r="H699" t="n">
        <v>1</v>
      </c>
      <c r="I699" t="n">
        <v>1</v>
      </c>
      <c r="J699" t="n">
        <v>1</v>
      </c>
      <c r="K699" t="n">
        <v>0</v>
      </c>
      <c r="L699" t="n">
        <v>0</v>
      </c>
      <c r="M699" t="n">
        <v>0</v>
      </c>
      <c r="N699" t="n">
        <v>0</v>
      </c>
      <c r="O699" t="n">
        <v>1</v>
      </c>
      <c r="P699" t="n">
        <v>0</v>
      </c>
      <c r="Q699" t="n">
        <v>2</v>
      </c>
      <c r="R699" s="2" t="inlineStr">
        <is>
          <t>Spillkråka
Tibast</t>
        </is>
      </c>
      <c r="S699">
        <f>HYPERLINK("https://klasma.github.io/Logging_2421/artfynd/A 23853-2025 artfynd.xlsx", "A 23853-2025")</f>
        <v/>
      </c>
      <c r="T699">
        <f>HYPERLINK("https://klasma.github.io/Logging_2421/kartor/A 23853-2025 karta.png", "A 23853-2025")</f>
        <v/>
      </c>
      <c r="V699">
        <f>HYPERLINK("https://klasma.github.io/Logging_2421/klagomål/A 23853-2025 FSC-klagomål.docx", "A 23853-2025")</f>
        <v/>
      </c>
      <c r="W699">
        <f>HYPERLINK("https://klasma.github.io/Logging_2421/klagomålsmail/A 23853-2025 FSC-klagomål mail.docx", "A 23853-2025")</f>
        <v/>
      </c>
      <c r="X699">
        <f>HYPERLINK("https://klasma.github.io/Logging_2421/tillsyn/A 23853-2025 tillsynsbegäran.docx", "A 23853-2025")</f>
        <v/>
      </c>
      <c r="Y699">
        <f>HYPERLINK("https://klasma.github.io/Logging_2421/tillsynsmail/A 23853-2025 tillsynsbegäran mail.docx", "A 23853-2025")</f>
        <v/>
      </c>
      <c r="Z699">
        <f>HYPERLINK("https://klasma.github.io/Logging_2421/fåglar/A 23853-2025 prioriterade fågelarter.docx", "A 23853-2025")</f>
        <v/>
      </c>
    </row>
    <row r="700" ht="15" customHeight="1">
      <c r="A700" t="inlineStr">
        <is>
          <t>A 14391-2025</t>
        </is>
      </c>
      <c r="B700" s="1" t="n">
        <v>45741.42979166667</v>
      </c>
      <c r="C700" s="1" t="n">
        <v>45971</v>
      </c>
      <c r="D700" t="inlineStr">
        <is>
          <t>VÄSTERBOTTENS LÄN</t>
        </is>
      </c>
      <c r="E700" t="inlineStr">
        <is>
          <t>SKELLEFTEÅ</t>
        </is>
      </c>
      <c r="G700" t="n">
        <v>3.2</v>
      </c>
      <c r="H700" t="n">
        <v>2</v>
      </c>
      <c r="I700" t="n">
        <v>0</v>
      </c>
      <c r="J700" t="n">
        <v>0</v>
      </c>
      <c r="K700" t="n">
        <v>0</v>
      </c>
      <c r="L700" t="n">
        <v>0</v>
      </c>
      <c r="M700" t="n">
        <v>0</v>
      </c>
      <c r="N700" t="n">
        <v>0</v>
      </c>
      <c r="O700" t="n">
        <v>0</v>
      </c>
      <c r="P700" t="n">
        <v>0</v>
      </c>
      <c r="Q700" t="n">
        <v>2</v>
      </c>
      <c r="R700" s="2" t="inlineStr">
        <is>
          <t>Enkelbeckasin
Grönsiska</t>
        </is>
      </c>
      <c r="S700">
        <f>HYPERLINK("https://klasma.github.io/Logging_2482/artfynd/A 14391-2025 artfynd.xlsx", "A 14391-2025")</f>
        <v/>
      </c>
      <c r="T700">
        <f>HYPERLINK("https://klasma.github.io/Logging_2482/kartor/A 14391-2025 karta.png", "A 14391-2025")</f>
        <v/>
      </c>
      <c r="V700">
        <f>HYPERLINK("https://klasma.github.io/Logging_2482/klagomål/A 14391-2025 FSC-klagomål.docx", "A 14391-2025")</f>
        <v/>
      </c>
      <c r="W700">
        <f>HYPERLINK("https://klasma.github.io/Logging_2482/klagomålsmail/A 14391-2025 FSC-klagomål mail.docx", "A 14391-2025")</f>
        <v/>
      </c>
      <c r="X700">
        <f>HYPERLINK("https://klasma.github.io/Logging_2482/tillsyn/A 14391-2025 tillsynsbegäran.docx", "A 14391-2025")</f>
        <v/>
      </c>
      <c r="Y700">
        <f>HYPERLINK("https://klasma.github.io/Logging_2482/tillsynsmail/A 14391-2025 tillsynsbegäran mail.docx", "A 14391-2025")</f>
        <v/>
      </c>
      <c r="Z700">
        <f>HYPERLINK("https://klasma.github.io/Logging_2482/fåglar/A 14391-2025 prioriterade fågelarter.docx", "A 14391-2025")</f>
        <v/>
      </c>
    </row>
    <row r="701" ht="15" customHeight="1">
      <c r="A701" t="inlineStr">
        <is>
          <t>A 31206-2023</t>
        </is>
      </c>
      <c r="B701" s="1" t="n">
        <v>45113</v>
      </c>
      <c r="C701" s="1" t="n">
        <v>45971</v>
      </c>
      <c r="D701" t="inlineStr">
        <is>
          <t>VÄSTERBOTTENS LÄN</t>
        </is>
      </c>
      <c r="E701" t="inlineStr">
        <is>
          <t>BJURHOLM</t>
        </is>
      </c>
      <c r="F701" t="inlineStr">
        <is>
          <t>SCA</t>
        </is>
      </c>
      <c r="G701" t="n">
        <v>6</v>
      </c>
      <c r="H701" t="n">
        <v>0</v>
      </c>
      <c r="I701" t="n">
        <v>1</v>
      </c>
      <c r="J701" t="n">
        <v>1</v>
      </c>
      <c r="K701" t="n">
        <v>0</v>
      </c>
      <c r="L701" t="n">
        <v>0</v>
      </c>
      <c r="M701" t="n">
        <v>0</v>
      </c>
      <c r="N701" t="n">
        <v>0</v>
      </c>
      <c r="O701" t="n">
        <v>1</v>
      </c>
      <c r="P701" t="n">
        <v>0</v>
      </c>
      <c r="Q701" t="n">
        <v>2</v>
      </c>
      <c r="R701" s="2" t="inlineStr">
        <is>
          <t>Garnlav
Skarp dropptaggsvamp</t>
        </is>
      </c>
      <c r="S701">
        <f>HYPERLINK("https://klasma.github.io/Logging_2403/artfynd/A 31206-2023 artfynd.xlsx", "A 31206-2023")</f>
        <v/>
      </c>
      <c r="T701">
        <f>HYPERLINK("https://klasma.github.io/Logging_2403/kartor/A 31206-2023 karta.png", "A 31206-2023")</f>
        <v/>
      </c>
      <c r="U701">
        <f>HYPERLINK("https://klasma.github.io/Logging_2403/knärot/A 31206-2023 karta knärot.png", "A 31206-2023")</f>
        <v/>
      </c>
      <c r="V701">
        <f>HYPERLINK("https://klasma.github.io/Logging_2403/klagomål/A 31206-2023 FSC-klagomål.docx", "A 31206-2023")</f>
        <v/>
      </c>
      <c r="W701">
        <f>HYPERLINK("https://klasma.github.io/Logging_2403/klagomålsmail/A 31206-2023 FSC-klagomål mail.docx", "A 31206-2023")</f>
        <v/>
      </c>
      <c r="X701">
        <f>HYPERLINK("https://klasma.github.io/Logging_2403/tillsyn/A 31206-2023 tillsynsbegäran.docx", "A 31206-2023")</f>
        <v/>
      </c>
      <c r="Y701">
        <f>HYPERLINK("https://klasma.github.io/Logging_2403/tillsynsmail/A 31206-2023 tillsynsbegäran mail.docx", "A 31206-2023")</f>
        <v/>
      </c>
    </row>
    <row r="702" ht="15" customHeight="1">
      <c r="A702" t="inlineStr">
        <is>
          <t>A 30717-2023</t>
        </is>
      </c>
      <c r="B702" s="1" t="n">
        <v>45112</v>
      </c>
      <c r="C702" s="1" t="n">
        <v>45971</v>
      </c>
      <c r="D702" t="inlineStr">
        <is>
          <t>VÄSTERBOTTENS LÄN</t>
        </is>
      </c>
      <c r="E702" t="inlineStr">
        <is>
          <t>VILHELMINA</t>
        </is>
      </c>
      <c r="G702" t="n">
        <v>22.7</v>
      </c>
      <c r="H702" t="n">
        <v>0</v>
      </c>
      <c r="I702" t="n">
        <v>0</v>
      </c>
      <c r="J702" t="n">
        <v>2</v>
      </c>
      <c r="K702" t="n">
        <v>0</v>
      </c>
      <c r="L702" t="n">
        <v>0</v>
      </c>
      <c r="M702" t="n">
        <v>0</v>
      </c>
      <c r="N702" t="n">
        <v>0</v>
      </c>
      <c r="O702" t="n">
        <v>2</v>
      </c>
      <c r="P702" t="n">
        <v>0</v>
      </c>
      <c r="Q702" t="n">
        <v>2</v>
      </c>
      <c r="R702" s="2" t="inlineStr">
        <is>
          <t>Garnlav
Ullticka</t>
        </is>
      </c>
      <c r="S702">
        <f>HYPERLINK("https://klasma.github.io/Logging_2462/artfynd/A 30717-2023 artfynd.xlsx", "A 30717-2023")</f>
        <v/>
      </c>
      <c r="T702">
        <f>HYPERLINK("https://klasma.github.io/Logging_2462/kartor/A 30717-2023 karta.png", "A 30717-2023")</f>
        <v/>
      </c>
      <c r="V702">
        <f>HYPERLINK("https://klasma.github.io/Logging_2462/klagomål/A 30717-2023 FSC-klagomål.docx", "A 30717-2023")</f>
        <v/>
      </c>
      <c r="W702">
        <f>HYPERLINK("https://klasma.github.io/Logging_2462/klagomålsmail/A 30717-2023 FSC-klagomål mail.docx", "A 30717-2023")</f>
        <v/>
      </c>
      <c r="X702">
        <f>HYPERLINK("https://klasma.github.io/Logging_2462/tillsyn/A 30717-2023 tillsynsbegäran.docx", "A 30717-2023")</f>
        <v/>
      </c>
      <c r="Y702">
        <f>HYPERLINK("https://klasma.github.io/Logging_2462/tillsynsmail/A 30717-2023 tillsynsbegäran mail.docx", "A 30717-2023")</f>
        <v/>
      </c>
    </row>
    <row r="703" ht="15" customHeight="1">
      <c r="A703" t="inlineStr">
        <is>
          <t>A 54363-2024</t>
        </is>
      </c>
      <c r="B703" s="1" t="n">
        <v>45617.41769675926</v>
      </c>
      <c r="C703" s="1" t="n">
        <v>45971</v>
      </c>
      <c r="D703" t="inlineStr">
        <is>
          <t>VÄSTERBOTTENS LÄN</t>
        </is>
      </c>
      <c r="E703" t="inlineStr">
        <is>
          <t>VINDELN</t>
        </is>
      </c>
      <c r="F703" t="inlineStr">
        <is>
          <t>Holmen skog AB</t>
        </is>
      </c>
      <c r="G703" t="n">
        <v>5.2</v>
      </c>
      <c r="H703" t="n">
        <v>0</v>
      </c>
      <c r="I703" t="n">
        <v>2</v>
      </c>
      <c r="J703" t="n">
        <v>0</v>
      </c>
      <c r="K703" t="n">
        <v>0</v>
      </c>
      <c r="L703" t="n">
        <v>0</v>
      </c>
      <c r="M703" t="n">
        <v>0</v>
      </c>
      <c r="N703" t="n">
        <v>0</v>
      </c>
      <c r="O703" t="n">
        <v>0</v>
      </c>
      <c r="P703" t="n">
        <v>0</v>
      </c>
      <c r="Q703" t="n">
        <v>2</v>
      </c>
      <c r="R703" s="2" t="inlineStr">
        <is>
          <t>Skinnlav
Vedticka</t>
        </is>
      </c>
      <c r="S703">
        <f>HYPERLINK("https://klasma.github.io/Logging_2404/artfynd/A 54363-2024 artfynd.xlsx", "A 54363-2024")</f>
        <v/>
      </c>
      <c r="T703">
        <f>HYPERLINK("https://klasma.github.io/Logging_2404/kartor/A 54363-2024 karta.png", "A 54363-2024")</f>
        <v/>
      </c>
      <c r="V703">
        <f>HYPERLINK("https://klasma.github.io/Logging_2404/klagomål/A 54363-2024 FSC-klagomål.docx", "A 54363-2024")</f>
        <v/>
      </c>
      <c r="W703">
        <f>HYPERLINK("https://klasma.github.io/Logging_2404/klagomålsmail/A 54363-2024 FSC-klagomål mail.docx", "A 54363-2024")</f>
        <v/>
      </c>
      <c r="X703">
        <f>HYPERLINK("https://klasma.github.io/Logging_2404/tillsyn/A 54363-2024 tillsynsbegäran.docx", "A 54363-2024")</f>
        <v/>
      </c>
      <c r="Y703">
        <f>HYPERLINK("https://klasma.github.io/Logging_2404/tillsynsmail/A 54363-2024 tillsynsbegäran mail.docx", "A 54363-2024")</f>
        <v/>
      </c>
    </row>
    <row r="704" ht="15" customHeight="1">
      <c r="A704" t="inlineStr">
        <is>
          <t>A 54284-2024</t>
        </is>
      </c>
      <c r="B704" s="1" t="n">
        <v>45616.89516203704</v>
      </c>
      <c r="C704" s="1" t="n">
        <v>45971</v>
      </c>
      <c r="D704" t="inlineStr">
        <is>
          <t>VÄSTERBOTTENS LÄN</t>
        </is>
      </c>
      <c r="E704" t="inlineStr">
        <is>
          <t>DOROTEA</t>
        </is>
      </c>
      <c r="G704" t="n">
        <v>16.1</v>
      </c>
      <c r="H704" t="n">
        <v>0</v>
      </c>
      <c r="I704" t="n">
        <v>2</v>
      </c>
      <c r="J704" t="n">
        <v>0</v>
      </c>
      <c r="K704" t="n">
        <v>0</v>
      </c>
      <c r="L704" t="n">
        <v>0</v>
      </c>
      <c r="M704" t="n">
        <v>0</v>
      </c>
      <c r="N704" t="n">
        <v>0</v>
      </c>
      <c r="O704" t="n">
        <v>0</v>
      </c>
      <c r="P704" t="n">
        <v>0</v>
      </c>
      <c r="Q704" t="n">
        <v>2</v>
      </c>
      <c r="R704" s="2" t="inlineStr">
        <is>
          <t>Bårdlav
Stuplav</t>
        </is>
      </c>
      <c r="S704">
        <f>HYPERLINK("https://klasma.github.io/Logging_2425/artfynd/A 54284-2024 artfynd.xlsx", "A 54284-2024")</f>
        <v/>
      </c>
      <c r="T704">
        <f>HYPERLINK("https://klasma.github.io/Logging_2425/kartor/A 54284-2024 karta.png", "A 54284-2024")</f>
        <v/>
      </c>
      <c r="V704">
        <f>HYPERLINK("https://klasma.github.io/Logging_2425/klagomål/A 54284-2024 FSC-klagomål.docx", "A 54284-2024")</f>
        <v/>
      </c>
      <c r="W704">
        <f>HYPERLINK("https://klasma.github.io/Logging_2425/klagomålsmail/A 54284-2024 FSC-klagomål mail.docx", "A 54284-2024")</f>
        <v/>
      </c>
      <c r="X704">
        <f>HYPERLINK("https://klasma.github.io/Logging_2425/tillsyn/A 54284-2024 tillsynsbegäran.docx", "A 54284-2024")</f>
        <v/>
      </c>
      <c r="Y704">
        <f>HYPERLINK("https://klasma.github.io/Logging_2425/tillsynsmail/A 54284-2024 tillsynsbegäran mail.docx", "A 54284-2024")</f>
        <v/>
      </c>
    </row>
    <row r="705" ht="15" customHeight="1">
      <c r="A705" t="inlineStr">
        <is>
          <t>A 42159-2025</t>
        </is>
      </c>
      <c r="B705" s="1" t="n">
        <v>45904.41127314815</v>
      </c>
      <c r="C705" s="1" t="n">
        <v>45971</v>
      </c>
      <c r="D705" t="inlineStr">
        <is>
          <t>VÄSTERBOTTENS LÄN</t>
        </is>
      </c>
      <c r="E705" t="inlineStr">
        <is>
          <t>LYCKSELE</t>
        </is>
      </c>
      <c r="F705" t="inlineStr">
        <is>
          <t>Sveaskog</t>
        </is>
      </c>
      <c r="G705" t="n">
        <v>5.5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42159-2025 artfynd.xlsx", "A 42159-2025")</f>
        <v/>
      </c>
      <c r="T705">
        <f>HYPERLINK("https://klasma.github.io/Logging_2481/kartor/A 42159-2025 karta.png", "A 42159-2025")</f>
        <v/>
      </c>
      <c r="V705">
        <f>HYPERLINK("https://klasma.github.io/Logging_2481/klagomål/A 42159-2025 FSC-klagomål.docx", "A 42159-2025")</f>
        <v/>
      </c>
      <c r="W705">
        <f>HYPERLINK("https://klasma.github.io/Logging_2481/klagomålsmail/A 42159-2025 FSC-klagomål mail.docx", "A 42159-2025")</f>
        <v/>
      </c>
      <c r="X705">
        <f>HYPERLINK("https://klasma.github.io/Logging_2481/tillsyn/A 42159-2025 tillsynsbegäran.docx", "A 42159-2025")</f>
        <v/>
      </c>
      <c r="Y705">
        <f>HYPERLINK("https://klasma.github.io/Logging_2481/tillsynsmail/A 42159-2025 tillsynsbegäran mail.docx", "A 42159-2025")</f>
        <v/>
      </c>
    </row>
    <row r="706" ht="15" customHeight="1">
      <c r="A706" t="inlineStr">
        <is>
          <t>A 50461-2025</t>
        </is>
      </c>
      <c r="B706" s="1" t="n">
        <v>45945.34506944445</v>
      </c>
      <c r="C706" s="1" t="n">
        <v>45971</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26271-2025</t>
        </is>
      </c>
      <c r="B707" s="1" t="n">
        <v>45805.59424768519</v>
      </c>
      <c r="C707" s="1" t="n">
        <v>45971</v>
      </c>
      <c r="D707" t="inlineStr">
        <is>
          <t>VÄSTERBOTTENS LÄN</t>
        </is>
      </c>
      <c r="E707" t="inlineStr">
        <is>
          <t>LYCKSELE</t>
        </is>
      </c>
      <c r="F707" t="inlineStr">
        <is>
          <t>Sveaskog</t>
        </is>
      </c>
      <c r="G707" t="n">
        <v>1.7</v>
      </c>
      <c r="H707" t="n">
        <v>0</v>
      </c>
      <c r="I707" t="n">
        <v>0</v>
      </c>
      <c r="J707" t="n">
        <v>2</v>
      </c>
      <c r="K707" t="n">
        <v>0</v>
      </c>
      <c r="L707" t="n">
        <v>0</v>
      </c>
      <c r="M707" t="n">
        <v>0</v>
      </c>
      <c r="N707" t="n">
        <v>0</v>
      </c>
      <c r="O707" t="n">
        <v>2</v>
      </c>
      <c r="P707" t="n">
        <v>0</v>
      </c>
      <c r="Q707" t="n">
        <v>2</v>
      </c>
      <c r="R707" s="2" t="inlineStr">
        <is>
          <t>Gammelgransskål
Lunglav</t>
        </is>
      </c>
      <c r="S707">
        <f>HYPERLINK("https://klasma.github.io/Logging_2481/artfynd/A 26271-2025 artfynd.xlsx", "A 26271-2025")</f>
        <v/>
      </c>
      <c r="T707">
        <f>HYPERLINK("https://klasma.github.io/Logging_2481/kartor/A 26271-2025 karta.png", "A 26271-2025")</f>
        <v/>
      </c>
      <c r="V707">
        <f>HYPERLINK("https://klasma.github.io/Logging_2481/klagomål/A 26271-2025 FSC-klagomål.docx", "A 26271-2025")</f>
        <v/>
      </c>
      <c r="W707">
        <f>HYPERLINK("https://klasma.github.io/Logging_2481/klagomålsmail/A 26271-2025 FSC-klagomål mail.docx", "A 26271-2025")</f>
        <v/>
      </c>
      <c r="X707">
        <f>HYPERLINK("https://klasma.github.io/Logging_2481/tillsyn/A 26271-2025 tillsynsbegäran.docx", "A 26271-2025")</f>
        <v/>
      </c>
      <c r="Y707">
        <f>HYPERLINK("https://klasma.github.io/Logging_2481/tillsynsmail/A 26271-2025 tillsynsbegäran mail.docx", "A 26271-2025")</f>
        <v/>
      </c>
    </row>
    <row r="708" ht="15" customHeight="1">
      <c r="A708" t="inlineStr">
        <is>
          <t>A 42328-2025</t>
        </is>
      </c>
      <c r="B708" s="1" t="n">
        <v>45904</v>
      </c>
      <c r="C708" s="1" t="n">
        <v>45971</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18922-2023</t>
        </is>
      </c>
      <c r="B709" s="1" t="n">
        <v>45043</v>
      </c>
      <c r="C709" s="1" t="n">
        <v>45971</v>
      </c>
      <c r="D709" t="inlineStr">
        <is>
          <t>VÄSTERBOTTENS LÄN</t>
        </is>
      </c>
      <c r="E709" t="inlineStr">
        <is>
          <t>UMEÅ</t>
        </is>
      </c>
      <c r="G709" t="n">
        <v>9.199999999999999</v>
      </c>
      <c r="H709" t="n">
        <v>0</v>
      </c>
      <c r="I709" t="n">
        <v>0</v>
      </c>
      <c r="J709" t="n">
        <v>2</v>
      </c>
      <c r="K709" t="n">
        <v>0</v>
      </c>
      <c r="L709" t="n">
        <v>0</v>
      </c>
      <c r="M709" t="n">
        <v>0</v>
      </c>
      <c r="N709" t="n">
        <v>0</v>
      </c>
      <c r="O709" t="n">
        <v>2</v>
      </c>
      <c r="P709" t="n">
        <v>0</v>
      </c>
      <c r="Q709" t="n">
        <v>2</v>
      </c>
      <c r="R709" s="2" t="inlineStr">
        <is>
          <t>Granticka
Ullticka</t>
        </is>
      </c>
      <c r="S709">
        <f>HYPERLINK("https://klasma.github.io/Logging_2480/artfynd/A 18922-2023 artfynd.xlsx", "A 18922-2023")</f>
        <v/>
      </c>
      <c r="T709">
        <f>HYPERLINK("https://klasma.github.io/Logging_2480/kartor/A 18922-2023 karta.png", "A 18922-2023")</f>
        <v/>
      </c>
      <c r="V709">
        <f>HYPERLINK("https://klasma.github.io/Logging_2480/klagomål/A 18922-2023 FSC-klagomål.docx", "A 18922-2023")</f>
        <v/>
      </c>
      <c r="W709">
        <f>HYPERLINK("https://klasma.github.io/Logging_2480/klagomålsmail/A 18922-2023 FSC-klagomål mail.docx", "A 18922-2023")</f>
        <v/>
      </c>
      <c r="X709">
        <f>HYPERLINK("https://klasma.github.io/Logging_2480/tillsyn/A 18922-2023 tillsynsbegäran.docx", "A 18922-2023")</f>
        <v/>
      </c>
      <c r="Y709">
        <f>HYPERLINK("https://klasma.github.io/Logging_2480/tillsynsmail/A 18922-2023 tillsynsbegäran mail.docx", "A 18922-2023")</f>
        <v/>
      </c>
    </row>
    <row r="710" ht="15" customHeight="1">
      <c r="A710" t="inlineStr">
        <is>
          <t>A 51285-2025</t>
        </is>
      </c>
      <c r="B710" s="1" t="n">
        <v>45950.34473379629</v>
      </c>
      <c r="C710" s="1" t="n">
        <v>45971</v>
      </c>
      <c r="D710" t="inlineStr">
        <is>
          <t>VÄSTERBOTTENS LÄN</t>
        </is>
      </c>
      <c r="E710" t="inlineStr">
        <is>
          <t>SKELLEFTEÅ</t>
        </is>
      </c>
      <c r="F710" t="inlineStr">
        <is>
          <t>SCA</t>
        </is>
      </c>
      <c r="G710" t="n">
        <v>2.4</v>
      </c>
      <c r="H710" t="n">
        <v>0</v>
      </c>
      <c r="I710" t="n">
        <v>1</v>
      </c>
      <c r="J710" t="n">
        <v>1</v>
      </c>
      <c r="K710" t="n">
        <v>0</v>
      </c>
      <c r="L710" t="n">
        <v>0</v>
      </c>
      <c r="M710" t="n">
        <v>0</v>
      </c>
      <c r="N710" t="n">
        <v>0</v>
      </c>
      <c r="O710" t="n">
        <v>1</v>
      </c>
      <c r="P710" t="n">
        <v>0</v>
      </c>
      <c r="Q710" t="n">
        <v>2</v>
      </c>
      <c r="R710" s="2" t="inlineStr">
        <is>
          <t>Blå taggsvamp
Skarp dropptaggsvamp</t>
        </is>
      </c>
      <c r="S710">
        <f>HYPERLINK("https://klasma.github.io/Logging_2482/artfynd/A 51285-2025 artfynd.xlsx", "A 51285-2025")</f>
        <v/>
      </c>
      <c r="T710">
        <f>HYPERLINK("https://klasma.github.io/Logging_2482/kartor/A 51285-2025 karta.png", "A 51285-2025")</f>
        <v/>
      </c>
      <c r="V710">
        <f>HYPERLINK("https://klasma.github.io/Logging_2482/klagomål/A 51285-2025 FSC-klagomål.docx", "A 51285-2025")</f>
        <v/>
      </c>
      <c r="W710">
        <f>HYPERLINK("https://klasma.github.io/Logging_2482/klagomålsmail/A 51285-2025 FSC-klagomål mail.docx", "A 51285-2025")</f>
        <v/>
      </c>
      <c r="X710">
        <f>HYPERLINK("https://klasma.github.io/Logging_2482/tillsyn/A 51285-2025 tillsynsbegäran.docx", "A 51285-2025")</f>
        <v/>
      </c>
      <c r="Y710">
        <f>HYPERLINK("https://klasma.github.io/Logging_2482/tillsynsmail/A 51285-2025 tillsynsbegäran mail.docx", "A 51285-2025")</f>
        <v/>
      </c>
    </row>
    <row r="711" ht="15" customHeight="1">
      <c r="A711" t="inlineStr">
        <is>
          <t>A 5110-2025</t>
        </is>
      </c>
      <c r="B711" s="1" t="n">
        <v>45691</v>
      </c>
      <c r="C711" s="1" t="n">
        <v>45971</v>
      </c>
      <c r="D711" t="inlineStr">
        <is>
          <t>VÄSTERBOTTENS LÄN</t>
        </is>
      </c>
      <c r="E711" t="inlineStr">
        <is>
          <t>SKELLEFTEÅ</t>
        </is>
      </c>
      <c r="G711" t="n">
        <v>3.5</v>
      </c>
      <c r="H711" t="n">
        <v>0</v>
      </c>
      <c r="I711" t="n">
        <v>0</v>
      </c>
      <c r="J711" t="n">
        <v>2</v>
      </c>
      <c r="K711" t="n">
        <v>0</v>
      </c>
      <c r="L711" t="n">
        <v>0</v>
      </c>
      <c r="M711" t="n">
        <v>0</v>
      </c>
      <c r="N711" t="n">
        <v>0</v>
      </c>
      <c r="O711" t="n">
        <v>2</v>
      </c>
      <c r="P711" t="n">
        <v>0</v>
      </c>
      <c r="Q711" t="n">
        <v>2</v>
      </c>
      <c r="R711" s="2" t="inlineStr">
        <is>
          <t>Gammelgransskål
Harticka</t>
        </is>
      </c>
      <c r="S711">
        <f>HYPERLINK("https://klasma.github.io/Logging_2482/artfynd/A 5110-2025 artfynd.xlsx", "A 5110-2025")</f>
        <v/>
      </c>
      <c r="T711">
        <f>HYPERLINK("https://klasma.github.io/Logging_2482/kartor/A 5110-2025 karta.png", "A 5110-2025")</f>
        <v/>
      </c>
      <c r="V711">
        <f>HYPERLINK("https://klasma.github.io/Logging_2482/klagomål/A 5110-2025 FSC-klagomål.docx", "A 5110-2025")</f>
        <v/>
      </c>
      <c r="W711">
        <f>HYPERLINK("https://klasma.github.io/Logging_2482/klagomålsmail/A 5110-2025 FSC-klagomål mail.docx", "A 5110-2025")</f>
        <v/>
      </c>
      <c r="X711">
        <f>HYPERLINK("https://klasma.github.io/Logging_2482/tillsyn/A 5110-2025 tillsynsbegäran.docx", "A 5110-2025")</f>
        <v/>
      </c>
      <c r="Y711">
        <f>HYPERLINK("https://klasma.github.io/Logging_2482/tillsynsmail/A 5110-2025 tillsynsbegäran mail.docx", "A 5110-2025")</f>
        <v/>
      </c>
    </row>
    <row r="712" ht="15" customHeight="1">
      <c r="A712" t="inlineStr">
        <is>
          <t>A 49250-2024</t>
        </is>
      </c>
      <c r="B712" s="1" t="n">
        <v>45595</v>
      </c>
      <c r="C712" s="1" t="n">
        <v>45971</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51951-2025</t>
        </is>
      </c>
      <c r="B713" s="1" t="n">
        <v>45952.53230324074</v>
      </c>
      <c r="C713" s="1" t="n">
        <v>45971</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45971</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26962-2025</t>
        </is>
      </c>
      <c r="B715" s="1" t="n">
        <v>45811.46348379629</v>
      </c>
      <c r="C715" s="1" t="n">
        <v>45971</v>
      </c>
      <c r="D715" t="inlineStr">
        <is>
          <t>VÄSTERBOTTENS LÄN</t>
        </is>
      </c>
      <c r="E715" t="inlineStr">
        <is>
          <t>SKELLEFTEÅ</t>
        </is>
      </c>
      <c r="G715" t="n">
        <v>2.4</v>
      </c>
      <c r="H715" t="n">
        <v>1</v>
      </c>
      <c r="I715" t="n">
        <v>0</v>
      </c>
      <c r="J715" t="n">
        <v>2</v>
      </c>
      <c r="K715" t="n">
        <v>0</v>
      </c>
      <c r="L715" t="n">
        <v>0</v>
      </c>
      <c r="M715" t="n">
        <v>0</v>
      </c>
      <c r="N715" t="n">
        <v>0</v>
      </c>
      <c r="O715" t="n">
        <v>2</v>
      </c>
      <c r="P715" t="n">
        <v>0</v>
      </c>
      <c r="Q715" t="n">
        <v>2</v>
      </c>
      <c r="R715" s="2" t="inlineStr">
        <is>
          <t>Garnlav
Talltita</t>
        </is>
      </c>
      <c r="S715">
        <f>HYPERLINK("https://klasma.github.io/Logging_2482/artfynd/A 26962-2025 artfynd.xlsx", "A 26962-2025")</f>
        <v/>
      </c>
      <c r="T715">
        <f>HYPERLINK("https://klasma.github.io/Logging_2482/kartor/A 26962-2025 karta.png", "A 26962-2025")</f>
        <v/>
      </c>
      <c r="V715">
        <f>HYPERLINK("https://klasma.github.io/Logging_2482/klagomål/A 26962-2025 FSC-klagomål.docx", "A 26962-2025")</f>
        <v/>
      </c>
      <c r="W715">
        <f>HYPERLINK("https://klasma.github.io/Logging_2482/klagomålsmail/A 26962-2025 FSC-klagomål mail.docx", "A 26962-2025")</f>
        <v/>
      </c>
      <c r="X715">
        <f>HYPERLINK("https://klasma.github.io/Logging_2482/tillsyn/A 26962-2025 tillsynsbegäran.docx", "A 26962-2025")</f>
        <v/>
      </c>
      <c r="Y715">
        <f>HYPERLINK("https://klasma.github.io/Logging_2482/tillsynsmail/A 26962-2025 tillsynsbegäran mail.docx", "A 26962-2025")</f>
        <v/>
      </c>
      <c r="Z715">
        <f>HYPERLINK("https://klasma.github.io/Logging_2482/fåglar/A 26962-2025 prioriterade fågelarter.docx", "A 26962-2025")</f>
        <v/>
      </c>
    </row>
    <row r="716" ht="15" customHeight="1">
      <c r="A716" t="inlineStr">
        <is>
          <t>A 44930-2025</t>
        </is>
      </c>
      <c r="B716" s="1" t="n">
        <v>45918</v>
      </c>
      <c r="C716" s="1" t="n">
        <v>45971</v>
      </c>
      <c r="D716" t="inlineStr">
        <is>
          <t>VÄSTERBOTTENS LÄN</t>
        </is>
      </c>
      <c r="E716" t="inlineStr">
        <is>
          <t>STORUMAN</t>
        </is>
      </c>
      <c r="F716" t="inlineStr">
        <is>
          <t>Övriga statliga verk och myndigheter</t>
        </is>
      </c>
      <c r="G716" t="n">
        <v>8.9</v>
      </c>
      <c r="H716" t="n">
        <v>0</v>
      </c>
      <c r="I716" t="n">
        <v>0</v>
      </c>
      <c r="J716" t="n">
        <v>1</v>
      </c>
      <c r="K716" t="n">
        <v>1</v>
      </c>
      <c r="L716" t="n">
        <v>0</v>
      </c>
      <c r="M716" t="n">
        <v>0</v>
      </c>
      <c r="N716" t="n">
        <v>0</v>
      </c>
      <c r="O716" t="n">
        <v>2</v>
      </c>
      <c r="P716" t="n">
        <v>1</v>
      </c>
      <c r="Q716" t="n">
        <v>2</v>
      </c>
      <c r="R716" s="2" t="inlineStr">
        <is>
          <t>Rynkskinn
Leptoporus mollis</t>
        </is>
      </c>
      <c r="S716">
        <f>HYPERLINK("https://klasma.github.io/Logging_2421/artfynd/A 44930-2025 artfynd.xlsx", "A 44930-2025")</f>
        <v/>
      </c>
      <c r="T716">
        <f>HYPERLINK("https://klasma.github.io/Logging_2421/kartor/A 44930-2025 karta.png", "A 44930-2025")</f>
        <v/>
      </c>
      <c r="V716">
        <f>HYPERLINK("https://klasma.github.io/Logging_2421/klagomål/A 44930-2025 FSC-klagomål.docx", "A 44930-2025")</f>
        <v/>
      </c>
      <c r="W716">
        <f>HYPERLINK("https://klasma.github.io/Logging_2421/klagomålsmail/A 44930-2025 FSC-klagomål mail.docx", "A 44930-2025")</f>
        <v/>
      </c>
      <c r="X716">
        <f>HYPERLINK("https://klasma.github.io/Logging_2421/tillsyn/A 44930-2025 tillsynsbegäran.docx", "A 44930-2025")</f>
        <v/>
      </c>
      <c r="Y716">
        <f>HYPERLINK("https://klasma.github.io/Logging_2421/tillsynsmail/A 44930-2025 tillsynsbegäran mail.docx", "A 44930-2025")</f>
        <v/>
      </c>
    </row>
    <row r="717" ht="15" customHeight="1">
      <c r="A717" t="inlineStr">
        <is>
          <t>A 27665-2025</t>
        </is>
      </c>
      <c r="B717" s="1" t="n">
        <v>45813.61879629629</v>
      </c>
      <c r="C717" s="1" t="n">
        <v>45971</v>
      </c>
      <c r="D717" t="inlineStr">
        <is>
          <t>VÄSTERBOTTENS LÄN</t>
        </is>
      </c>
      <c r="E717" t="inlineStr">
        <is>
          <t>VINDELN</t>
        </is>
      </c>
      <c r="F717" t="inlineStr">
        <is>
          <t>Holmen skog AB</t>
        </is>
      </c>
      <c r="G717" t="n">
        <v>5.7</v>
      </c>
      <c r="H717" t="n">
        <v>0</v>
      </c>
      <c r="I717" t="n">
        <v>2</v>
      </c>
      <c r="J717" t="n">
        <v>0</v>
      </c>
      <c r="K717" t="n">
        <v>0</v>
      </c>
      <c r="L717" t="n">
        <v>0</v>
      </c>
      <c r="M717" t="n">
        <v>0</v>
      </c>
      <c r="N717" t="n">
        <v>0</v>
      </c>
      <c r="O717" t="n">
        <v>0</v>
      </c>
      <c r="P717" t="n">
        <v>0</v>
      </c>
      <c r="Q717" t="n">
        <v>2</v>
      </c>
      <c r="R717" s="2" t="inlineStr">
        <is>
          <t>Mindre märgborre
Skarp dropptaggsvamp</t>
        </is>
      </c>
      <c r="S717">
        <f>HYPERLINK("https://klasma.github.io/Logging_2404/artfynd/A 27665-2025 artfynd.xlsx", "A 27665-2025")</f>
        <v/>
      </c>
      <c r="T717">
        <f>HYPERLINK("https://klasma.github.io/Logging_2404/kartor/A 27665-2025 karta.png", "A 27665-2025")</f>
        <v/>
      </c>
      <c r="V717">
        <f>HYPERLINK("https://klasma.github.io/Logging_2404/klagomål/A 27665-2025 FSC-klagomål.docx", "A 27665-2025")</f>
        <v/>
      </c>
      <c r="W717">
        <f>HYPERLINK("https://klasma.github.io/Logging_2404/klagomålsmail/A 27665-2025 FSC-klagomål mail.docx", "A 27665-2025")</f>
        <v/>
      </c>
      <c r="X717">
        <f>HYPERLINK("https://klasma.github.io/Logging_2404/tillsyn/A 27665-2025 tillsynsbegäran.docx", "A 27665-2025")</f>
        <v/>
      </c>
      <c r="Y717">
        <f>HYPERLINK("https://klasma.github.io/Logging_2404/tillsynsmail/A 27665-2025 tillsynsbegäran mail.docx", "A 27665-2025")</f>
        <v/>
      </c>
    </row>
    <row r="718" ht="15" customHeight="1">
      <c r="A718" t="inlineStr">
        <is>
          <t>A 43664-2025</t>
        </is>
      </c>
      <c r="B718" s="1" t="n">
        <v>45912</v>
      </c>
      <c r="C718" s="1" t="n">
        <v>45971</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69626-2020</t>
        </is>
      </c>
      <c r="B719" s="1" t="n">
        <v>44195</v>
      </c>
      <c r="C719" s="1" t="n">
        <v>45971</v>
      </c>
      <c r="D719" t="inlineStr">
        <is>
          <t>VÄSTERBOTTENS LÄN</t>
        </is>
      </c>
      <c r="E719" t="inlineStr">
        <is>
          <t>VILHELMINA</t>
        </is>
      </c>
      <c r="G719" t="n">
        <v>10.2</v>
      </c>
      <c r="H719" t="n">
        <v>2</v>
      </c>
      <c r="I719" t="n">
        <v>0</v>
      </c>
      <c r="J719" t="n">
        <v>2</v>
      </c>
      <c r="K719" t="n">
        <v>0</v>
      </c>
      <c r="L719" t="n">
        <v>0</v>
      </c>
      <c r="M719" t="n">
        <v>0</v>
      </c>
      <c r="N719" t="n">
        <v>0</v>
      </c>
      <c r="O719" t="n">
        <v>2</v>
      </c>
      <c r="P719" t="n">
        <v>0</v>
      </c>
      <c r="Q719" t="n">
        <v>2</v>
      </c>
      <c r="R719" s="2" t="inlineStr">
        <is>
          <t>Duvhök
Tretåig hackspett</t>
        </is>
      </c>
      <c r="S719">
        <f>HYPERLINK("https://klasma.github.io/Logging_2462/artfynd/A 69626-2020 artfynd.xlsx", "A 69626-2020")</f>
        <v/>
      </c>
      <c r="T719">
        <f>HYPERLINK("https://klasma.github.io/Logging_2462/kartor/A 69626-2020 karta.png", "A 69626-2020")</f>
        <v/>
      </c>
      <c r="V719">
        <f>HYPERLINK("https://klasma.github.io/Logging_2462/klagomål/A 69626-2020 FSC-klagomål.docx", "A 69626-2020")</f>
        <v/>
      </c>
      <c r="W719">
        <f>HYPERLINK("https://klasma.github.io/Logging_2462/klagomålsmail/A 69626-2020 FSC-klagomål mail.docx", "A 69626-2020")</f>
        <v/>
      </c>
      <c r="X719">
        <f>HYPERLINK("https://klasma.github.io/Logging_2462/tillsyn/A 69626-2020 tillsynsbegäran.docx", "A 69626-2020")</f>
        <v/>
      </c>
      <c r="Y719">
        <f>HYPERLINK("https://klasma.github.io/Logging_2462/tillsynsmail/A 69626-2020 tillsynsbegäran mail.docx", "A 69626-2020")</f>
        <v/>
      </c>
      <c r="Z719">
        <f>HYPERLINK("https://klasma.github.io/Logging_2462/fåglar/A 69626-2020 prioriterade fågelarter.docx", "A 69626-2020")</f>
        <v/>
      </c>
    </row>
    <row r="720" ht="15" customHeight="1">
      <c r="A720" t="inlineStr">
        <is>
          <t>A 28061-2025</t>
        </is>
      </c>
      <c r="B720" s="1" t="n">
        <v>45817.66739583333</v>
      </c>
      <c r="C720" s="1" t="n">
        <v>45971</v>
      </c>
      <c r="D720" t="inlineStr">
        <is>
          <t>VÄSTERBOTTENS LÄN</t>
        </is>
      </c>
      <c r="E720" t="inlineStr">
        <is>
          <t>SKELLEFTEÅ</t>
        </is>
      </c>
      <c r="G720" t="n">
        <v>3.3</v>
      </c>
      <c r="H720" t="n">
        <v>1</v>
      </c>
      <c r="I720" t="n">
        <v>0</v>
      </c>
      <c r="J720" t="n">
        <v>2</v>
      </c>
      <c r="K720" t="n">
        <v>0</v>
      </c>
      <c r="L720" t="n">
        <v>0</v>
      </c>
      <c r="M720" t="n">
        <v>0</v>
      </c>
      <c r="N720" t="n">
        <v>0</v>
      </c>
      <c r="O720" t="n">
        <v>2</v>
      </c>
      <c r="P720" t="n">
        <v>0</v>
      </c>
      <c r="Q720" t="n">
        <v>2</v>
      </c>
      <c r="R720" s="2" t="inlineStr">
        <is>
          <t>Garnlav
Spillkråka</t>
        </is>
      </c>
      <c r="S720">
        <f>HYPERLINK("https://klasma.github.io/Logging_2482/artfynd/A 28061-2025 artfynd.xlsx", "A 28061-2025")</f>
        <v/>
      </c>
      <c r="T720">
        <f>HYPERLINK("https://klasma.github.io/Logging_2482/kartor/A 28061-2025 karta.png", "A 28061-2025")</f>
        <v/>
      </c>
      <c r="V720">
        <f>HYPERLINK("https://klasma.github.io/Logging_2482/klagomål/A 28061-2025 FSC-klagomål.docx", "A 28061-2025")</f>
        <v/>
      </c>
      <c r="W720">
        <f>HYPERLINK("https://klasma.github.io/Logging_2482/klagomålsmail/A 28061-2025 FSC-klagomål mail.docx", "A 28061-2025")</f>
        <v/>
      </c>
      <c r="X720">
        <f>HYPERLINK("https://klasma.github.io/Logging_2482/tillsyn/A 28061-2025 tillsynsbegäran.docx", "A 28061-2025")</f>
        <v/>
      </c>
      <c r="Y720">
        <f>HYPERLINK("https://klasma.github.io/Logging_2482/tillsynsmail/A 28061-2025 tillsynsbegäran mail.docx", "A 28061-2025")</f>
        <v/>
      </c>
      <c r="Z720">
        <f>HYPERLINK("https://klasma.github.io/Logging_2482/fåglar/A 28061-2025 prioriterade fågelarter.docx", "A 28061-2025")</f>
        <v/>
      </c>
    </row>
    <row r="721" ht="15" customHeight="1">
      <c r="A721" t="inlineStr">
        <is>
          <t>A 29323-2025</t>
        </is>
      </c>
      <c r="B721" s="1" t="n">
        <v>45824.47902777778</v>
      </c>
      <c r="C721" s="1" t="n">
        <v>45971</v>
      </c>
      <c r="D721" t="inlineStr">
        <is>
          <t>VÄSTERBOTTENS LÄN</t>
        </is>
      </c>
      <c r="E721" t="inlineStr">
        <is>
          <t>NORDMALING</t>
        </is>
      </c>
      <c r="G721" t="n">
        <v>2.9</v>
      </c>
      <c r="H721" t="n">
        <v>0</v>
      </c>
      <c r="I721" t="n">
        <v>0</v>
      </c>
      <c r="J721" t="n">
        <v>2</v>
      </c>
      <c r="K721" t="n">
        <v>0</v>
      </c>
      <c r="L721" t="n">
        <v>0</v>
      </c>
      <c r="M721" t="n">
        <v>0</v>
      </c>
      <c r="N721" t="n">
        <v>0</v>
      </c>
      <c r="O721" t="n">
        <v>2</v>
      </c>
      <c r="P721" t="n">
        <v>0</v>
      </c>
      <c r="Q721" t="n">
        <v>2</v>
      </c>
      <c r="R721" s="2" t="inlineStr">
        <is>
          <t>Garnlav
Granticka</t>
        </is>
      </c>
      <c r="S721">
        <f>HYPERLINK("https://klasma.github.io/Logging_2401/artfynd/A 29323-2025 artfynd.xlsx", "A 29323-2025")</f>
        <v/>
      </c>
      <c r="T721">
        <f>HYPERLINK("https://klasma.github.io/Logging_2401/kartor/A 29323-2025 karta.png", "A 29323-2025")</f>
        <v/>
      </c>
      <c r="V721">
        <f>HYPERLINK("https://klasma.github.io/Logging_2401/klagomål/A 29323-2025 FSC-klagomål.docx", "A 29323-2025")</f>
        <v/>
      </c>
      <c r="W721">
        <f>HYPERLINK("https://klasma.github.io/Logging_2401/klagomålsmail/A 29323-2025 FSC-klagomål mail.docx", "A 29323-2025")</f>
        <v/>
      </c>
      <c r="X721">
        <f>HYPERLINK("https://klasma.github.io/Logging_2401/tillsyn/A 29323-2025 tillsynsbegäran.docx", "A 29323-2025")</f>
        <v/>
      </c>
      <c r="Y721">
        <f>HYPERLINK("https://klasma.github.io/Logging_2401/tillsynsmail/A 29323-2025 tillsynsbegäran mail.docx", "A 29323-2025")</f>
        <v/>
      </c>
    </row>
    <row r="722" ht="15" customHeight="1">
      <c r="A722" t="inlineStr">
        <is>
          <t>A 29140-2025</t>
        </is>
      </c>
      <c r="B722" s="1" t="n">
        <v>45821</v>
      </c>
      <c r="C722" s="1" t="n">
        <v>45971</v>
      </c>
      <c r="D722" t="inlineStr">
        <is>
          <t>VÄSTERBOTTENS LÄN</t>
        </is>
      </c>
      <c r="E722" t="inlineStr">
        <is>
          <t>VILHELMINA</t>
        </is>
      </c>
      <c r="F722" t="inlineStr">
        <is>
          <t>SCA</t>
        </is>
      </c>
      <c r="G722" t="n">
        <v>9.699999999999999</v>
      </c>
      <c r="H722" t="n">
        <v>1</v>
      </c>
      <c r="I722" t="n">
        <v>1</v>
      </c>
      <c r="J722" t="n">
        <v>1</v>
      </c>
      <c r="K722" t="n">
        <v>0</v>
      </c>
      <c r="L722" t="n">
        <v>0</v>
      </c>
      <c r="M722" t="n">
        <v>0</v>
      </c>
      <c r="N722" t="n">
        <v>0</v>
      </c>
      <c r="O722" t="n">
        <v>1</v>
      </c>
      <c r="P722" t="n">
        <v>0</v>
      </c>
      <c r="Q722" t="n">
        <v>2</v>
      </c>
      <c r="R722" s="2" t="inlineStr">
        <is>
          <t>Ullticka
Lappranunkel</t>
        </is>
      </c>
      <c r="S722">
        <f>HYPERLINK("https://klasma.github.io/Logging_2462/artfynd/A 29140-2025 artfynd.xlsx", "A 29140-2025")</f>
        <v/>
      </c>
      <c r="T722">
        <f>HYPERLINK("https://klasma.github.io/Logging_2462/kartor/A 29140-2025 karta.png", "A 29140-2025")</f>
        <v/>
      </c>
      <c r="V722">
        <f>HYPERLINK("https://klasma.github.io/Logging_2462/klagomål/A 29140-2025 FSC-klagomål.docx", "A 29140-2025")</f>
        <v/>
      </c>
      <c r="W722">
        <f>HYPERLINK("https://klasma.github.io/Logging_2462/klagomålsmail/A 29140-2025 FSC-klagomål mail.docx", "A 29140-2025")</f>
        <v/>
      </c>
      <c r="X722">
        <f>HYPERLINK("https://klasma.github.io/Logging_2462/tillsyn/A 29140-2025 tillsynsbegäran.docx", "A 29140-2025")</f>
        <v/>
      </c>
      <c r="Y722">
        <f>HYPERLINK("https://klasma.github.io/Logging_2462/tillsynsmail/A 29140-2025 tillsynsbegäran mail.docx", "A 29140-2025")</f>
        <v/>
      </c>
    </row>
    <row r="723" ht="15" customHeight="1">
      <c r="A723" t="inlineStr">
        <is>
          <t>A 34050-2024</t>
        </is>
      </c>
      <c r="B723" s="1" t="n">
        <v>45523.60684027777</v>
      </c>
      <c r="C723" s="1" t="n">
        <v>45971</v>
      </c>
      <c r="D723" t="inlineStr">
        <is>
          <t>VÄSTERBOTTENS LÄN</t>
        </is>
      </c>
      <c r="E723" t="inlineStr">
        <is>
          <t>UMEÅ</t>
        </is>
      </c>
      <c r="F723" t="inlineStr">
        <is>
          <t>Holmen skog AB</t>
        </is>
      </c>
      <c r="G723" t="n">
        <v>9.699999999999999</v>
      </c>
      <c r="H723" t="n">
        <v>0</v>
      </c>
      <c r="I723" t="n">
        <v>1</v>
      </c>
      <c r="J723" t="n">
        <v>1</v>
      </c>
      <c r="K723" t="n">
        <v>0</v>
      </c>
      <c r="L723" t="n">
        <v>0</v>
      </c>
      <c r="M723" t="n">
        <v>0</v>
      </c>
      <c r="N723" t="n">
        <v>0</v>
      </c>
      <c r="O723" t="n">
        <v>1</v>
      </c>
      <c r="P723" t="n">
        <v>0</v>
      </c>
      <c r="Q723" t="n">
        <v>2</v>
      </c>
      <c r="R723" s="2" t="inlineStr">
        <is>
          <t>Gränsticka
Vedticka</t>
        </is>
      </c>
      <c r="S723">
        <f>HYPERLINK("https://klasma.github.io/Logging_2480/artfynd/A 34050-2024 artfynd.xlsx", "A 34050-2024")</f>
        <v/>
      </c>
      <c r="T723">
        <f>HYPERLINK("https://klasma.github.io/Logging_2480/kartor/A 34050-2024 karta.png", "A 34050-2024")</f>
        <v/>
      </c>
      <c r="V723">
        <f>HYPERLINK("https://klasma.github.io/Logging_2480/klagomål/A 34050-2024 FSC-klagomål.docx", "A 34050-2024")</f>
        <v/>
      </c>
      <c r="W723">
        <f>HYPERLINK("https://klasma.github.io/Logging_2480/klagomålsmail/A 34050-2024 FSC-klagomål mail.docx", "A 34050-2024")</f>
        <v/>
      </c>
      <c r="X723">
        <f>HYPERLINK("https://klasma.github.io/Logging_2480/tillsyn/A 34050-2024 tillsynsbegäran.docx", "A 34050-2024")</f>
        <v/>
      </c>
      <c r="Y723">
        <f>HYPERLINK("https://klasma.github.io/Logging_2480/tillsynsmail/A 34050-2024 tillsynsbegäran mail.docx", "A 34050-2024")</f>
        <v/>
      </c>
    </row>
    <row r="724" ht="15" customHeight="1">
      <c r="A724" t="inlineStr">
        <is>
          <t>A 30691-2025</t>
        </is>
      </c>
      <c r="B724" s="1" t="n">
        <v>45831.54038194445</v>
      </c>
      <c r="C724" s="1" t="n">
        <v>45971</v>
      </c>
      <c r="D724" t="inlineStr">
        <is>
          <t>VÄSTERBOTTENS LÄN</t>
        </is>
      </c>
      <c r="E724" t="inlineStr">
        <is>
          <t>LYCKSELE</t>
        </is>
      </c>
      <c r="F724" t="inlineStr">
        <is>
          <t>Sveaskog</t>
        </is>
      </c>
      <c r="G724" t="n">
        <v>2</v>
      </c>
      <c r="H724" t="n">
        <v>1</v>
      </c>
      <c r="I724" t="n">
        <v>0</v>
      </c>
      <c r="J724" t="n">
        <v>2</v>
      </c>
      <c r="K724" t="n">
        <v>0</v>
      </c>
      <c r="L724" t="n">
        <v>0</v>
      </c>
      <c r="M724" t="n">
        <v>0</v>
      </c>
      <c r="N724" t="n">
        <v>0</v>
      </c>
      <c r="O724" t="n">
        <v>2</v>
      </c>
      <c r="P724" t="n">
        <v>0</v>
      </c>
      <c r="Q724" t="n">
        <v>2</v>
      </c>
      <c r="R724" s="2" t="inlineStr">
        <is>
          <t>Mörk kolflarnlav
Tretåig hackspett</t>
        </is>
      </c>
      <c r="S724">
        <f>HYPERLINK("https://klasma.github.io/Logging_2481/artfynd/A 30691-2025 artfynd.xlsx", "A 30691-2025")</f>
        <v/>
      </c>
      <c r="T724">
        <f>HYPERLINK("https://klasma.github.io/Logging_2481/kartor/A 30691-2025 karta.png", "A 30691-2025")</f>
        <v/>
      </c>
      <c r="V724">
        <f>HYPERLINK("https://klasma.github.io/Logging_2481/klagomål/A 30691-2025 FSC-klagomål.docx", "A 30691-2025")</f>
        <v/>
      </c>
      <c r="W724">
        <f>HYPERLINK("https://klasma.github.io/Logging_2481/klagomålsmail/A 30691-2025 FSC-klagomål mail.docx", "A 30691-2025")</f>
        <v/>
      </c>
      <c r="X724">
        <f>HYPERLINK("https://klasma.github.io/Logging_2481/tillsyn/A 30691-2025 tillsynsbegäran.docx", "A 30691-2025")</f>
        <v/>
      </c>
      <c r="Y724">
        <f>HYPERLINK("https://klasma.github.io/Logging_2481/tillsynsmail/A 30691-2025 tillsynsbegäran mail.docx", "A 30691-2025")</f>
        <v/>
      </c>
      <c r="Z724">
        <f>HYPERLINK("https://klasma.github.io/Logging_2481/fåglar/A 30691-2025 prioriterade fågelarter.docx", "A 30691-2025")</f>
        <v/>
      </c>
    </row>
    <row r="725" ht="15" customHeight="1">
      <c r="A725" t="inlineStr">
        <is>
          <t>A 12321-2021</t>
        </is>
      </c>
      <c r="B725" s="1" t="n">
        <v>44266</v>
      </c>
      <c r="C725" s="1" t="n">
        <v>45971</v>
      </c>
      <c r="D725" t="inlineStr">
        <is>
          <t>VÄSTERBOTTENS LÄN</t>
        </is>
      </c>
      <c r="E725" t="inlineStr">
        <is>
          <t>STORUMAN</t>
        </is>
      </c>
      <c r="G725" t="n">
        <v>8</v>
      </c>
      <c r="H725" t="n">
        <v>0</v>
      </c>
      <c r="I725" t="n">
        <v>1</v>
      </c>
      <c r="J725" t="n">
        <v>1</v>
      </c>
      <c r="K725" t="n">
        <v>0</v>
      </c>
      <c r="L725" t="n">
        <v>0</v>
      </c>
      <c r="M725" t="n">
        <v>0</v>
      </c>
      <c r="N725" t="n">
        <v>0</v>
      </c>
      <c r="O725" t="n">
        <v>1</v>
      </c>
      <c r="P725" t="n">
        <v>0</v>
      </c>
      <c r="Q725" t="n">
        <v>2</v>
      </c>
      <c r="R725" s="2" t="inlineStr">
        <is>
          <t>Gammelgransskål
Svavelriska</t>
        </is>
      </c>
      <c r="S725">
        <f>HYPERLINK("https://klasma.github.io/Logging_2421/artfynd/A 12321-2021 artfynd.xlsx", "A 12321-2021")</f>
        <v/>
      </c>
      <c r="T725">
        <f>HYPERLINK("https://klasma.github.io/Logging_2421/kartor/A 12321-2021 karta.png", "A 12321-2021")</f>
        <v/>
      </c>
      <c r="V725">
        <f>HYPERLINK("https://klasma.github.io/Logging_2421/klagomål/A 12321-2021 FSC-klagomål.docx", "A 12321-2021")</f>
        <v/>
      </c>
      <c r="W725">
        <f>HYPERLINK("https://klasma.github.io/Logging_2421/klagomålsmail/A 12321-2021 FSC-klagomål mail.docx", "A 12321-2021")</f>
        <v/>
      </c>
      <c r="X725">
        <f>HYPERLINK("https://klasma.github.io/Logging_2421/tillsyn/A 12321-2021 tillsynsbegäran.docx", "A 12321-2021")</f>
        <v/>
      </c>
      <c r="Y725">
        <f>HYPERLINK("https://klasma.github.io/Logging_2421/tillsynsmail/A 12321-2021 tillsynsbegäran mail.docx", "A 12321-2021")</f>
        <v/>
      </c>
    </row>
    <row r="726" ht="15" customHeight="1">
      <c r="A726" t="inlineStr">
        <is>
          <t>A 30515-2025</t>
        </is>
      </c>
      <c r="B726" s="1" t="n">
        <v>45831.33053240741</v>
      </c>
      <c r="C726" s="1" t="n">
        <v>45971</v>
      </c>
      <c r="D726" t="inlineStr">
        <is>
          <t>VÄSTERBOTTENS LÄN</t>
        </is>
      </c>
      <c r="E726" t="inlineStr">
        <is>
          <t>LYCKSELE</t>
        </is>
      </c>
      <c r="F726" t="inlineStr">
        <is>
          <t>Sveaskog</t>
        </is>
      </c>
      <c r="G726" t="n">
        <v>8.1</v>
      </c>
      <c r="H726" t="n">
        <v>0</v>
      </c>
      <c r="I726" t="n">
        <v>0</v>
      </c>
      <c r="J726" t="n">
        <v>2</v>
      </c>
      <c r="K726" t="n">
        <v>0</v>
      </c>
      <c r="L726" t="n">
        <v>0</v>
      </c>
      <c r="M726" t="n">
        <v>0</v>
      </c>
      <c r="N726" t="n">
        <v>0</v>
      </c>
      <c r="O726" t="n">
        <v>2</v>
      </c>
      <c r="P726" t="n">
        <v>0</v>
      </c>
      <c r="Q726" t="n">
        <v>2</v>
      </c>
      <c r="R726" s="2" t="inlineStr">
        <is>
          <t>Granticka
Ullticka</t>
        </is>
      </c>
      <c r="S726">
        <f>HYPERLINK("https://klasma.github.io/Logging_2481/artfynd/A 30515-2025 artfynd.xlsx", "A 30515-2025")</f>
        <v/>
      </c>
      <c r="T726">
        <f>HYPERLINK("https://klasma.github.io/Logging_2481/kartor/A 30515-2025 karta.png", "A 30515-2025")</f>
        <v/>
      </c>
      <c r="V726">
        <f>HYPERLINK("https://klasma.github.io/Logging_2481/klagomål/A 30515-2025 FSC-klagomål.docx", "A 30515-2025")</f>
        <v/>
      </c>
      <c r="W726">
        <f>HYPERLINK("https://klasma.github.io/Logging_2481/klagomålsmail/A 30515-2025 FSC-klagomål mail.docx", "A 30515-2025")</f>
        <v/>
      </c>
      <c r="X726">
        <f>HYPERLINK("https://klasma.github.io/Logging_2481/tillsyn/A 30515-2025 tillsynsbegäran.docx", "A 30515-2025")</f>
        <v/>
      </c>
      <c r="Y726">
        <f>HYPERLINK("https://klasma.github.io/Logging_2481/tillsynsmail/A 30515-2025 tillsynsbegäran mail.docx", "A 30515-2025")</f>
        <v/>
      </c>
    </row>
    <row r="727" ht="15" customHeight="1">
      <c r="A727" t="inlineStr">
        <is>
          <t>A 31735-2025</t>
        </is>
      </c>
      <c r="B727" s="1" t="n">
        <v>45834.47067129629</v>
      </c>
      <c r="C727" s="1" t="n">
        <v>45971</v>
      </c>
      <c r="D727" t="inlineStr">
        <is>
          <t>VÄSTERBOTTENS LÄN</t>
        </is>
      </c>
      <c r="E727" t="inlineStr">
        <is>
          <t>VILHELMINA</t>
        </is>
      </c>
      <c r="F727" t="inlineStr">
        <is>
          <t>SCA</t>
        </is>
      </c>
      <c r="G727" t="n">
        <v>7.4</v>
      </c>
      <c r="H727" t="n">
        <v>0</v>
      </c>
      <c r="I727" t="n">
        <v>1</v>
      </c>
      <c r="J727" t="n">
        <v>1</v>
      </c>
      <c r="K727" t="n">
        <v>0</v>
      </c>
      <c r="L727" t="n">
        <v>0</v>
      </c>
      <c r="M727" t="n">
        <v>0</v>
      </c>
      <c r="N727" t="n">
        <v>0</v>
      </c>
      <c r="O727" t="n">
        <v>1</v>
      </c>
      <c r="P727" t="n">
        <v>0</v>
      </c>
      <c r="Q727" t="n">
        <v>2</v>
      </c>
      <c r="R727" s="2" t="inlineStr">
        <is>
          <t>Skrovellav
Stuplav</t>
        </is>
      </c>
      <c r="S727">
        <f>HYPERLINK("https://klasma.github.io/Logging_2462/artfynd/A 31735-2025 artfynd.xlsx", "A 31735-2025")</f>
        <v/>
      </c>
      <c r="T727">
        <f>HYPERLINK("https://klasma.github.io/Logging_2462/kartor/A 31735-2025 karta.png", "A 31735-2025")</f>
        <v/>
      </c>
      <c r="V727">
        <f>HYPERLINK("https://klasma.github.io/Logging_2462/klagomål/A 31735-2025 FSC-klagomål.docx", "A 31735-2025")</f>
        <v/>
      </c>
      <c r="W727">
        <f>HYPERLINK("https://klasma.github.io/Logging_2462/klagomålsmail/A 31735-2025 FSC-klagomål mail.docx", "A 31735-2025")</f>
        <v/>
      </c>
      <c r="X727">
        <f>HYPERLINK("https://klasma.github.io/Logging_2462/tillsyn/A 31735-2025 tillsynsbegäran.docx", "A 31735-2025")</f>
        <v/>
      </c>
      <c r="Y727">
        <f>HYPERLINK("https://klasma.github.io/Logging_2462/tillsynsmail/A 31735-2025 tillsynsbegäran mail.docx", "A 31735-2025")</f>
        <v/>
      </c>
    </row>
    <row r="728" ht="15" customHeight="1">
      <c r="A728" t="inlineStr">
        <is>
          <t>A 44084-2025</t>
        </is>
      </c>
      <c r="B728" s="1" t="n">
        <v>45915.55431712963</v>
      </c>
      <c r="C728" s="1" t="n">
        <v>45971</v>
      </c>
      <c r="D728" t="inlineStr">
        <is>
          <t>VÄSTERBOTTENS LÄN</t>
        </is>
      </c>
      <c r="E728" t="inlineStr">
        <is>
          <t>ROBERTSFORS</t>
        </is>
      </c>
      <c r="G728" t="n">
        <v>4.4</v>
      </c>
      <c r="H728" t="n">
        <v>1</v>
      </c>
      <c r="I728" t="n">
        <v>1</v>
      </c>
      <c r="J728" t="n">
        <v>1</v>
      </c>
      <c r="K728" t="n">
        <v>0</v>
      </c>
      <c r="L728" t="n">
        <v>0</v>
      </c>
      <c r="M728" t="n">
        <v>0</v>
      </c>
      <c r="N728" t="n">
        <v>0</v>
      </c>
      <c r="O728" t="n">
        <v>1</v>
      </c>
      <c r="P728" t="n">
        <v>0</v>
      </c>
      <c r="Q728" t="n">
        <v>2</v>
      </c>
      <c r="R728" s="2" t="inlineStr">
        <is>
          <t>Spillkråka
Vedticka</t>
        </is>
      </c>
      <c r="S728">
        <f>HYPERLINK("https://klasma.github.io/Logging_2409/artfynd/A 44084-2025 artfynd.xlsx", "A 44084-2025")</f>
        <v/>
      </c>
      <c r="T728">
        <f>HYPERLINK("https://klasma.github.io/Logging_2409/kartor/A 44084-2025 karta.png", "A 44084-2025")</f>
        <v/>
      </c>
      <c r="V728">
        <f>HYPERLINK("https://klasma.github.io/Logging_2409/klagomål/A 44084-2025 FSC-klagomål.docx", "A 44084-2025")</f>
        <v/>
      </c>
      <c r="W728">
        <f>HYPERLINK("https://klasma.github.io/Logging_2409/klagomålsmail/A 44084-2025 FSC-klagomål mail.docx", "A 44084-2025")</f>
        <v/>
      </c>
      <c r="X728">
        <f>HYPERLINK("https://klasma.github.io/Logging_2409/tillsyn/A 44084-2025 tillsynsbegäran.docx", "A 44084-2025")</f>
        <v/>
      </c>
      <c r="Y728">
        <f>HYPERLINK("https://klasma.github.io/Logging_2409/tillsynsmail/A 44084-2025 tillsynsbegäran mail.docx", "A 44084-2025")</f>
        <v/>
      </c>
      <c r="Z728">
        <f>HYPERLINK("https://klasma.github.io/Logging_2409/fåglar/A 44084-2025 prioriterade fågelarter.docx", "A 44084-2025")</f>
        <v/>
      </c>
    </row>
    <row r="729" ht="15" customHeight="1">
      <c r="A729" t="inlineStr">
        <is>
          <t>A 53650-2025</t>
        </is>
      </c>
      <c r="B729" s="1" t="n">
        <v>45960.5271875</v>
      </c>
      <c r="C729" s="1" t="n">
        <v>45971</v>
      </c>
      <c r="D729" t="inlineStr">
        <is>
          <t>VÄSTERBOTTENS LÄN</t>
        </is>
      </c>
      <c r="E729" t="inlineStr">
        <is>
          <t>LYCKSELE</t>
        </is>
      </c>
      <c r="F729" t="inlineStr">
        <is>
          <t>Sveaskog</t>
        </is>
      </c>
      <c r="G729" t="n">
        <v>19.1</v>
      </c>
      <c r="H729" t="n">
        <v>1</v>
      </c>
      <c r="I729" t="n">
        <v>1</v>
      </c>
      <c r="J729" t="n">
        <v>1</v>
      </c>
      <c r="K729" t="n">
        <v>0</v>
      </c>
      <c r="L729" t="n">
        <v>0</v>
      </c>
      <c r="M729" t="n">
        <v>0</v>
      </c>
      <c r="N729" t="n">
        <v>0</v>
      </c>
      <c r="O729" t="n">
        <v>1</v>
      </c>
      <c r="P729" t="n">
        <v>0</v>
      </c>
      <c r="Q729" t="n">
        <v>2</v>
      </c>
      <c r="R729" s="2" t="inlineStr">
        <is>
          <t>Tretåig hackspett
Luddlav</t>
        </is>
      </c>
      <c r="S729">
        <f>HYPERLINK("https://klasma.github.io/Logging_2481/artfynd/A 53650-2025 artfynd.xlsx", "A 53650-2025")</f>
        <v/>
      </c>
      <c r="T729">
        <f>HYPERLINK("https://klasma.github.io/Logging_2481/kartor/A 53650-2025 karta.png", "A 53650-2025")</f>
        <v/>
      </c>
      <c r="V729">
        <f>HYPERLINK("https://klasma.github.io/Logging_2481/klagomål/A 53650-2025 FSC-klagomål.docx", "A 53650-2025")</f>
        <v/>
      </c>
      <c r="W729">
        <f>HYPERLINK("https://klasma.github.io/Logging_2481/klagomålsmail/A 53650-2025 FSC-klagomål mail.docx", "A 53650-2025")</f>
        <v/>
      </c>
      <c r="X729">
        <f>HYPERLINK("https://klasma.github.io/Logging_2481/tillsyn/A 53650-2025 tillsynsbegäran.docx", "A 53650-2025")</f>
        <v/>
      </c>
      <c r="Y729">
        <f>HYPERLINK("https://klasma.github.io/Logging_2481/tillsynsmail/A 53650-2025 tillsynsbegäran mail.docx", "A 53650-2025")</f>
        <v/>
      </c>
      <c r="Z729">
        <f>HYPERLINK("https://klasma.github.io/Logging_2481/fåglar/A 53650-2025 prioriterade fågelarter.docx", "A 53650-2025")</f>
        <v/>
      </c>
    </row>
    <row r="730" ht="15" customHeight="1">
      <c r="A730" t="inlineStr">
        <is>
          <t>A 44874-2025</t>
        </is>
      </c>
      <c r="B730" s="1" t="n">
        <v>45918.47039351852</v>
      </c>
      <c r="C730" s="1" t="n">
        <v>45971</v>
      </c>
      <c r="D730" t="inlineStr">
        <is>
          <t>VÄSTERBOTTENS LÄN</t>
        </is>
      </c>
      <c r="E730" t="inlineStr">
        <is>
          <t>NORSJÖ</t>
        </is>
      </c>
      <c r="F730" t="inlineStr">
        <is>
          <t>Holmen skog AB</t>
        </is>
      </c>
      <c r="G730" t="n">
        <v>7.4</v>
      </c>
      <c r="H730" t="n">
        <v>0</v>
      </c>
      <c r="I730" t="n">
        <v>1</v>
      </c>
      <c r="J730" t="n">
        <v>1</v>
      </c>
      <c r="K730" t="n">
        <v>0</v>
      </c>
      <c r="L730" t="n">
        <v>0</v>
      </c>
      <c r="M730" t="n">
        <v>0</v>
      </c>
      <c r="N730" t="n">
        <v>0</v>
      </c>
      <c r="O730" t="n">
        <v>1</v>
      </c>
      <c r="P730" t="n">
        <v>0</v>
      </c>
      <c r="Q730" t="n">
        <v>2</v>
      </c>
      <c r="R730" s="2" t="inlineStr">
        <is>
          <t>Garnlav
Luddlav</t>
        </is>
      </c>
      <c r="S730">
        <f>HYPERLINK("https://klasma.github.io/Logging_2417/artfynd/A 44874-2025 artfynd.xlsx", "A 44874-2025")</f>
        <v/>
      </c>
      <c r="T730">
        <f>HYPERLINK("https://klasma.github.io/Logging_2417/kartor/A 44874-2025 karta.png", "A 44874-2025")</f>
        <v/>
      </c>
      <c r="V730">
        <f>HYPERLINK("https://klasma.github.io/Logging_2417/klagomål/A 44874-2025 FSC-klagomål.docx", "A 44874-2025")</f>
        <v/>
      </c>
      <c r="W730">
        <f>HYPERLINK("https://klasma.github.io/Logging_2417/klagomålsmail/A 44874-2025 FSC-klagomål mail.docx", "A 44874-2025")</f>
        <v/>
      </c>
      <c r="X730">
        <f>HYPERLINK("https://klasma.github.io/Logging_2417/tillsyn/A 44874-2025 tillsynsbegäran.docx", "A 44874-2025")</f>
        <v/>
      </c>
      <c r="Y730">
        <f>HYPERLINK("https://klasma.github.io/Logging_2417/tillsynsmail/A 44874-2025 tillsynsbegäran mail.docx", "A 44874-2025")</f>
        <v/>
      </c>
    </row>
    <row r="731" ht="15" customHeight="1">
      <c r="A731" t="inlineStr">
        <is>
          <t>A 41645-2024</t>
        </is>
      </c>
      <c r="B731" s="1" t="n">
        <v>45560</v>
      </c>
      <c r="C731" s="1" t="n">
        <v>45971</v>
      </c>
      <c r="D731" t="inlineStr">
        <is>
          <t>VÄSTERBOTTENS LÄN</t>
        </is>
      </c>
      <c r="E731" t="inlineStr">
        <is>
          <t>VILHELMINA</t>
        </is>
      </c>
      <c r="F731" t="inlineStr">
        <is>
          <t>SCA</t>
        </is>
      </c>
      <c r="G731" t="n">
        <v>10.4</v>
      </c>
      <c r="H731" t="n">
        <v>1</v>
      </c>
      <c r="I731" t="n">
        <v>1</v>
      </c>
      <c r="J731" t="n">
        <v>1</v>
      </c>
      <c r="K731" t="n">
        <v>0</v>
      </c>
      <c r="L731" t="n">
        <v>0</v>
      </c>
      <c r="M731" t="n">
        <v>0</v>
      </c>
      <c r="N731" t="n">
        <v>0</v>
      </c>
      <c r="O731" t="n">
        <v>1</v>
      </c>
      <c r="P731" t="n">
        <v>0</v>
      </c>
      <c r="Q731" t="n">
        <v>2</v>
      </c>
      <c r="R731" s="2" t="inlineStr">
        <is>
          <t>Gammelgransskål
Lappranunkel</t>
        </is>
      </c>
      <c r="S731">
        <f>HYPERLINK("https://klasma.github.io/Logging_2462/artfynd/A 41645-2024 artfynd.xlsx", "A 41645-2024")</f>
        <v/>
      </c>
      <c r="T731">
        <f>HYPERLINK("https://klasma.github.io/Logging_2462/kartor/A 41645-2024 karta.png", "A 41645-2024")</f>
        <v/>
      </c>
      <c r="V731">
        <f>HYPERLINK("https://klasma.github.io/Logging_2462/klagomål/A 41645-2024 FSC-klagomål.docx", "A 41645-2024")</f>
        <v/>
      </c>
      <c r="W731">
        <f>HYPERLINK("https://klasma.github.io/Logging_2462/klagomålsmail/A 41645-2024 FSC-klagomål mail.docx", "A 41645-2024")</f>
        <v/>
      </c>
      <c r="X731">
        <f>HYPERLINK("https://klasma.github.io/Logging_2462/tillsyn/A 41645-2024 tillsynsbegäran.docx", "A 41645-2024")</f>
        <v/>
      </c>
      <c r="Y731">
        <f>HYPERLINK("https://klasma.github.io/Logging_2462/tillsynsmail/A 41645-2024 tillsynsbegäran mail.docx", "A 41645-2024")</f>
        <v/>
      </c>
    </row>
    <row r="732" ht="15" customHeight="1">
      <c r="A732" t="inlineStr">
        <is>
          <t>A 44708-2025</t>
        </is>
      </c>
      <c r="B732" s="1" t="n">
        <v>45917.61471064815</v>
      </c>
      <c r="C732" s="1" t="n">
        <v>45971</v>
      </c>
      <c r="D732" t="inlineStr">
        <is>
          <t>VÄSTERBOTTENS LÄN</t>
        </is>
      </c>
      <c r="E732" t="inlineStr">
        <is>
          <t>VINDELN</t>
        </is>
      </c>
      <c r="F732" t="inlineStr">
        <is>
          <t>Holmen skog AB</t>
        </is>
      </c>
      <c r="G732" t="n">
        <v>3.8</v>
      </c>
      <c r="H732" t="n">
        <v>1</v>
      </c>
      <c r="I732" t="n">
        <v>0</v>
      </c>
      <c r="J732" t="n">
        <v>2</v>
      </c>
      <c r="K732" t="n">
        <v>0</v>
      </c>
      <c r="L732" t="n">
        <v>0</v>
      </c>
      <c r="M732" t="n">
        <v>0</v>
      </c>
      <c r="N732" t="n">
        <v>0</v>
      </c>
      <c r="O732" t="n">
        <v>2</v>
      </c>
      <c r="P732" t="n">
        <v>0</v>
      </c>
      <c r="Q732" t="n">
        <v>2</v>
      </c>
      <c r="R732" s="2" t="inlineStr">
        <is>
          <t>Motaggsvamp
Spillkråka</t>
        </is>
      </c>
      <c r="S732">
        <f>HYPERLINK("https://klasma.github.io/Logging_2404/artfynd/A 44708-2025 artfynd.xlsx", "A 44708-2025")</f>
        <v/>
      </c>
      <c r="T732">
        <f>HYPERLINK("https://klasma.github.io/Logging_2404/kartor/A 44708-2025 karta.png", "A 44708-2025")</f>
        <v/>
      </c>
      <c r="V732">
        <f>HYPERLINK("https://klasma.github.io/Logging_2404/klagomål/A 44708-2025 FSC-klagomål.docx", "A 44708-2025")</f>
        <v/>
      </c>
      <c r="W732">
        <f>HYPERLINK("https://klasma.github.io/Logging_2404/klagomålsmail/A 44708-2025 FSC-klagomål mail.docx", "A 44708-2025")</f>
        <v/>
      </c>
      <c r="X732">
        <f>HYPERLINK("https://klasma.github.io/Logging_2404/tillsyn/A 44708-2025 tillsynsbegäran.docx", "A 44708-2025")</f>
        <v/>
      </c>
      <c r="Y732">
        <f>HYPERLINK("https://klasma.github.io/Logging_2404/tillsynsmail/A 44708-2025 tillsynsbegäran mail.docx", "A 44708-2025")</f>
        <v/>
      </c>
      <c r="Z732">
        <f>HYPERLINK("https://klasma.github.io/Logging_2404/fåglar/A 44708-2025 prioriterade fågelarter.docx", "A 44708-2025")</f>
        <v/>
      </c>
    </row>
    <row r="733" ht="15" customHeight="1">
      <c r="A733" t="inlineStr">
        <is>
          <t>A 1278-2024</t>
        </is>
      </c>
      <c r="B733" s="1" t="n">
        <v>45302</v>
      </c>
      <c r="C733" s="1" t="n">
        <v>45971</v>
      </c>
      <c r="D733" t="inlineStr">
        <is>
          <t>VÄSTERBOTTENS LÄN</t>
        </is>
      </c>
      <c r="E733" t="inlineStr">
        <is>
          <t>DOROTEA</t>
        </is>
      </c>
      <c r="F733" t="inlineStr">
        <is>
          <t>SCA</t>
        </is>
      </c>
      <c r="G733" t="n">
        <v>1.3</v>
      </c>
      <c r="H733" t="n">
        <v>0</v>
      </c>
      <c r="I733" t="n">
        <v>0</v>
      </c>
      <c r="J733" t="n">
        <v>1</v>
      </c>
      <c r="K733" t="n">
        <v>1</v>
      </c>
      <c r="L733" t="n">
        <v>0</v>
      </c>
      <c r="M733" t="n">
        <v>0</v>
      </c>
      <c r="N733" t="n">
        <v>0</v>
      </c>
      <c r="O733" t="n">
        <v>2</v>
      </c>
      <c r="P733" t="n">
        <v>1</v>
      </c>
      <c r="Q733" t="n">
        <v>2</v>
      </c>
      <c r="R733" s="2" t="inlineStr">
        <is>
          <t>Gräddticka
Granticka</t>
        </is>
      </c>
      <c r="S733">
        <f>HYPERLINK("https://klasma.github.io/Logging_2425/artfynd/A 1278-2024 artfynd.xlsx", "A 1278-2024")</f>
        <v/>
      </c>
      <c r="T733">
        <f>HYPERLINK("https://klasma.github.io/Logging_2425/kartor/A 1278-2024 karta.png", "A 1278-2024")</f>
        <v/>
      </c>
      <c r="V733">
        <f>HYPERLINK("https://klasma.github.io/Logging_2425/klagomål/A 1278-2024 FSC-klagomål.docx", "A 1278-2024")</f>
        <v/>
      </c>
      <c r="W733">
        <f>HYPERLINK("https://klasma.github.io/Logging_2425/klagomålsmail/A 1278-2024 FSC-klagomål mail.docx", "A 1278-2024")</f>
        <v/>
      </c>
      <c r="X733">
        <f>HYPERLINK("https://klasma.github.io/Logging_2425/tillsyn/A 1278-2024 tillsynsbegäran.docx", "A 1278-2024")</f>
        <v/>
      </c>
      <c r="Y733">
        <f>HYPERLINK("https://klasma.github.io/Logging_2425/tillsynsmail/A 1278-2024 tillsynsbegäran mail.docx", "A 1278-2024")</f>
        <v/>
      </c>
    </row>
    <row r="734" ht="15" customHeight="1">
      <c r="A734" t="inlineStr">
        <is>
          <t>A 33215-2025</t>
        </is>
      </c>
      <c r="B734" s="1" t="n">
        <v>45840.63028935185</v>
      </c>
      <c r="C734" s="1" t="n">
        <v>45971</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52630-2025</t>
        </is>
      </c>
      <c r="B735" s="1" t="n">
        <v>45953</v>
      </c>
      <c r="C735" s="1" t="n">
        <v>45971</v>
      </c>
      <c r="D735" t="inlineStr">
        <is>
          <t>VÄSTERBOTTENS LÄN</t>
        </is>
      </c>
      <c r="E735" t="inlineStr">
        <is>
          <t>SKELLEFTEÅ</t>
        </is>
      </c>
      <c r="G735" t="n">
        <v>3.9</v>
      </c>
      <c r="H735" t="n">
        <v>2</v>
      </c>
      <c r="I735" t="n">
        <v>0</v>
      </c>
      <c r="J735" t="n">
        <v>1</v>
      </c>
      <c r="K735" t="n">
        <v>1</v>
      </c>
      <c r="L735" t="n">
        <v>0</v>
      </c>
      <c r="M735" t="n">
        <v>0</v>
      </c>
      <c r="N735" t="n">
        <v>0</v>
      </c>
      <c r="O735" t="n">
        <v>2</v>
      </c>
      <c r="P735" t="n">
        <v>1</v>
      </c>
      <c r="Q735" t="n">
        <v>2</v>
      </c>
      <c r="R735" s="2" t="inlineStr">
        <is>
          <t>Knärot
Spillkråka</t>
        </is>
      </c>
      <c r="S735">
        <f>HYPERLINK("https://klasma.github.io/Logging_2482/artfynd/A 52630-2025 artfynd.xlsx", "A 52630-2025")</f>
        <v/>
      </c>
      <c r="T735">
        <f>HYPERLINK("https://klasma.github.io/Logging_2482/kartor/A 52630-2025 karta.png", "A 52630-2025")</f>
        <v/>
      </c>
      <c r="U735">
        <f>HYPERLINK("https://klasma.github.io/Logging_2482/knärot/A 52630-2025 karta knärot.png", "A 52630-2025")</f>
        <v/>
      </c>
      <c r="V735">
        <f>HYPERLINK("https://klasma.github.io/Logging_2482/klagomål/A 52630-2025 FSC-klagomål.docx", "A 52630-2025")</f>
        <v/>
      </c>
      <c r="W735">
        <f>HYPERLINK("https://klasma.github.io/Logging_2482/klagomålsmail/A 52630-2025 FSC-klagomål mail.docx", "A 52630-2025")</f>
        <v/>
      </c>
      <c r="X735">
        <f>HYPERLINK("https://klasma.github.io/Logging_2482/tillsyn/A 52630-2025 tillsynsbegäran.docx", "A 52630-2025")</f>
        <v/>
      </c>
      <c r="Y735">
        <f>HYPERLINK("https://klasma.github.io/Logging_2482/tillsynsmail/A 52630-2025 tillsynsbegäran mail.docx", "A 52630-2025")</f>
        <v/>
      </c>
      <c r="Z735">
        <f>HYPERLINK("https://klasma.github.io/Logging_2482/fåglar/A 52630-2025 prioriterade fågelarter.docx", "A 52630-2025")</f>
        <v/>
      </c>
    </row>
    <row r="736" ht="15" customHeight="1">
      <c r="A736" t="inlineStr">
        <is>
          <t>A 33263-2025</t>
        </is>
      </c>
      <c r="B736" s="1" t="n">
        <v>45840.67800925926</v>
      </c>
      <c r="C736" s="1" t="n">
        <v>45971</v>
      </c>
      <c r="D736" t="inlineStr">
        <is>
          <t>VÄSTERBOTTENS LÄN</t>
        </is>
      </c>
      <c r="E736" t="inlineStr">
        <is>
          <t>DOROTEA</t>
        </is>
      </c>
      <c r="F736" t="inlineStr">
        <is>
          <t>SCA</t>
        </is>
      </c>
      <c r="G736" t="n">
        <v>15</v>
      </c>
      <c r="H736" t="n">
        <v>0</v>
      </c>
      <c r="I736" t="n">
        <v>1</v>
      </c>
      <c r="J736" t="n">
        <v>1</v>
      </c>
      <c r="K736" t="n">
        <v>0</v>
      </c>
      <c r="L736" t="n">
        <v>0</v>
      </c>
      <c r="M736" t="n">
        <v>0</v>
      </c>
      <c r="N736" t="n">
        <v>0</v>
      </c>
      <c r="O736" t="n">
        <v>1</v>
      </c>
      <c r="P736" t="n">
        <v>0</v>
      </c>
      <c r="Q736" t="n">
        <v>2</v>
      </c>
      <c r="R736" s="2" t="inlineStr">
        <is>
          <t>Gammelgransskål
Vedticka</t>
        </is>
      </c>
      <c r="S736">
        <f>HYPERLINK("https://klasma.github.io/Logging_2425/artfynd/A 33263-2025 artfynd.xlsx", "A 33263-2025")</f>
        <v/>
      </c>
      <c r="T736">
        <f>HYPERLINK("https://klasma.github.io/Logging_2425/kartor/A 33263-2025 karta.png", "A 33263-2025")</f>
        <v/>
      </c>
      <c r="V736">
        <f>HYPERLINK("https://klasma.github.io/Logging_2425/klagomål/A 33263-2025 FSC-klagomål.docx", "A 33263-2025")</f>
        <v/>
      </c>
      <c r="W736">
        <f>HYPERLINK("https://klasma.github.io/Logging_2425/klagomålsmail/A 33263-2025 FSC-klagomål mail.docx", "A 33263-2025")</f>
        <v/>
      </c>
      <c r="X736">
        <f>HYPERLINK("https://klasma.github.io/Logging_2425/tillsyn/A 33263-2025 tillsynsbegäran.docx", "A 33263-2025")</f>
        <v/>
      </c>
      <c r="Y736">
        <f>HYPERLINK("https://klasma.github.io/Logging_2425/tillsynsmail/A 33263-2025 tillsynsbegäran mail.docx", "A 33263-2025")</f>
        <v/>
      </c>
    </row>
    <row r="737" ht="15" customHeight="1">
      <c r="A737" t="inlineStr">
        <is>
          <t>A 53682-2025</t>
        </is>
      </c>
      <c r="B737" s="1" t="n">
        <v>45960.574375</v>
      </c>
      <c r="C737" s="1" t="n">
        <v>45971</v>
      </c>
      <c r="D737" t="inlineStr">
        <is>
          <t>VÄSTERBOTTENS LÄN</t>
        </is>
      </c>
      <c r="E737" t="inlineStr">
        <is>
          <t>ÅSELE</t>
        </is>
      </c>
      <c r="F737" t="inlineStr">
        <is>
          <t>SCA</t>
        </is>
      </c>
      <c r="G737" t="n">
        <v>10.2</v>
      </c>
      <c r="H737" t="n">
        <v>0</v>
      </c>
      <c r="I737" t="n">
        <v>0</v>
      </c>
      <c r="J737" t="n">
        <v>2</v>
      </c>
      <c r="K737" t="n">
        <v>0</v>
      </c>
      <c r="L737" t="n">
        <v>0</v>
      </c>
      <c r="M737" t="n">
        <v>0</v>
      </c>
      <c r="N737" t="n">
        <v>0</v>
      </c>
      <c r="O737" t="n">
        <v>2</v>
      </c>
      <c r="P737" t="n">
        <v>0</v>
      </c>
      <c r="Q737" t="n">
        <v>2</v>
      </c>
      <c r="R737" s="2" t="inlineStr">
        <is>
          <t>Vedflamlav
Vedskivlav</t>
        </is>
      </c>
      <c r="S737">
        <f>HYPERLINK("https://klasma.github.io/Logging_2463/artfynd/A 53682-2025 artfynd.xlsx", "A 53682-2025")</f>
        <v/>
      </c>
      <c r="T737">
        <f>HYPERLINK("https://klasma.github.io/Logging_2463/kartor/A 53682-2025 karta.png", "A 53682-2025")</f>
        <v/>
      </c>
      <c r="V737">
        <f>HYPERLINK("https://klasma.github.io/Logging_2463/klagomål/A 53682-2025 FSC-klagomål.docx", "A 53682-2025")</f>
        <v/>
      </c>
      <c r="W737">
        <f>HYPERLINK("https://klasma.github.io/Logging_2463/klagomålsmail/A 53682-2025 FSC-klagomål mail.docx", "A 53682-2025")</f>
        <v/>
      </c>
      <c r="X737">
        <f>HYPERLINK("https://klasma.github.io/Logging_2463/tillsyn/A 53682-2025 tillsynsbegäran.docx", "A 53682-2025")</f>
        <v/>
      </c>
      <c r="Y737">
        <f>HYPERLINK("https://klasma.github.io/Logging_2463/tillsynsmail/A 53682-2025 tillsynsbegäran mail.docx", "A 53682-2025")</f>
        <v/>
      </c>
    </row>
    <row r="738" ht="15" customHeight="1">
      <c r="A738" t="inlineStr">
        <is>
          <t>A 26204-2024</t>
        </is>
      </c>
      <c r="B738" s="1" t="n">
        <v>45468.58577546296</v>
      </c>
      <c r="C738" s="1" t="n">
        <v>45971</v>
      </c>
      <c r="D738" t="inlineStr">
        <is>
          <t>VÄSTERBOTTENS LÄN</t>
        </is>
      </c>
      <c r="E738" t="inlineStr">
        <is>
          <t>ROBERTSFORS</t>
        </is>
      </c>
      <c r="F738" t="inlineStr">
        <is>
          <t>Holmen skog AB</t>
        </is>
      </c>
      <c r="G738" t="n">
        <v>3.9</v>
      </c>
      <c r="H738" t="n">
        <v>2</v>
      </c>
      <c r="I738" t="n">
        <v>0</v>
      </c>
      <c r="J738" t="n">
        <v>0</v>
      </c>
      <c r="K738" t="n">
        <v>0</v>
      </c>
      <c r="L738" t="n">
        <v>0</v>
      </c>
      <c r="M738" t="n">
        <v>0</v>
      </c>
      <c r="N738" t="n">
        <v>0</v>
      </c>
      <c r="O738" t="n">
        <v>0</v>
      </c>
      <c r="P738" t="n">
        <v>0</v>
      </c>
      <c r="Q738" t="n">
        <v>2</v>
      </c>
      <c r="R738" s="2" t="inlineStr">
        <is>
          <t>Orre
Tjäder</t>
        </is>
      </c>
      <c r="S738">
        <f>HYPERLINK("https://klasma.github.io/Logging_2409/artfynd/A 26204-2024 artfynd.xlsx", "A 26204-2024")</f>
        <v/>
      </c>
      <c r="T738">
        <f>HYPERLINK("https://klasma.github.io/Logging_2409/kartor/A 26204-2024 karta.png", "A 26204-2024")</f>
        <v/>
      </c>
      <c r="V738">
        <f>HYPERLINK("https://klasma.github.io/Logging_2409/klagomål/A 26204-2024 FSC-klagomål.docx", "A 26204-2024")</f>
        <v/>
      </c>
      <c r="W738">
        <f>HYPERLINK("https://klasma.github.io/Logging_2409/klagomålsmail/A 26204-2024 FSC-klagomål mail.docx", "A 26204-2024")</f>
        <v/>
      </c>
      <c r="X738">
        <f>HYPERLINK("https://klasma.github.io/Logging_2409/tillsyn/A 26204-2024 tillsynsbegäran.docx", "A 26204-2024")</f>
        <v/>
      </c>
      <c r="Y738">
        <f>HYPERLINK("https://klasma.github.io/Logging_2409/tillsynsmail/A 26204-2024 tillsynsbegäran mail.docx", "A 26204-2024")</f>
        <v/>
      </c>
      <c r="Z738">
        <f>HYPERLINK("https://klasma.github.io/Logging_2409/fåglar/A 26204-2024 prioriterade fågelarter.docx", "A 26204-2024")</f>
        <v/>
      </c>
    </row>
    <row r="739" ht="15" customHeight="1">
      <c r="A739" t="inlineStr">
        <is>
          <t>A 34032-2025</t>
        </is>
      </c>
      <c r="B739" s="1" t="n">
        <v>45845.36605324074</v>
      </c>
      <c r="C739" s="1" t="n">
        <v>45971</v>
      </c>
      <c r="D739" t="inlineStr">
        <is>
          <t>VÄSTERBOTTENS LÄN</t>
        </is>
      </c>
      <c r="E739" t="inlineStr">
        <is>
          <t>LYCKSELE</t>
        </is>
      </c>
      <c r="F739" t="inlineStr">
        <is>
          <t>Sveaskog</t>
        </is>
      </c>
      <c r="G739" t="n">
        <v>3.7</v>
      </c>
      <c r="H739" t="n">
        <v>0</v>
      </c>
      <c r="I739" t="n">
        <v>0</v>
      </c>
      <c r="J739" t="n">
        <v>2</v>
      </c>
      <c r="K739" t="n">
        <v>0</v>
      </c>
      <c r="L739" t="n">
        <v>0</v>
      </c>
      <c r="M739" t="n">
        <v>0</v>
      </c>
      <c r="N739" t="n">
        <v>0</v>
      </c>
      <c r="O739" t="n">
        <v>2</v>
      </c>
      <c r="P739" t="n">
        <v>0</v>
      </c>
      <c r="Q739" t="n">
        <v>2</v>
      </c>
      <c r="R739" s="2" t="inlineStr">
        <is>
          <t>Granticka
Lunglav</t>
        </is>
      </c>
      <c r="S739">
        <f>HYPERLINK("https://klasma.github.io/Logging_2481/artfynd/A 34032-2025 artfynd.xlsx", "A 34032-2025")</f>
        <v/>
      </c>
      <c r="T739">
        <f>HYPERLINK("https://klasma.github.io/Logging_2481/kartor/A 34032-2025 karta.png", "A 34032-2025")</f>
        <v/>
      </c>
      <c r="V739">
        <f>HYPERLINK("https://klasma.github.io/Logging_2481/klagomål/A 34032-2025 FSC-klagomål.docx", "A 34032-2025")</f>
        <v/>
      </c>
      <c r="W739">
        <f>HYPERLINK("https://klasma.github.io/Logging_2481/klagomålsmail/A 34032-2025 FSC-klagomål mail.docx", "A 34032-2025")</f>
        <v/>
      </c>
      <c r="X739">
        <f>HYPERLINK("https://klasma.github.io/Logging_2481/tillsyn/A 34032-2025 tillsynsbegäran.docx", "A 34032-2025")</f>
        <v/>
      </c>
      <c r="Y739">
        <f>HYPERLINK("https://klasma.github.io/Logging_2481/tillsynsmail/A 34032-2025 tillsynsbegäran mail.docx", "A 34032-2025")</f>
        <v/>
      </c>
    </row>
    <row r="740" ht="15" customHeight="1">
      <c r="A740" t="inlineStr">
        <is>
          <t>A 65043-2023</t>
        </is>
      </c>
      <c r="B740" s="1" t="n">
        <v>45283</v>
      </c>
      <c r="C740" s="1" t="n">
        <v>45971</v>
      </c>
      <c r="D740" t="inlineStr">
        <is>
          <t>VÄSTERBOTTENS LÄN</t>
        </is>
      </c>
      <c r="E740" t="inlineStr">
        <is>
          <t>NORDMALING</t>
        </is>
      </c>
      <c r="F740" t="inlineStr">
        <is>
          <t>Kommuner</t>
        </is>
      </c>
      <c r="G740" t="n">
        <v>9.1</v>
      </c>
      <c r="H740" t="n">
        <v>2</v>
      </c>
      <c r="I740" t="n">
        <v>0</v>
      </c>
      <c r="J740" t="n">
        <v>2</v>
      </c>
      <c r="K740" t="n">
        <v>0</v>
      </c>
      <c r="L740" t="n">
        <v>0</v>
      </c>
      <c r="M740" t="n">
        <v>0</v>
      </c>
      <c r="N740" t="n">
        <v>0</v>
      </c>
      <c r="O740" t="n">
        <v>2</v>
      </c>
      <c r="P740" t="n">
        <v>0</v>
      </c>
      <c r="Q740" t="n">
        <v>2</v>
      </c>
      <c r="R740" s="2" t="inlineStr">
        <is>
          <t>Grönsångare
Mindre hackspett</t>
        </is>
      </c>
      <c r="S740">
        <f>HYPERLINK("https://klasma.github.io/Logging_2401/artfynd/A 65043-2023 artfynd.xlsx", "A 65043-2023")</f>
        <v/>
      </c>
      <c r="T740">
        <f>HYPERLINK("https://klasma.github.io/Logging_2401/kartor/A 65043-2023 karta.png", "A 65043-2023")</f>
        <v/>
      </c>
      <c r="V740">
        <f>HYPERLINK("https://klasma.github.io/Logging_2401/klagomål/A 65043-2023 FSC-klagomål.docx", "A 65043-2023")</f>
        <v/>
      </c>
      <c r="W740">
        <f>HYPERLINK("https://klasma.github.io/Logging_2401/klagomålsmail/A 65043-2023 FSC-klagomål mail.docx", "A 65043-2023")</f>
        <v/>
      </c>
      <c r="X740">
        <f>HYPERLINK("https://klasma.github.io/Logging_2401/tillsyn/A 65043-2023 tillsynsbegäran.docx", "A 65043-2023")</f>
        <v/>
      </c>
      <c r="Y740">
        <f>HYPERLINK("https://klasma.github.io/Logging_2401/tillsynsmail/A 65043-2023 tillsynsbegäran mail.docx", "A 65043-2023")</f>
        <v/>
      </c>
      <c r="Z740">
        <f>HYPERLINK("https://klasma.github.io/Logging_2401/fåglar/A 65043-2023 prioriterade fågelarter.docx", "A 65043-2023")</f>
        <v/>
      </c>
    </row>
    <row r="741" ht="15" customHeight="1">
      <c r="A741" t="inlineStr">
        <is>
          <t>A 37785-2021</t>
        </is>
      </c>
      <c r="B741" s="1" t="n">
        <v>44401</v>
      </c>
      <c r="C741" s="1" t="n">
        <v>45971</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34727-2025</t>
        </is>
      </c>
      <c r="B742" s="1" t="n">
        <v>45848.57890046296</v>
      </c>
      <c r="C742" s="1" t="n">
        <v>45971</v>
      </c>
      <c r="D742" t="inlineStr">
        <is>
          <t>VÄSTERBOTTENS LÄN</t>
        </is>
      </c>
      <c r="E742" t="inlineStr">
        <is>
          <t>ROBERTSFORS</t>
        </is>
      </c>
      <c r="F742" t="inlineStr">
        <is>
          <t>Holmen skog AB</t>
        </is>
      </c>
      <c r="G742" t="n">
        <v>4.3</v>
      </c>
      <c r="H742" t="n">
        <v>1</v>
      </c>
      <c r="I742" t="n">
        <v>0</v>
      </c>
      <c r="J742" t="n">
        <v>2</v>
      </c>
      <c r="K742" t="n">
        <v>0</v>
      </c>
      <c r="L742" t="n">
        <v>0</v>
      </c>
      <c r="M742" t="n">
        <v>0</v>
      </c>
      <c r="N742" t="n">
        <v>0</v>
      </c>
      <c r="O742" t="n">
        <v>2</v>
      </c>
      <c r="P742" t="n">
        <v>0</v>
      </c>
      <c r="Q742" t="n">
        <v>2</v>
      </c>
      <c r="R742" s="2" t="inlineStr">
        <is>
          <t>Talltita
Ullticka</t>
        </is>
      </c>
      <c r="S742">
        <f>HYPERLINK("https://klasma.github.io/Logging_2409/artfynd/A 34727-2025 artfynd.xlsx", "A 34727-2025")</f>
        <v/>
      </c>
      <c r="T742">
        <f>HYPERLINK("https://klasma.github.io/Logging_2409/kartor/A 34727-2025 karta.png", "A 34727-2025")</f>
        <v/>
      </c>
      <c r="V742">
        <f>HYPERLINK("https://klasma.github.io/Logging_2409/klagomål/A 34727-2025 FSC-klagomål.docx", "A 34727-2025")</f>
        <v/>
      </c>
      <c r="W742">
        <f>HYPERLINK("https://klasma.github.io/Logging_2409/klagomålsmail/A 34727-2025 FSC-klagomål mail.docx", "A 34727-2025")</f>
        <v/>
      </c>
      <c r="X742">
        <f>HYPERLINK("https://klasma.github.io/Logging_2409/tillsyn/A 34727-2025 tillsynsbegäran.docx", "A 34727-2025")</f>
        <v/>
      </c>
      <c r="Y742">
        <f>HYPERLINK("https://klasma.github.io/Logging_2409/tillsynsmail/A 34727-2025 tillsynsbegäran mail.docx", "A 34727-2025")</f>
        <v/>
      </c>
      <c r="Z742">
        <f>HYPERLINK("https://klasma.github.io/Logging_2409/fåglar/A 34727-2025 prioriterade fågelarter.docx", "A 34727-2025")</f>
        <v/>
      </c>
    </row>
    <row r="743" ht="15" customHeight="1">
      <c r="A743" t="inlineStr">
        <is>
          <t>A 45569-2022</t>
        </is>
      </c>
      <c r="B743" s="1" t="n">
        <v>44841</v>
      </c>
      <c r="C743" s="1" t="n">
        <v>45971</v>
      </c>
      <c r="D743" t="inlineStr">
        <is>
          <t>VÄSTERBOTTENS LÄN</t>
        </is>
      </c>
      <c r="E743" t="inlineStr">
        <is>
          <t>SORSELE</t>
        </is>
      </c>
      <c r="G743" t="n">
        <v>55.7</v>
      </c>
      <c r="H743" t="n">
        <v>0</v>
      </c>
      <c r="I743" t="n">
        <v>0</v>
      </c>
      <c r="J743" t="n">
        <v>2</v>
      </c>
      <c r="K743" t="n">
        <v>0</v>
      </c>
      <c r="L743" t="n">
        <v>0</v>
      </c>
      <c r="M743" t="n">
        <v>0</v>
      </c>
      <c r="N743" t="n">
        <v>0</v>
      </c>
      <c r="O743" t="n">
        <v>2</v>
      </c>
      <c r="P743" t="n">
        <v>0</v>
      </c>
      <c r="Q743" t="n">
        <v>2</v>
      </c>
      <c r="R743" s="2" t="inlineStr">
        <is>
          <t>Gränsticka
Harticka</t>
        </is>
      </c>
      <c r="S743">
        <f>HYPERLINK("https://klasma.github.io/Logging_2422/artfynd/A 45569-2022 artfynd.xlsx", "A 45569-2022")</f>
        <v/>
      </c>
      <c r="T743">
        <f>HYPERLINK("https://klasma.github.io/Logging_2422/kartor/A 45569-2022 karta.png", "A 45569-2022")</f>
        <v/>
      </c>
      <c r="V743">
        <f>HYPERLINK("https://klasma.github.io/Logging_2422/klagomål/A 45569-2022 FSC-klagomål.docx", "A 45569-2022")</f>
        <v/>
      </c>
      <c r="W743">
        <f>HYPERLINK("https://klasma.github.io/Logging_2422/klagomålsmail/A 45569-2022 FSC-klagomål mail.docx", "A 45569-2022")</f>
        <v/>
      </c>
      <c r="X743">
        <f>HYPERLINK("https://klasma.github.io/Logging_2422/tillsyn/A 45569-2022 tillsynsbegäran.docx", "A 45569-2022")</f>
        <v/>
      </c>
      <c r="Y743">
        <f>HYPERLINK("https://klasma.github.io/Logging_2422/tillsynsmail/A 45569-2022 tillsynsbegäran mail.docx", "A 45569-2022")</f>
        <v/>
      </c>
    </row>
    <row r="744" ht="15" customHeight="1">
      <c r="A744" t="inlineStr">
        <is>
          <t>A 47362-2022</t>
        </is>
      </c>
      <c r="B744" s="1" t="n">
        <v>44853</v>
      </c>
      <c r="C744" s="1" t="n">
        <v>45971</v>
      </c>
      <c r="D744" t="inlineStr">
        <is>
          <t>VÄSTERBOTTENS LÄN</t>
        </is>
      </c>
      <c r="E744" t="inlineStr">
        <is>
          <t>NORSJÖ</t>
        </is>
      </c>
      <c r="G744" t="n">
        <v>1.4</v>
      </c>
      <c r="H744" t="n">
        <v>0</v>
      </c>
      <c r="I744" t="n">
        <v>0</v>
      </c>
      <c r="J744" t="n">
        <v>2</v>
      </c>
      <c r="K744" t="n">
        <v>0</v>
      </c>
      <c r="L744" t="n">
        <v>0</v>
      </c>
      <c r="M744" t="n">
        <v>0</v>
      </c>
      <c r="N744" t="n">
        <v>0</v>
      </c>
      <c r="O744" t="n">
        <v>2</v>
      </c>
      <c r="P744" t="n">
        <v>0</v>
      </c>
      <c r="Q744" t="n">
        <v>2</v>
      </c>
      <c r="R744" s="2" t="inlineStr">
        <is>
          <t>Lunglav
Ullticka</t>
        </is>
      </c>
      <c r="S744">
        <f>HYPERLINK("https://klasma.github.io/Logging_2417/artfynd/A 47362-2022 artfynd.xlsx", "A 47362-2022")</f>
        <v/>
      </c>
      <c r="T744">
        <f>HYPERLINK("https://klasma.github.io/Logging_2417/kartor/A 47362-2022 karta.png", "A 47362-2022")</f>
        <v/>
      </c>
      <c r="V744">
        <f>HYPERLINK("https://klasma.github.io/Logging_2417/klagomål/A 47362-2022 FSC-klagomål.docx", "A 47362-2022")</f>
        <v/>
      </c>
      <c r="W744">
        <f>HYPERLINK("https://klasma.github.io/Logging_2417/klagomålsmail/A 47362-2022 FSC-klagomål mail.docx", "A 47362-2022")</f>
        <v/>
      </c>
      <c r="X744">
        <f>HYPERLINK("https://klasma.github.io/Logging_2417/tillsyn/A 47362-2022 tillsynsbegäran.docx", "A 47362-2022")</f>
        <v/>
      </c>
      <c r="Y744">
        <f>HYPERLINK("https://klasma.github.io/Logging_2417/tillsynsmail/A 47362-2022 tillsynsbegäran mail.docx", "A 47362-2022")</f>
        <v/>
      </c>
    </row>
    <row r="745" ht="15" customHeight="1">
      <c r="A745" t="inlineStr">
        <is>
          <t>A 35733-2021</t>
        </is>
      </c>
      <c r="B745" s="1" t="n">
        <v>44385</v>
      </c>
      <c r="C745" s="1" t="n">
        <v>45971</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54277-2025</t>
        </is>
      </c>
      <c r="B746" s="1" t="n">
        <v>45964.69563657408</v>
      </c>
      <c r="C746" s="1" t="n">
        <v>45971</v>
      </c>
      <c r="D746" t="inlineStr">
        <is>
          <t>VÄSTERBOTTENS LÄN</t>
        </is>
      </c>
      <c r="E746" t="inlineStr">
        <is>
          <t>LYCKSELE</t>
        </is>
      </c>
      <c r="G746" t="n">
        <v>5.4</v>
      </c>
      <c r="H746" t="n">
        <v>0</v>
      </c>
      <c r="I746" t="n">
        <v>0</v>
      </c>
      <c r="J746" t="n">
        <v>2</v>
      </c>
      <c r="K746" t="n">
        <v>0</v>
      </c>
      <c r="L746" t="n">
        <v>0</v>
      </c>
      <c r="M746" t="n">
        <v>0</v>
      </c>
      <c r="N746" t="n">
        <v>0</v>
      </c>
      <c r="O746" t="n">
        <v>2</v>
      </c>
      <c r="P746" t="n">
        <v>0</v>
      </c>
      <c r="Q746" t="n">
        <v>2</v>
      </c>
      <c r="R746" s="2" t="inlineStr">
        <is>
          <t>Garnlav
Granticka</t>
        </is>
      </c>
      <c r="S746">
        <f>HYPERLINK("https://klasma.github.io/Logging_2481/artfynd/A 54277-2025 artfynd.xlsx", "A 54277-2025")</f>
        <v/>
      </c>
      <c r="T746">
        <f>HYPERLINK("https://klasma.github.io/Logging_2481/kartor/A 54277-2025 karta.png", "A 54277-2025")</f>
        <v/>
      </c>
      <c r="V746">
        <f>HYPERLINK("https://klasma.github.io/Logging_2481/klagomål/A 54277-2025 FSC-klagomål.docx", "A 54277-2025")</f>
        <v/>
      </c>
      <c r="W746">
        <f>HYPERLINK("https://klasma.github.io/Logging_2481/klagomålsmail/A 54277-2025 FSC-klagomål mail.docx", "A 54277-2025")</f>
        <v/>
      </c>
      <c r="X746">
        <f>HYPERLINK("https://klasma.github.io/Logging_2481/tillsyn/A 54277-2025 tillsynsbegäran.docx", "A 54277-2025")</f>
        <v/>
      </c>
      <c r="Y746">
        <f>HYPERLINK("https://klasma.github.io/Logging_2481/tillsynsmail/A 54277-2025 tillsynsbegäran mail.docx", "A 54277-2025")</f>
        <v/>
      </c>
    </row>
    <row r="747" ht="15" customHeight="1">
      <c r="A747" t="inlineStr">
        <is>
          <t>A 35956-2025</t>
        </is>
      </c>
      <c r="B747" s="1" t="n">
        <v>45863.32681712963</v>
      </c>
      <c r="C747" s="1" t="n">
        <v>45971</v>
      </c>
      <c r="D747" t="inlineStr">
        <is>
          <t>VÄSTERBOTTENS LÄN</t>
        </is>
      </c>
      <c r="E747" t="inlineStr">
        <is>
          <t>SKELLEFTEÅ</t>
        </is>
      </c>
      <c r="F747" t="inlineStr">
        <is>
          <t>Holmen skog AB</t>
        </is>
      </c>
      <c r="G747" t="n">
        <v>3.1</v>
      </c>
      <c r="H747" t="n">
        <v>1</v>
      </c>
      <c r="I747" t="n">
        <v>0</v>
      </c>
      <c r="J747" t="n">
        <v>1</v>
      </c>
      <c r="K747" t="n">
        <v>0</v>
      </c>
      <c r="L747" t="n">
        <v>0</v>
      </c>
      <c r="M747" t="n">
        <v>0</v>
      </c>
      <c r="N747" t="n">
        <v>0</v>
      </c>
      <c r="O747" t="n">
        <v>1</v>
      </c>
      <c r="P747" t="n">
        <v>0</v>
      </c>
      <c r="Q747" t="n">
        <v>2</v>
      </c>
      <c r="R747" s="2" t="inlineStr">
        <is>
          <t>Gammelgransskål
Fläcknycklar</t>
        </is>
      </c>
      <c r="S747">
        <f>HYPERLINK("https://klasma.github.io/Logging_2482/artfynd/A 35956-2025 artfynd.xlsx", "A 35956-2025")</f>
        <v/>
      </c>
      <c r="T747">
        <f>HYPERLINK("https://klasma.github.io/Logging_2482/kartor/A 35956-2025 karta.png", "A 35956-2025")</f>
        <v/>
      </c>
      <c r="V747">
        <f>HYPERLINK("https://klasma.github.io/Logging_2482/klagomål/A 35956-2025 FSC-klagomål.docx", "A 35956-2025")</f>
        <v/>
      </c>
      <c r="W747">
        <f>HYPERLINK("https://klasma.github.io/Logging_2482/klagomålsmail/A 35956-2025 FSC-klagomål mail.docx", "A 35956-2025")</f>
        <v/>
      </c>
      <c r="X747">
        <f>HYPERLINK("https://klasma.github.io/Logging_2482/tillsyn/A 35956-2025 tillsynsbegäran.docx", "A 35956-2025")</f>
        <v/>
      </c>
      <c r="Y747">
        <f>HYPERLINK("https://klasma.github.io/Logging_2482/tillsynsmail/A 35956-2025 tillsynsbegäran mail.docx", "A 35956-2025")</f>
        <v/>
      </c>
    </row>
    <row r="748" ht="15" customHeight="1">
      <c r="A748" t="inlineStr">
        <is>
          <t>A 45359-2025</t>
        </is>
      </c>
      <c r="B748" s="1" t="n">
        <v>45922.36978009259</v>
      </c>
      <c r="C748" s="1" t="n">
        <v>45971</v>
      </c>
      <c r="D748" t="inlineStr">
        <is>
          <t>VÄSTERBOTTENS LÄN</t>
        </is>
      </c>
      <c r="E748" t="inlineStr">
        <is>
          <t>LYCKSELE</t>
        </is>
      </c>
      <c r="F748" t="inlineStr">
        <is>
          <t>Sveaskog</t>
        </is>
      </c>
      <c r="G748" t="n">
        <v>4.6</v>
      </c>
      <c r="H748" t="n">
        <v>0</v>
      </c>
      <c r="I748" t="n">
        <v>1</v>
      </c>
      <c r="J748" t="n">
        <v>1</v>
      </c>
      <c r="K748" t="n">
        <v>0</v>
      </c>
      <c r="L748" t="n">
        <v>0</v>
      </c>
      <c r="M748" t="n">
        <v>0</v>
      </c>
      <c r="N748" t="n">
        <v>0</v>
      </c>
      <c r="O748" t="n">
        <v>1</v>
      </c>
      <c r="P748" t="n">
        <v>0</v>
      </c>
      <c r="Q748" t="n">
        <v>2</v>
      </c>
      <c r="R748" s="2" t="inlineStr">
        <is>
          <t>Garnlav
Stuplav</t>
        </is>
      </c>
      <c r="S748">
        <f>HYPERLINK("https://klasma.github.io/Logging_2481/artfynd/A 45359-2025 artfynd.xlsx", "A 45359-2025")</f>
        <v/>
      </c>
      <c r="T748">
        <f>HYPERLINK("https://klasma.github.io/Logging_2481/kartor/A 45359-2025 karta.png", "A 45359-2025")</f>
        <v/>
      </c>
      <c r="V748">
        <f>HYPERLINK("https://klasma.github.io/Logging_2481/klagomål/A 45359-2025 FSC-klagomål.docx", "A 45359-2025")</f>
        <v/>
      </c>
      <c r="W748">
        <f>HYPERLINK("https://klasma.github.io/Logging_2481/klagomålsmail/A 45359-2025 FSC-klagomål mail.docx", "A 45359-2025")</f>
        <v/>
      </c>
      <c r="X748">
        <f>HYPERLINK("https://klasma.github.io/Logging_2481/tillsyn/A 45359-2025 tillsynsbegäran.docx", "A 45359-2025")</f>
        <v/>
      </c>
      <c r="Y748">
        <f>HYPERLINK("https://klasma.github.io/Logging_2481/tillsynsmail/A 45359-2025 tillsynsbegäran mail.docx", "A 45359-2025")</f>
        <v/>
      </c>
    </row>
    <row r="749" ht="15" customHeight="1">
      <c r="A749" t="inlineStr">
        <is>
          <t>A 52622-2024</t>
        </is>
      </c>
      <c r="B749" s="1" t="n">
        <v>45609.88023148148</v>
      </c>
      <c r="C749" s="1" t="n">
        <v>45971</v>
      </c>
      <c r="D749" t="inlineStr">
        <is>
          <t>VÄSTERBOTTENS LÄN</t>
        </is>
      </c>
      <c r="E749" t="inlineStr">
        <is>
          <t>SORSELE</t>
        </is>
      </c>
      <c r="G749" t="n">
        <v>3.3</v>
      </c>
      <c r="H749" t="n">
        <v>0</v>
      </c>
      <c r="I749" t="n">
        <v>0</v>
      </c>
      <c r="J749" t="n">
        <v>2</v>
      </c>
      <c r="K749" t="n">
        <v>0</v>
      </c>
      <c r="L749" t="n">
        <v>0</v>
      </c>
      <c r="M749" t="n">
        <v>0</v>
      </c>
      <c r="N749" t="n">
        <v>0</v>
      </c>
      <c r="O749" t="n">
        <v>2</v>
      </c>
      <c r="P749" t="n">
        <v>0</v>
      </c>
      <c r="Q749" t="n">
        <v>2</v>
      </c>
      <c r="R749" s="2" t="inlineStr">
        <is>
          <t>Gammelgransskål
Kolflarnlav</t>
        </is>
      </c>
      <c r="S749">
        <f>HYPERLINK("https://klasma.github.io/Logging_2422/artfynd/A 52622-2024 artfynd.xlsx", "A 52622-2024")</f>
        <v/>
      </c>
      <c r="T749">
        <f>HYPERLINK("https://klasma.github.io/Logging_2422/kartor/A 52622-2024 karta.png", "A 52622-2024")</f>
        <v/>
      </c>
      <c r="V749">
        <f>HYPERLINK("https://klasma.github.io/Logging_2422/klagomål/A 52622-2024 FSC-klagomål.docx", "A 52622-2024")</f>
        <v/>
      </c>
      <c r="W749">
        <f>HYPERLINK("https://klasma.github.io/Logging_2422/klagomålsmail/A 52622-2024 FSC-klagomål mail.docx", "A 52622-2024")</f>
        <v/>
      </c>
      <c r="X749">
        <f>HYPERLINK("https://klasma.github.io/Logging_2422/tillsyn/A 52622-2024 tillsynsbegäran.docx", "A 52622-2024")</f>
        <v/>
      </c>
      <c r="Y749">
        <f>HYPERLINK("https://klasma.github.io/Logging_2422/tillsynsmail/A 52622-2024 tillsynsbegäran mail.docx", "A 52622-2024")</f>
        <v/>
      </c>
    </row>
    <row r="750" ht="15" customHeight="1">
      <c r="A750" t="inlineStr">
        <is>
          <t>A 42274-2025</t>
        </is>
      </c>
      <c r="B750" s="1" t="n">
        <v>45903</v>
      </c>
      <c r="C750" s="1" t="n">
        <v>45971</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36794-2025</t>
        </is>
      </c>
      <c r="B751" s="1" t="n">
        <v>45873.64189814815</v>
      </c>
      <c r="C751" s="1" t="n">
        <v>45971</v>
      </c>
      <c r="D751" t="inlineStr">
        <is>
          <t>VÄSTERBOTTENS LÄN</t>
        </is>
      </c>
      <c r="E751" t="inlineStr">
        <is>
          <t>UMEÅ</t>
        </is>
      </c>
      <c r="F751" t="inlineStr">
        <is>
          <t>Holmen skog AB</t>
        </is>
      </c>
      <c r="G751" t="n">
        <v>7.5</v>
      </c>
      <c r="H751" t="n">
        <v>2</v>
      </c>
      <c r="I751" t="n">
        <v>0</v>
      </c>
      <c r="J751" t="n">
        <v>1</v>
      </c>
      <c r="K751" t="n">
        <v>0</v>
      </c>
      <c r="L751" t="n">
        <v>0</v>
      </c>
      <c r="M751" t="n">
        <v>0</v>
      </c>
      <c r="N751" t="n">
        <v>0</v>
      </c>
      <c r="O751" t="n">
        <v>1</v>
      </c>
      <c r="P751" t="n">
        <v>0</v>
      </c>
      <c r="Q751" t="n">
        <v>2</v>
      </c>
      <c r="R751" s="2" t="inlineStr">
        <is>
          <t>Talltita
Kungsfågel</t>
        </is>
      </c>
      <c r="S751">
        <f>HYPERLINK("https://klasma.github.io/Logging_2480/artfynd/A 36794-2025 artfynd.xlsx", "A 36794-2025")</f>
        <v/>
      </c>
      <c r="T751">
        <f>HYPERLINK("https://klasma.github.io/Logging_2480/kartor/A 36794-2025 karta.png", "A 36794-2025")</f>
        <v/>
      </c>
      <c r="V751">
        <f>HYPERLINK("https://klasma.github.io/Logging_2480/klagomål/A 36794-2025 FSC-klagomål.docx", "A 36794-2025")</f>
        <v/>
      </c>
      <c r="W751">
        <f>HYPERLINK("https://klasma.github.io/Logging_2480/klagomålsmail/A 36794-2025 FSC-klagomål mail.docx", "A 36794-2025")</f>
        <v/>
      </c>
      <c r="X751">
        <f>HYPERLINK("https://klasma.github.io/Logging_2480/tillsyn/A 36794-2025 tillsynsbegäran.docx", "A 36794-2025")</f>
        <v/>
      </c>
      <c r="Y751">
        <f>HYPERLINK("https://klasma.github.io/Logging_2480/tillsynsmail/A 36794-2025 tillsynsbegäran mail.docx", "A 36794-2025")</f>
        <v/>
      </c>
      <c r="Z751">
        <f>HYPERLINK("https://klasma.github.io/Logging_2480/fåglar/A 36794-2025 prioriterade fågelarter.docx", "A 36794-2025")</f>
        <v/>
      </c>
    </row>
    <row r="752" ht="15" customHeight="1">
      <c r="A752" t="inlineStr">
        <is>
          <t>A 36810-2025</t>
        </is>
      </c>
      <c r="B752" s="1" t="n">
        <v>45873</v>
      </c>
      <c r="C752" s="1" t="n">
        <v>45971</v>
      </c>
      <c r="D752" t="inlineStr">
        <is>
          <t>VÄSTERBOTTENS LÄN</t>
        </is>
      </c>
      <c r="E752" t="inlineStr">
        <is>
          <t>NORDMALING</t>
        </is>
      </c>
      <c r="G752" t="n">
        <v>1.3</v>
      </c>
      <c r="H752" t="n">
        <v>0</v>
      </c>
      <c r="I752" t="n">
        <v>1</v>
      </c>
      <c r="J752" t="n">
        <v>1</v>
      </c>
      <c r="K752" t="n">
        <v>0</v>
      </c>
      <c r="L752" t="n">
        <v>0</v>
      </c>
      <c r="M752" t="n">
        <v>0</v>
      </c>
      <c r="N752" t="n">
        <v>0</v>
      </c>
      <c r="O752" t="n">
        <v>1</v>
      </c>
      <c r="P752" t="n">
        <v>0</v>
      </c>
      <c r="Q752" t="n">
        <v>2</v>
      </c>
      <c r="R752" s="2" t="inlineStr">
        <is>
          <t>Garnlav
Granbarkgnagare</t>
        </is>
      </c>
      <c r="S752">
        <f>HYPERLINK("https://klasma.github.io/Logging_2401/artfynd/A 36810-2025 artfynd.xlsx", "A 36810-2025")</f>
        <v/>
      </c>
      <c r="T752">
        <f>HYPERLINK("https://klasma.github.io/Logging_2401/kartor/A 36810-2025 karta.png", "A 36810-2025")</f>
        <v/>
      </c>
      <c r="V752">
        <f>HYPERLINK("https://klasma.github.io/Logging_2401/klagomål/A 36810-2025 FSC-klagomål.docx", "A 36810-2025")</f>
        <v/>
      </c>
      <c r="W752">
        <f>HYPERLINK("https://klasma.github.io/Logging_2401/klagomålsmail/A 36810-2025 FSC-klagomål mail.docx", "A 36810-2025")</f>
        <v/>
      </c>
      <c r="X752">
        <f>HYPERLINK("https://klasma.github.io/Logging_2401/tillsyn/A 36810-2025 tillsynsbegäran.docx", "A 36810-2025")</f>
        <v/>
      </c>
      <c r="Y752">
        <f>HYPERLINK("https://klasma.github.io/Logging_2401/tillsynsmail/A 36810-2025 tillsynsbegäran mail.docx", "A 36810-2025")</f>
        <v/>
      </c>
    </row>
    <row r="753" ht="15" customHeight="1">
      <c r="A753" t="inlineStr">
        <is>
          <t>A 36998-2025</t>
        </is>
      </c>
      <c r="B753" s="1" t="n">
        <v>45874</v>
      </c>
      <c r="C753" s="1" t="n">
        <v>45971</v>
      </c>
      <c r="D753" t="inlineStr">
        <is>
          <t>VÄSTERBOTTENS LÄN</t>
        </is>
      </c>
      <c r="E753" t="inlineStr">
        <is>
          <t>VILHELMINA</t>
        </is>
      </c>
      <c r="F753" t="inlineStr">
        <is>
          <t>SCA</t>
        </is>
      </c>
      <c r="G753" t="n">
        <v>16.9</v>
      </c>
      <c r="H753" t="n">
        <v>1</v>
      </c>
      <c r="I753" t="n">
        <v>1</v>
      </c>
      <c r="J753" t="n">
        <v>1</v>
      </c>
      <c r="K753" t="n">
        <v>0</v>
      </c>
      <c r="L753" t="n">
        <v>0</v>
      </c>
      <c r="M753" t="n">
        <v>0</v>
      </c>
      <c r="N753" t="n">
        <v>0</v>
      </c>
      <c r="O753" t="n">
        <v>1</v>
      </c>
      <c r="P753" t="n">
        <v>0</v>
      </c>
      <c r="Q753" t="n">
        <v>2</v>
      </c>
      <c r="R753" s="2" t="inlineStr">
        <is>
          <t>Granticka
Lappranunkel</t>
        </is>
      </c>
      <c r="S753">
        <f>HYPERLINK("https://klasma.github.io/Logging_2462/artfynd/A 36998-2025 artfynd.xlsx", "A 36998-2025")</f>
        <v/>
      </c>
      <c r="T753">
        <f>HYPERLINK("https://klasma.github.io/Logging_2462/kartor/A 36998-2025 karta.png", "A 36998-2025")</f>
        <v/>
      </c>
      <c r="V753">
        <f>HYPERLINK("https://klasma.github.io/Logging_2462/klagomål/A 36998-2025 FSC-klagomål.docx", "A 36998-2025")</f>
        <v/>
      </c>
      <c r="W753">
        <f>HYPERLINK("https://klasma.github.io/Logging_2462/klagomålsmail/A 36998-2025 FSC-klagomål mail.docx", "A 36998-2025")</f>
        <v/>
      </c>
      <c r="X753">
        <f>HYPERLINK("https://klasma.github.io/Logging_2462/tillsyn/A 36998-2025 tillsynsbegäran.docx", "A 36998-2025")</f>
        <v/>
      </c>
      <c r="Y753">
        <f>HYPERLINK("https://klasma.github.io/Logging_2462/tillsynsmail/A 36998-2025 tillsynsbegäran mail.docx", "A 36998-2025")</f>
        <v/>
      </c>
    </row>
    <row r="754" ht="15" customHeight="1">
      <c r="A754" t="inlineStr">
        <is>
          <t>A 37458-2025</t>
        </is>
      </c>
      <c r="B754" s="1" t="n">
        <v>45877.56935185185</v>
      </c>
      <c r="C754" s="1" t="n">
        <v>45971</v>
      </c>
      <c r="D754" t="inlineStr">
        <is>
          <t>VÄSTERBOTTENS LÄN</t>
        </is>
      </c>
      <c r="E754" t="inlineStr">
        <is>
          <t>LYCKSELE</t>
        </is>
      </c>
      <c r="F754" t="inlineStr">
        <is>
          <t>Holmen skog AB</t>
        </is>
      </c>
      <c r="G754" t="n">
        <v>5.1</v>
      </c>
      <c r="H754" t="n">
        <v>1</v>
      </c>
      <c r="I754" t="n">
        <v>0</v>
      </c>
      <c r="J754" t="n">
        <v>1</v>
      </c>
      <c r="K754" t="n">
        <v>0</v>
      </c>
      <c r="L754" t="n">
        <v>0</v>
      </c>
      <c r="M754" t="n">
        <v>0</v>
      </c>
      <c r="N754" t="n">
        <v>0</v>
      </c>
      <c r="O754" t="n">
        <v>1</v>
      </c>
      <c r="P754" t="n">
        <v>0</v>
      </c>
      <c r="Q754" t="n">
        <v>2</v>
      </c>
      <c r="R754" s="2" t="inlineStr">
        <is>
          <t>Garnlav
Lavskrika</t>
        </is>
      </c>
      <c r="S754">
        <f>HYPERLINK("https://klasma.github.io/Logging_2481/artfynd/A 37458-2025 artfynd.xlsx", "A 37458-2025")</f>
        <v/>
      </c>
      <c r="T754">
        <f>HYPERLINK("https://klasma.github.io/Logging_2481/kartor/A 37458-2025 karta.png", "A 37458-2025")</f>
        <v/>
      </c>
      <c r="V754">
        <f>HYPERLINK("https://klasma.github.io/Logging_2481/klagomål/A 37458-2025 FSC-klagomål.docx", "A 37458-2025")</f>
        <v/>
      </c>
      <c r="W754">
        <f>HYPERLINK("https://klasma.github.io/Logging_2481/klagomålsmail/A 37458-2025 FSC-klagomål mail.docx", "A 37458-2025")</f>
        <v/>
      </c>
      <c r="X754">
        <f>HYPERLINK("https://klasma.github.io/Logging_2481/tillsyn/A 37458-2025 tillsynsbegäran.docx", "A 37458-2025")</f>
        <v/>
      </c>
      <c r="Y754">
        <f>HYPERLINK("https://klasma.github.io/Logging_2481/tillsynsmail/A 37458-2025 tillsynsbegäran mail.docx", "A 37458-2025")</f>
        <v/>
      </c>
      <c r="Z754">
        <f>HYPERLINK("https://klasma.github.io/Logging_2481/fåglar/A 37458-2025 prioriterade fågelarter.docx", "A 37458-2025")</f>
        <v/>
      </c>
    </row>
    <row r="755" ht="15" customHeight="1">
      <c r="A755" t="inlineStr">
        <is>
          <t>A 37985-2025</t>
        </is>
      </c>
      <c r="B755" s="1" t="n">
        <v>45881.70010416667</v>
      </c>
      <c r="C755" s="1" t="n">
        <v>45971</v>
      </c>
      <c r="D755" t="inlineStr">
        <is>
          <t>VÄSTERBOTTENS LÄN</t>
        </is>
      </c>
      <c r="E755" t="inlineStr">
        <is>
          <t>SKELLEFTEÅ</t>
        </is>
      </c>
      <c r="G755" t="n">
        <v>4.9</v>
      </c>
      <c r="H755" t="n">
        <v>1</v>
      </c>
      <c r="I755" t="n">
        <v>0</v>
      </c>
      <c r="J755" t="n">
        <v>1</v>
      </c>
      <c r="K755" t="n">
        <v>0</v>
      </c>
      <c r="L755" t="n">
        <v>0</v>
      </c>
      <c r="M755" t="n">
        <v>0</v>
      </c>
      <c r="N755" t="n">
        <v>0</v>
      </c>
      <c r="O755" t="n">
        <v>1</v>
      </c>
      <c r="P755" t="n">
        <v>0</v>
      </c>
      <c r="Q755" t="n">
        <v>2</v>
      </c>
      <c r="R755" s="2" t="inlineStr">
        <is>
          <t>Lunglav
Orre</t>
        </is>
      </c>
      <c r="S755">
        <f>HYPERLINK("https://klasma.github.io/Logging_2482/artfynd/A 37985-2025 artfynd.xlsx", "A 37985-2025")</f>
        <v/>
      </c>
      <c r="T755">
        <f>HYPERLINK("https://klasma.github.io/Logging_2482/kartor/A 37985-2025 karta.png", "A 37985-2025")</f>
        <v/>
      </c>
      <c r="V755">
        <f>HYPERLINK("https://klasma.github.io/Logging_2482/klagomål/A 37985-2025 FSC-klagomål.docx", "A 37985-2025")</f>
        <v/>
      </c>
      <c r="W755">
        <f>HYPERLINK("https://klasma.github.io/Logging_2482/klagomålsmail/A 37985-2025 FSC-klagomål mail.docx", "A 37985-2025")</f>
        <v/>
      </c>
      <c r="X755">
        <f>HYPERLINK("https://klasma.github.io/Logging_2482/tillsyn/A 37985-2025 tillsynsbegäran.docx", "A 37985-2025")</f>
        <v/>
      </c>
      <c r="Y755">
        <f>HYPERLINK("https://klasma.github.io/Logging_2482/tillsynsmail/A 37985-2025 tillsynsbegäran mail.docx", "A 37985-2025")</f>
        <v/>
      </c>
      <c r="Z755">
        <f>HYPERLINK("https://klasma.github.io/Logging_2482/fåglar/A 37985-2025 prioriterade fågelarter.docx", "A 37985-2025")</f>
        <v/>
      </c>
    </row>
    <row r="756" ht="15" customHeight="1">
      <c r="A756" t="inlineStr">
        <is>
          <t>A 48652-2025</t>
        </is>
      </c>
      <c r="B756" s="1" t="n">
        <v>45936</v>
      </c>
      <c r="C756" s="1" t="n">
        <v>45971</v>
      </c>
      <c r="D756" t="inlineStr">
        <is>
          <t>VÄSTERBOTTENS LÄN</t>
        </is>
      </c>
      <c r="E756" t="inlineStr">
        <is>
          <t>VILHELMINA</t>
        </is>
      </c>
      <c r="F756" t="inlineStr">
        <is>
          <t>SCA</t>
        </is>
      </c>
      <c r="G756" t="n">
        <v>6.8</v>
      </c>
      <c r="H756" t="n">
        <v>0</v>
      </c>
      <c r="I756" t="n">
        <v>0</v>
      </c>
      <c r="J756" t="n">
        <v>2</v>
      </c>
      <c r="K756" t="n">
        <v>0</v>
      </c>
      <c r="L756" t="n">
        <v>0</v>
      </c>
      <c r="M756" t="n">
        <v>0</v>
      </c>
      <c r="N756" t="n">
        <v>0</v>
      </c>
      <c r="O756" t="n">
        <v>2</v>
      </c>
      <c r="P756" t="n">
        <v>0</v>
      </c>
      <c r="Q756" t="n">
        <v>2</v>
      </c>
      <c r="R756" s="2" t="inlineStr">
        <is>
          <t>Gammelgransskål
Knottrig blåslav</t>
        </is>
      </c>
      <c r="S756">
        <f>HYPERLINK("https://klasma.github.io/Logging_2462/artfynd/A 48652-2025 artfynd.xlsx", "A 48652-2025")</f>
        <v/>
      </c>
      <c r="T756">
        <f>HYPERLINK("https://klasma.github.io/Logging_2462/kartor/A 48652-2025 karta.png", "A 48652-2025")</f>
        <v/>
      </c>
      <c r="V756">
        <f>HYPERLINK("https://klasma.github.io/Logging_2462/klagomål/A 48652-2025 FSC-klagomål.docx", "A 48652-2025")</f>
        <v/>
      </c>
      <c r="W756">
        <f>HYPERLINK("https://klasma.github.io/Logging_2462/klagomålsmail/A 48652-2025 FSC-klagomål mail.docx", "A 48652-2025")</f>
        <v/>
      </c>
      <c r="X756">
        <f>HYPERLINK("https://klasma.github.io/Logging_2462/tillsyn/A 48652-2025 tillsynsbegäran.docx", "A 48652-2025")</f>
        <v/>
      </c>
      <c r="Y756">
        <f>HYPERLINK("https://klasma.github.io/Logging_2462/tillsynsmail/A 48652-2025 tillsynsbegäran mail.docx", "A 48652-2025")</f>
        <v/>
      </c>
    </row>
    <row r="757" ht="15" customHeight="1">
      <c r="A757" t="inlineStr">
        <is>
          <t>A 60045-2021</t>
        </is>
      </c>
      <c r="B757" s="1" t="n">
        <v>44495.33185185185</v>
      </c>
      <c r="C757" s="1" t="n">
        <v>45971</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43050-2021</t>
        </is>
      </c>
      <c r="B758" s="1" t="n">
        <v>44431</v>
      </c>
      <c r="C758" s="1" t="n">
        <v>45971</v>
      </c>
      <c r="D758" t="inlineStr">
        <is>
          <t>VÄSTERBOTTENS LÄN</t>
        </is>
      </c>
      <c r="E758" t="inlineStr">
        <is>
          <t>NORDMALING</t>
        </is>
      </c>
      <c r="G758" t="n">
        <v>3</v>
      </c>
      <c r="H758" t="n">
        <v>0</v>
      </c>
      <c r="I758" t="n">
        <v>0</v>
      </c>
      <c r="J758" t="n">
        <v>1</v>
      </c>
      <c r="K758" t="n">
        <v>0</v>
      </c>
      <c r="L758" t="n">
        <v>0</v>
      </c>
      <c r="M758" t="n">
        <v>0</v>
      </c>
      <c r="N758" t="n">
        <v>0</v>
      </c>
      <c r="O758" t="n">
        <v>1</v>
      </c>
      <c r="P758" t="n">
        <v>0</v>
      </c>
      <c r="Q758" t="n">
        <v>1</v>
      </c>
      <c r="R758" s="2" t="inlineStr">
        <is>
          <t>Gränsticka</t>
        </is>
      </c>
      <c r="S758">
        <f>HYPERLINK("https://klasma.github.io/Logging_2401/artfynd/A 43050-2021 artfynd.xlsx", "A 43050-2021")</f>
        <v/>
      </c>
      <c r="T758">
        <f>HYPERLINK("https://klasma.github.io/Logging_2401/kartor/A 43050-2021 karta.png", "A 43050-2021")</f>
        <v/>
      </c>
      <c r="V758">
        <f>HYPERLINK("https://klasma.github.io/Logging_2401/klagomål/A 43050-2021 FSC-klagomål.docx", "A 43050-2021")</f>
        <v/>
      </c>
      <c r="W758">
        <f>HYPERLINK("https://klasma.github.io/Logging_2401/klagomålsmail/A 43050-2021 FSC-klagomål mail.docx", "A 43050-2021")</f>
        <v/>
      </c>
      <c r="X758">
        <f>HYPERLINK("https://klasma.github.io/Logging_2401/tillsyn/A 43050-2021 tillsynsbegäran.docx", "A 43050-2021")</f>
        <v/>
      </c>
      <c r="Y758">
        <f>HYPERLINK("https://klasma.github.io/Logging_2401/tillsynsmail/A 43050-2021 tillsynsbegäran mail.docx", "A 43050-2021")</f>
        <v/>
      </c>
    </row>
    <row r="759" ht="15" customHeight="1">
      <c r="A759" t="inlineStr">
        <is>
          <t>A 66259-2021</t>
        </is>
      </c>
      <c r="B759" s="1" t="n">
        <v>44518</v>
      </c>
      <c r="C759" s="1" t="n">
        <v>45971</v>
      </c>
      <c r="D759" t="inlineStr">
        <is>
          <t>VÄSTERBOTTENS LÄN</t>
        </is>
      </c>
      <c r="E759" t="inlineStr">
        <is>
          <t>VILHELMINA</t>
        </is>
      </c>
      <c r="G759" t="n">
        <v>14.6</v>
      </c>
      <c r="H759" t="n">
        <v>0</v>
      </c>
      <c r="I759" t="n">
        <v>0</v>
      </c>
      <c r="J759" t="n">
        <v>1</v>
      </c>
      <c r="K759" t="n">
        <v>0</v>
      </c>
      <c r="L759" t="n">
        <v>0</v>
      </c>
      <c r="M759" t="n">
        <v>0</v>
      </c>
      <c r="N759" t="n">
        <v>0</v>
      </c>
      <c r="O759" t="n">
        <v>1</v>
      </c>
      <c r="P759" t="n">
        <v>0</v>
      </c>
      <c r="Q759" t="n">
        <v>1</v>
      </c>
      <c r="R759" s="2" t="inlineStr">
        <is>
          <t>Skogshare</t>
        </is>
      </c>
      <c r="S759">
        <f>HYPERLINK("https://klasma.github.io/Logging_2462/artfynd/A 66259-2021 artfynd.xlsx", "A 66259-2021")</f>
        <v/>
      </c>
      <c r="T759">
        <f>HYPERLINK("https://klasma.github.io/Logging_2462/kartor/A 66259-2021 karta.png", "A 66259-2021")</f>
        <v/>
      </c>
      <c r="V759">
        <f>HYPERLINK("https://klasma.github.io/Logging_2462/klagomål/A 66259-2021 FSC-klagomål.docx", "A 66259-2021")</f>
        <v/>
      </c>
      <c r="W759">
        <f>HYPERLINK("https://klasma.github.io/Logging_2462/klagomålsmail/A 66259-2021 FSC-klagomål mail.docx", "A 66259-2021")</f>
        <v/>
      </c>
      <c r="X759">
        <f>HYPERLINK("https://klasma.github.io/Logging_2462/tillsyn/A 66259-2021 tillsynsbegäran.docx", "A 66259-2021")</f>
        <v/>
      </c>
      <c r="Y759">
        <f>HYPERLINK("https://klasma.github.io/Logging_2462/tillsynsmail/A 66259-2021 tillsynsbegäran mail.docx", "A 66259-2021")</f>
        <v/>
      </c>
    </row>
    <row r="760" ht="15" customHeight="1">
      <c r="A760" t="inlineStr">
        <is>
          <t>A 38393-2021</t>
        </is>
      </c>
      <c r="B760" s="1" t="n">
        <v>44406</v>
      </c>
      <c r="C760" s="1" t="n">
        <v>45971</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38396-2021</t>
        </is>
      </c>
      <c r="B761" s="1" t="n">
        <v>44406</v>
      </c>
      <c r="C761" s="1" t="n">
        <v>45971</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38437-2021</t>
        </is>
      </c>
      <c r="B762" s="1" t="n">
        <v>44406</v>
      </c>
      <c r="C762" s="1" t="n">
        <v>45971</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64185-2020</t>
        </is>
      </c>
      <c r="B763" s="1" t="n">
        <v>44167</v>
      </c>
      <c r="C763" s="1" t="n">
        <v>45971</v>
      </c>
      <c r="D763" t="inlineStr">
        <is>
          <t>VÄSTERBOTTENS LÄN</t>
        </is>
      </c>
      <c r="E763" t="inlineStr">
        <is>
          <t>NORDMALING</t>
        </is>
      </c>
      <c r="F763" t="inlineStr">
        <is>
          <t>SCA</t>
        </is>
      </c>
      <c r="G763" t="n">
        <v>1.7</v>
      </c>
      <c r="H763" t="n">
        <v>0</v>
      </c>
      <c r="I763" t="n">
        <v>0</v>
      </c>
      <c r="J763" t="n">
        <v>1</v>
      </c>
      <c r="K763" t="n">
        <v>0</v>
      </c>
      <c r="L763" t="n">
        <v>0</v>
      </c>
      <c r="M763" t="n">
        <v>0</v>
      </c>
      <c r="N763" t="n">
        <v>0</v>
      </c>
      <c r="O763" t="n">
        <v>1</v>
      </c>
      <c r="P763" t="n">
        <v>0</v>
      </c>
      <c r="Q763" t="n">
        <v>1</v>
      </c>
      <c r="R763" s="2" t="inlineStr">
        <is>
          <t>Gränsticka</t>
        </is>
      </c>
      <c r="S763">
        <f>HYPERLINK("https://klasma.github.io/Logging_2401/artfynd/A 64185-2020 artfynd.xlsx", "A 64185-2020")</f>
        <v/>
      </c>
      <c r="T763">
        <f>HYPERLINK("https://klasma.github.io/Logging_2401/kartor/A 64185-2020 karta.png", "A 64185-2020")</f>
        <v/>
      </c>
      <c r="V763">
        <f>HYPERLINK("https://klasma.github.io/Logging_2401/klagomål/A 64185-2020 FSC-klagomål.docx", "A 64185-2020")</f>
        <v/>
      </c>
      <c r="W763">
        <f>HYPERLINK("https://klasma.github.io/Logging_2401/klagomålsmail/A 64185-2020 FSC-klagomål mail.docx", "A 64185-2020")</f>
        <v/>
      </c>
      <c r="X763">
        <f>HYPERLINK("https://klasma.github.io/Logging_2401/tillsyn/A 64185-2020 tillsynsbegäran.docx", "A 64185-2020")</f>
        <v/>
      </c>
      <c r="Y763">
        <f>HYPERLINK("https://klasma.github.io/Logging_2401/tillsynsmail/A 64185-2020 tillsynsbegäran mail.docx", "A 64185-2020")</f>
        <v/>
      </c>
    </row>
    <row r="764" ht="15" customHeight="1">
      <c r="A764" t="inlineStr">
        <is>
          <t>A 3929-2022</t>
        </is>
      </c>
      <c r="B764" s="1" t="n">
        <v>44587.54111111111</v>
      </c>
      <c r="C764" s="1" t="n">
        <v>45971</v>
      </c>
      <c r="D764" t="inlineStr">
        <is>
          <t>VÄSTERBOTTENS LÄN</t>
        </is>
      </c>
      <c r="E764" t="inlineStr">
        <is>
          <t>LYCKSELE</t>
        </is>
      </c>
      <c r="F764" t="inlineStr">
        <is>
          <t>Sveaskog</t>
        </is>
      </c>
      <c r="G764" t="n">
        <v>6.7</v>
      </c>
      <c r="H764" t="n">
        <v>0</v>
      </c>
      <c r="I764" t="n">
        <v>0</v>
      </c>
      <c r="J764" t="n">
        <v>1</v>
      </c>
      <c r="K764" t="n">
        <v>0</v>
      </c>
      <c r="L764" t="n">
        <v>0</v>
      </c>
      <c r="M764" t="n">
        <v>0</v>
      </c>
      <c r="N764" t="n">
        <v>0</v>
      </c>
      <c r="O764" t="n">
        <v>1</v>
      </c>
      <c r="P764" t="n">
        <v>0</v>
      </c>
      <c r="Q764" t="n">
        <v>1</v>
      </c>
      <c r="R764" s="2" t="inlineStr">
        <is>
          <t>Kolflarnlav</t>
        </is>
      </c>
      <c r="S764">
        <f>HYPERLINK("https://klasma.github.io/Logging_2481/artfynd/A 3929-2022 artfynd.xlsx", "A 3929-2022")</f>
        <v/>
      </c>
      <c r="T764">
        <f>HYPERLINK("https://klasma.github.io/Logging_2481/kartor/A 3929-2022 karta.png", "A 3929-2022")</f>
        <v/>
      </c>
      <c r="V764">
        <f>HYPERLINK("https://klasma.github.io/Logging_2481/klagomål/A 3929-2022 FSC-klagomål.docx", "A 3929-2022")</f>
        <v/>
      </c>
      <c r="W764">
        <f>HYPERLINK("https://klasma.github.io/Logging_2481/klagomålsmail/A 3929-2022 FSC-klagomål mail.docx", "A 3929-2022")</f>
        <v/>
      </c>
      <c r="X764">
        <f>HYPERLINK("https://klasma.github.io/Logging_2481/tillsyn/A 3929-2022 tillsynsbegäran.docx", "A 3929-2022")</f>
        <v/>
      </c>
      <c r="Y764">
        <f>HYPERLINK("https://klasma.github.io/Logging_2481/tillsynsmail/A 3929-2022 tillsynsbegäran mail.docx", "A 3929-2022")</f>
        <v/>
      </c>
    </row>
    <row r="765" ht="15" customHeight="1">
      <c r="A765" t="inlineStr">
        <is>
          <t>A 40328-2022</t>
        </is>
      </c>
      <c r="B765" s="1" t="n">
        <v>44823</v>
      </c>
      <c r="C765" s="1" t="n">
        <v>45971</v>
      </c>
      <c r="D765" t="inlineStr">
        <is>
          <t>VÄSTERBOTTENS LÄN</t>
        </is>
      </c>
      <c r="E765" t="inlineStr">
        <is>
          <t>ÅSELE</t>
        </is>
      </c>
      <c r="G765" t="n">
        <v>5</v>
      </c>
      <c r="H765" t="n">
        <v>1</v>
      </c>
      <c r="I765" t="n">
        <v>0</v>
      </c>
      <c r="J765" t="n">
        <v>1</v>
      </c>
      <c r="K765" t="n">
        <v>0</v>
      </c>
      <c r="L765" t="n">
        <v>0</v>
      </c>
      <c r="M765" t="n">
        <v>0</v>
      </c>
      <c r="N765" t="n">
        <v>0</v>
      </c>
      <c r="O765" t="n">
        <v>1</v>
      </c>
      <c r="P765" t="n">
        <v>0</v>
      </c>
      <c r="Q765" t="n">
        <v>1</v>
      </c>
      <c r="R765" s="2" t="inlineStr">
        <is>
          <t>Utter</t>
        </is>
      </c>
      <c r="S765">
        <f>HYPERLINK("https://klasma.github.io/Logging_2463/artfynd/A 40328-2022 artfynd.xlsx", "A 40328-2022")</f>
        <v/>
      </c>
      <c r="T765">
        <f>HYPERLINK("https://klasma.github.io/Logging_2463/kartor/A 40328-2022 karta.png", "A 40328-2022")</f>
        <v/>
      </c>
      <c r="V765">
        <f>HYPERLINK("https://klasma.github.io/Logging_2463/klagomål/A 40328-2022 FSC-klagomål.docx", "A 40328-2022")</f>
        <v/>
      </c>
      <c r="W765">
        <f>HYPERLINK("https://klasma.github.io/Logging_2463/klagomålsmail/A 40328-2022 FSC-klagomål mail.docx", "A 40328-2022")</f>
        <v/>
      </c>
      <c r="X765">
        <f>HYPERLINK("https://klasma.github.io/Logging_2463/tillsyn/A 40328-2022 tillsynsbegäran.docx", "A 40328-2022")</f>
        <v/>
      </c>
      <c r="Y765">
        <f>HYPERLINK("https://klasma.github.io/Logging_2463/tillsynsmail/A 40328-2022 tillsynsbegäran mail.docx", "A 40328-2022")</f>
        <v/>
      </c>
    </row>
    <row r="766" ht="15" customHeight="1">
      <c r="A766" t="inlineStr">
        <is>
          <t>A 6711-2022</t>
        </is>
      </c>
      <c r="B766" s="1" t="n">
        <v>44602</v>
      </c>
      <c r="C766" s="1" t="n">
        <v>45971</v>
      </c>
      <c r="D766" t="inlineStr">
        <is>
          <t>VÄSTERBOTTENS LÄN</t>
        </is>
      </c>
      <c r="E766" t="inlineStr">
        <is>
          <t>UMEÅ</t>
        </is>
      </c>
      <c r="G766" t="n">
        <v>9.6</v>
      </c>
      <c r="H766" t="n">
        <v>1</v>
      </c>
      <c r="I766" t="n">
        <v>0</v>
      </c>
      <c r="J766" t="n">
        <v>1</v>
      </c>
      <c r="K766" t="n">
        <v>0</v>
      </c>
      <c r="L766" t="n">
        <v>0</v>
      </c>
      <c r="M766" t="n">
        <v>0</v>
      </c>
      <c r="N766" t="n">
        <v>0</v>
      </c>
      <c r="O766" t="n">
        <v>1</v>
      </c>
      <c r="P766" t="n">
        <v>0</v>
      </c>
      <c r="Q766" t="n">
        <v>1</v>
      </c>
      <c r="R766" s="2" t="inlineStr">
        <is>
          <t>Blå kärrhök</t>
        </is>
      </c>
      <c r="S766">
        <f>HYPERLINK("https://klasma.github.io/Logging_2480/artfynd/A 6711-2022 artfynd.xlsx", "A 6711-2022")</f>
        <v/>
      </c>
      <c r="T766">
        <f>HYPERLINK("https://klasma.github.io/Logging_2480/kartor/A 6711-2022 karta.png", "A 6711-2022")</f>
        <v/>
      </c>
      <c r="V766">
        <f>HYPERLINK("https://klasma.github.io/Logging_2480/klagomål/A 6711-2022 FSC-klagomål.docx", "A 6711-2022")</f>
        <v/>
      </c>
      <c r="W766">
        <f>HYPERLINK("https://klasma.github.io/Logging_2480/klagomålsmail/A 6711-2022 FSC-klagomål mail.docx", "A 6711-2022")</f>
        <v/>
      </c>
      <c r="X766">
        <f>HYPERLINK("https://klasma.github.io/Logging_2480/tillsyn/A 6711-2022 tillsynsbegäran.docx", "A 6711-2022")</f>
        <v/>
      </c>
      <c r="Y766">
        <f>HYPERLINK("https://klasma.github.io/Logging_2480/tillsynsmail/A 6711-2022 tillsynsbegäran mail.docx", "A 6711-2022")</f>
        <v/>
      </c>
      <c r="Z766">
        <f>HYPERLINK("https://klasma.github.io/Logging_2480/fåglar/A 6711-2022 prioriterade fågelarter.docx", "A 6711-2022")</f>
        <v/>
      </c>
    </row>
    <row r="767" ht="15" customHeight="1">
      <c r="A767" t="inlineStr">
        <is>
          <t>A 69915-2021</t>
        </is>
      </c>
      <c r="B767" s="1" t="n">
        <v>44532</v>
      </c>
      <c r="C767" s="1" t="n">
        <v>45971</v>
      </c>
      <c r="D767" t="inlineStr">
        <is>
          <t>VÄSTERBOTTENS LÄN</t>
        </is>
      </c>
      <c r="E767" t="inlineStr">
        <is>
          <t>VILHELMINA</t>
        </is>
      </c>
      <c r="F767" t="inlineStr">
        <is>
          <t>SCA</t>
        </is>
      </c>
      <c r="G767" t="n">
        <v>3</v>
      </c>
      <c r="H767" t="n">
        <v>1</v>
      </c>
      <c r="I767" t="n">
        <v>0</v>
      </c>
      <c r="J767" t="n">
        <v>1</v>
      </c>
      <c r="K767" t="n">
        <v>0</v>
      </c>
      <c r="L767" t="n">
        <v>0</v>
      </c>
      <c r="M767" t="n">
        <v>0</v>
      </c>
      <c r="N767" t="n">
        <v>0</v>
      </c>
      <c r="O767" t="n">
        <v>1</v>
      </c>
      <c r="P767" t="n">
        <v>0</v>
      </c>
      <c r="Q767" t="n">
        <v>1</v>
      </c>
      <c r="R767" s="2" t="inlineStr">
        <is>
          <t>Tretåig hackspett</t>
        </is>
      </c>
      <c r="S767">
        <f>HYPERLINK("https://klasma.github.io/Logging_2462/artfynd/A 69915-2021 artfynd.xlsx", "A 69915-2021")</f>
        <v/>
      </c>
      <c r="T767">
        <f>HYPERLINK("https://klasma.github.io/Logging_2462/kartor/A 69915-2021 karta.png", "A 69915-2021")</f>
        <v/>
      </c>
      <c r="V767">
        <f>HYPERLINK("https://klasma.github.io/Logging_2462/klagomål/A 69915-2021 FSC-klagomål.docx", "A 69915-2021")</f>
        <v/>
      </c>
      <c r="W767">
        <f>HYPERLINK("https://klasma.github.io/Logging_2462/klagomålsmail/A 69915-2021 FSC-klagomål mail.docx", "A 69915-2021")</f>
        <v/>
      </c>
      <c r="X767">
        <f>HYPERLINK("https://klasma.github.io/Logging_2462/tillsyn/A 69915-2021 tillsynsbegäran.docx", "A 69915-2021")</f>
        <v/>
      </c>
      <c r="Y767">
        <f>HYPERLINK("https://klasma.github.io/Logging_2462/tillsynsmail/A 69915-2021 tillsynsbegäran mail.docx", "A 69915-2021")</f>
        <v/>
      </c>
      <c r="Z767">
        <f>HYPERLINK("https://klasma.github.io/Logging_2462/fåglar/A 69915-2021 prioriterade fågelarter.docx", "A 69915-2021")</f>
        <v/>
      </c>
    </row>
    <row r="768" ht="15" customHeight="1">
      <c r="A768" t="inlineStr">
        <is>
          <t>A 3816-2021</t>
        </is>
      </c>
      <c r="B768" s="1" t="n">
        <v>44221</v>
      </c>
      <c r="C768" s="1" t="n">
        <v>45971</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38390-2021</t>
        </is>
      </c>
      <c r="B769" s="1" t="n">
        <v>44406</v>
      </c>
      <c r="C769" s="1" t="n">
        <v>45971</v>
      </c>
      <c r="D769" t="inlineStr">
        <is>
          <t>VÄSTERBOTTENS LÄN</t>
        </is>
      </c>
      <c r="E769" t="inlineStr">
        <is>
          <t>UMEÅ</t>
        </is>
      </c>
      <c r="F769" t="inlineStr">
        <is>
          <t>Övriga statliga verk och myndigheter</t>
        </is>
      </c>
      <c r="G769" t="n">
        <v>1.5</v>
      </c>
      <c r="H769" t="n">
        <v>0</v>
      </c>
      <c r="I769" t="n">
        <v>0</v>
      </c>
      <c r="J769" t="n">
        <v>1</v>
      </c>
      <c r="K769" t="n">
        <v>0</v>
      </c>
      <c r="L769" t="n">
        <v>0</v>
      </c>
      <c r="M769" t="n">
        <v>0</v>
      </c>
      <c r="N769" t="n">
        <v>0</v>
      </c>
      <c r="O769" t="n">
        <v>1</v>
      </c>
      <c r="P769" t="n">
        <v>0</v>
      </c>
      <c r="Q769" t="n">
        <v>1</v>
      </c>
      <c r="R769" s="2" t="inlineStr">
        <is>
          <t>Ullticka</t>
        </is>
      </c>
      <c r="S769">
        <f>HYPERLINK("https://klasma.github.io/Logging_2480/artfynd/A 38390-2021 artfynd.xlsx", "A 38390-2021")</f>
        <v/>
      </c>
      <c r="T769">
        <f>HYPERLINK("https://klasma.github.io/Logging_2480/kartor/A 38390-2021 karta.png", "A 38390-2021")</f>
        <v/>
      </c>
      <c r="V769">
        <f>HYPERLINK("https://klasma.github.io/Logging_2480/klagomål/A 38390-2021 FSC-klagomål.docx", "A 38390-2021")</f>
        <v/>
      </c>
      <c r="W769">
        <f>HYPERLINK("https://klasma.github.io/Logging_2480/klagomålsmail/A 38390-2021 FSC-klagomål mail.docx", "A 38390-2021")</f>
        <v/>
      </c>
      <c r="X769">
        <f>HYPERLINK("https://klasma.github.io/Logging_2480/tillsyn/A 38390-2021 tillsynsbegäran.docx", "A 38390-2021")</f>
        <v/>
      </c>
      <c r="Y769">
        <f>HYPERLINK("https://klasma.github.io/Logging_2480/tillsynsmail/A 38390-2021 tillsynsbegäran mail.docx", "A 38390-2021")</f>
        <v/>
      </c>
    </row>
    <row r="770" ht="15" customHeight="1">
      <c r="A770" t="inlineStr">
        <is>
          <t>A 60833-2021</t>
        </is>
      </c>
      <c r="B770" s="1" t="n">
        <v>44497</v>
      </c>
      <c r="C770" s="1" t="n">
        <v>45971</v>
      </c>
      <c r="D770" t="inlineStr">
        <is>
          <t>VÄSTERBOTTENS LÄN</t>
        </is>
      </c>
      <c r="E770" t="inlineStr">
        <is>
          <t>ROBERTSFORS</t>
        </is>
      </c>
      <c r="G770" t="n">
        <v>1.9</v>
      </c>
      <c r="H770" t="n">
        <v>0</v>
      </c>
      <c r="I770" t="n">
        <v>1</v>
      </c>
      <c r="J770" t="n">
        <v>0</v>
      </c>
      <c r="K770" t="n">
        <v>0</v>
      </c>
      <c r="L770" t="n">
        <v>0</v>
      </c>
      <c r="M770" t="n">
        <v>0</v>
      </c>
      <c r="N770" t="n">
        <v>0</v>
      </c>
      <c r="O770" t="n">
        <v>0</v>
      </c>
      <c r="P770" t="n">
        <v>0</v>
      </c>
      <c r="Q770" t="n">
        <v>1</v>
      </c>
      <c r="R770" s="2" t="inlineStr">
        <is>
          <t>Stuplav</t>
        </is>
      </c>
      <c r="S770">
        <f>HYPERLINK("https://klasma.github.io/Logging_2409/artfynd/A 60833-2021 artfynd.xlsx", "A 60833-2021")</f>
        <v/>
      </c>
      <c r="T770">
        <f>HYPERLINK("https://klasma.github.io/Logging_2409/kartor/A 60833-2021 karta.png", "A 60833-2021")</f>
        <v/>
      </c>
      <c r="V770">
        <f>HYPERLINK("https://klasma.github.io/Logging_2409/klagomål/A 60833-2021 FSC-klagomål.docx", "A 60833-2021")</f>
        <v/>
      </c>
      <c r="W770">
        <f>HYPERLINK("https://klasma.github.io/Logging_2409/klagomålsmail/A 60833-2021 FSC-klagomål mail.docx", "A 60833-2021")</f>
        <v/>
      </c>
      <c r="X770">
        <f>HYPERLINK("https://klasma.github.io/Logging_2409/tillsyn/A 60833-2021 tillsynsbegäran.docx", "A 60833-2021")</f>
        <v/>
      </c>
      <c r="Y770">
        <f>HYPERLINK("https://klasma.github.io/Logging_2409/tillsynsmail/A 60833-2021 tillsynsbegäran mail.docx", "A 60833-2021")</f>
        <v/>
      </c>
    </row>
    <row r="771" ht="15" customHeight="1">
      <c r="A771" t="inlineStr">
        <is>
          <t>A 3502-2021</t>
        </is>
      </c>
      <c r="B771" s="1" t="n">
        <v>44218</v>
      </c>
      <c r="C771" s="1" t="n">
        <v>45971</v>
      </c>
      <c r="D771" t="inlineStr">
        <is>
          <t>VÄSTERBOTTENS LÄN</t>
        </is>
      </c>
      <c r="E771" t="inlineStr">
        <is>
          <t>STORUMAN</t>
        </is>
      </c>
      <c r="F771" t="inlineStr">
        <is>
          <t>Sveaskog</t>
        </is>
      </c>
      <c r="G771" t="n">
        <v>4.3</v>
      </c>
      <c r="H771" t="n">
        <v>0</v>
      </c>
      <c r="I771" t="n">
        <v>1</v>
      </c>
      <c r="J771" t="n">
        <v>0</v>
      </c>
      <c r="K771" t="n">
        <v>0</v>
      </c>
      <c r="L771" t="n">
        <v>0</v>
      </c>
      <c r="M771" t="n">
        <v>0</v>
      </c>
      <c r="N771" t="n">
        <v>0</v>
      </c>
      <c r="O771" t="n">
        <v>0</v>
      </c>
      <c r="P771" t="n">
        <v>0</v>
      </c>
      <c r="Q771" t="n">
        <v>1</v>
      </c>
      <c r="R771" s="2" t="inlineStr">
        <is>
          <t>Stuplav</t>
        </is>
      </c>
      <c r="S771">
        <f>HYPERLINK("https://klasma.github.io/Logging_2421/artfynd/A 3502-2021 artfynd.xlsx", "A 3502-2021")</f>
        <v/>
      </c>
      <c r="T771">
        <f>HYPERLINK("https://klasma.github.io/Logging_2421/kartor/A 3502-2021 karta.png", "A 3502-2021")</f>
        <v/>
      </c>
      <c r="V771">
        <f>HYPERLINK("https://klasma.github.io/Logging_2421/klagomål/A 3502-2021 FSC-klagomål.docx", "A 3502-2021")</f>
        <v/>
      </c>
      <c r="W771">
        <f>HYPERLINK("https://klasma.github.io/Logging_2421/klagomålsmail/A 3502-2021 FSC-klagomål mail.docx", "A 3502-2021")</f>
        <v/>
      </c>
      <c r="X771">
        <f>HYPERLINK("https://klasma.github.io/Logging_2421/tillsyn/A 3502-2021 tillsynsbegäran.docx", "A 3502-2021")</f>
        <v/>
      </c>
      <c r="Y771">
        <f>HYPERLINK("https://klasma.github.io/Logging_2421/tillsynsmail/A 3502-2021 tillsynsbegäran mail.docx", "A 3502-2021")</f>
        <v/>
      </c>
    </row>
    <row r="772" ht="15" customHeight="1">
      <c r="A772" t="inlineStr">
        <is>
          <t>A 14857-2021</t>
        </is>
      </c>
      <c r="B772" s="1" t="n">
        <v>44280</v>
      </c>
      <c r="C772" s="1" t="n">
        <v>45971</v>
      </c>
      <c r="D772" t="inlineStr">
        <is>
          <t>VÄSTERBOTTENS LÄN</t>
        </is>
      </c>
      <c r="E772" t="inlineStr">
        <is>
          <t>SKELLEFTEÅ</t>
        </is>
      </c>
      <c r="F772" t="inlineStr">
        <is>
          <t>SCA</t>
        </is>
      </c>
      <c r="G772" t="n">
        <v>3.7</v>
      </c>
      <c r="H772" t="n">
        <v>1</v>
      </c>
      <c r="I772" t="n">
        <v>0</v>
      </c>
      <c r="J772" t="n">
        <v>1</v>
      </c>
      <c r="K772" t="n">
        <v>0</v>
      </c>
      <c r="L772" t="n">
        <v>0</v>
      </c>
      <c r="M772" t="n">
        <v>0</v>
      </c>
      <c r="N772" t="n">
        <v>0</v>
      </c>
      <c r="O772" t="n">
        <v>1</v>
      </c>
      <c r="P772" t="n">
        <v>0</v>
      </c>
      <c r="Q772" t="n">
        <v>1</v>
      </c>
      <c r="R772" s="2" t="inlineStr">
        <is>
          <t>Tretåig hackspett</t>
        </is>
      </c>
      <c r="S772">
        <f>HYPERLINK("https://klasma.github.io/Logging_2482/artfynd/A 14857-2021 artfynd.xlsx", "A 14857-2021")</f>
        <v/>
      </c>
      <c r="T772">
        <f>HYPERLINK("https://klasma.github.io/Logging_2482/kartor/A 14857-2021 karta.png", "A 14857-2021")</f>
        <v/>
      </c>
      <c r="V772">
        <f>HYPERLINK("https://klasma.github.io/Logging_2482/klagomål/A 14857-2021 FSC-klagomål.docx", "A 14857-2021")</f>
        <v/>
      </c>
      <c r="W772">
        <f>HYPERLINK("https://klasma.github.io/Logging_2482/klagomålsmail/A 14857-2021 FSC-klagomål mail.docx", "A 14857-2021")</f>
        <v/>
      </c>
      <c r="X772">
        <f>HYPERLINK("https://klasma.github.io/Logging_2482/tillsyn/A 14857-2021 tillsynsbegäran.docx", "A 14857-2021")</f>
        <v/>
      </c>
      <c r="Y772">
        <f>HYPERLINK("https://klasma.github.io/Logging_2482/tillsynsmail/A 14857-2021 tillsynsbegäran mail.docx", "A 14857-2021")</f>
        <v/>
      </c>
      <c r="Z772">
        <f>HYPERLINK("https://klasma.github.io/Logging_2482/fåglar/A 14857-2021 prioriterade fågelarter.docx", "A 14857-2021")</f>
        <v/>
      </c>
    </row>
    <row r="773" ht="15" customHeight="1">
      <c r="A773" t="inlineStr">
        <is>
          <t>A 38545-2021</t>
        </is>
      </c>
      <c r="B773" s="1" t="n">
        <v>44407</v>
      </c>
      <c r="C773" s="1" t="n">
        <v>45971</v>
      </c>
      <c r="D773" t="inlineStr">
        <is>
          <t>VÄSTERBOTTENS LÄN</t>
        </is>
      </c>
      <c r="E773" t="inlineStr">
        <is>
          <t>UMEÅ</t>
        </is>
      </c>
      <c r="F773" t="inlineStr">
        <is>
          <t>Kommuner</t>
        </is>
      </c>
      <c r="G773" t="n">
        <v>0.6</v>
      </c>
      <c r="H773" t="n">
        <v>1</v>
      </c>
      <c r="I773" t="n">
        <v>0</v>
      </c>
      <c r="J773" t="n">
        <v>1</v>
      </c>
      <c r="K773" t="n">
        <v>0</v>
      </c>
      <c r="L773" t="n">
        <v>0</v>
      </c>
      <c r="M773" t="n">
        <v>0</v>
      </c>
      <c r="N773" t="n">
        <v>0</v>
      </c>
      <c r="O773" t="n">
        <v>1</v>
      </c>
      <c r="P773" t="n">
        <v>0</v>
      </c>
      <c r="Q773" t="n">
        <v>1</v>
      </c>
      <c r="R773" s="2" t="inlineStr">
        <is>
          <t>Järpe</t>
        </is>
      </c>
      <c r="S773">
        <f>HYPERLINK("https://klasma.github.io/Logging_2480/artfynd/A 38545-2021 artfynd.xlsx", "A 38545-2021")</f>
        <v/>
      </c>
      <c r="T773">
        <f>HYPERLINK("https://klasma.github.io/Logging_2480/kartor/A 38545-2021 karta.png", "A 38545-2021")</f>
        <v/>
      </c>
      <c r="V773">
        <f>HYPERLINK("https://klasma.github.io/Logging_2480/klagomål/A 38545-2021 FSC-klagomål.docx", "A 38545-2021")</f>
        <v/>
      </c>
      <c r="W773">
        <f>HYPERLINK("https://klasma.github.io/Logging_2480/klagomålsmail/A 38545-2021 FSC-klagomål mail.docx", "A 38545-2021")</f>
        <v/>
      </c>
      <c r="X773">
        <f>HYPERLINK("https://klasma.github.io/Logging_2480/tillsyn/A 38545-2021 tillsynsbegäran.docx", "A 38545-2021")</f>
        <v/>
      </c>
      <c r="Y773">
        <f>HYPERLINK("https://klasma.github.io/Logging_2480/tillsynsmail/A 38545-2021 tillsynsbegäran mail.docx", "A 38545-2021")</f>
        <v/>
      </c>
      <c r="Z773">
        <f>HYPERLINK("https://klasma.github.io/Logging_2480/fåglar/A 38545-2021 prioriterade fågelarter.docx", "A 38545-2021")</f>
        <v/>
      </c>
    </row>
    <row r="774" ht="15" customHeight="1">
      <c r="A774" t="inlineStr">
        <is>
          <t>A 38681-2021</t>
        </is>
      </c>
      <c r="B774" s="1" t="n">
        <v>44407</v>
      </c>
      <c r="C774" s="1" t="n">
        <v>45971</v>
      </c>
      <c r="D774" t="inlineStr">
        <is>
          <t>VÄSTERBOTTENS LÄN</t>
        </is>
      </c>
      <c r="E774" t="inlineStr">
        <is>
          <t>UMEÅ</t>
        </is>
      </c>
      <c r="F774" t="inlineStr">
        <is>
          <t>Kommuner</t>
        </is>
      </c>
      <c r="G774" t="n">
        <v>1</v>
      </c>
      <c r="H774" t="n">
        <v>1</v>
      </c>
      <c r="I774" t="n">
        <v>0</v>
      </c>
      <c r="J774" t="n">
        <v>1</v>
      </c>
      <c r="K774" t="n">
        <v>0</v>
      </c>
      <c r="L774" t="n">
        <v>0</v>
      </c>
      <c r="M774" t="n">
        <v>0</v>
      </c>
      <c r="N774" t="n">
        <v>0</v>
      </c>
      <c r="O774" t="n">
        <v>1</v>
      </c>
      <c r="P774" t="n">
        <v>0</v>
      </c>
      <c r="Q774" t="n">
        <v>1</v>
      </c>
      <c r="R774" s="2" t="inlineStr">
        <is>
          <t>Talltita</t>
        </is>
      </c>
      <c r="S774">
        <f>HYPERLINK("https://klasma.github.io/Logging_2480/artfynd/A 38681-2021 artfynd.xlsx", "A 38681-2021")</f>
        <v/>
      </c>
      <c r="T774">
        <f>HYPERLINK("https://klasma.github.io/Logging_2480/kartor/A 38681-2021 karta.png", "A 38681-2021")</f>
        <v/>
      </c>
      <c r="V774">
        <f>HYPERLINK("https://klasma.github.io/Logging_2480/klagomål/A 38681-2021 FSC-klagomål.docx", "A 38681-2021")</f>
        <v/>
      </c>
      <c r="W774">
        <f>HYPERLINK("https://klasma.github.io/Logging_2480/klagomålsmail/A 38681-2021 FSC-klagomål mail.docx", "A 38681-2021")</f>
        <v/>
      </c>
      <c r="X774">
        <f>HYPERLINK("https://klasma.github.io/Logging_2480/tillsyn/A 38681-2021 tillsynsbegäran.docx", "A 38681-2021")</f>
        <v/>
      </c>
      <c r="Y774">
        <f>HYPERLINK("https://klasma.github.io/Logging_2480/tillsynsmail/A 38681-2021 tillsynsbegäran mail.docx", "A 38681-2021")</f>
        <v/>
      </c>
      <c r="Z774">
        <f>HYPERLINK("https://klasma.github.io/Logging_2480/fåglar/A 38681-2021 prioriterade fågelarter.docx", "A 38681-2021")</f>
        <v/>
      </c>
    </row>
    <row r="775" ht="15" customHeight="1">
      <c r="A775" t="inlineStr">
        <is>
          <t>A 60310-2021</t>
        </is>
      </c>
      <c r="B775" s="1" t="n">
        <v>44495</v>
      </c>
      <c r="C775" s="1" t="n">
        <v>45971</v>
      </c>
      <c r="D775" t="inlineStr">
        <is>
          <t>VÄSTERBOTTENS LÄN</t>
        </is>
      </c>
      <c r="E775" t="inlineStr">
        <is>
          <t>NORDMALING</t>
        </is>
      </c>
      <c r="F775" t="inlineStr">
        <is>
          <t>SCA</t>
        </is>
      </c>
      <c r="G775" t="n">
        <v>1.2</v>
      </c>
      <c r="H775" t="n">
        <v>0</v>
      </c>
      <c r="I775" t="n">
        <v>1</v>
      </c>
      <c r="J775" t="n">
        <v>0</v>
      </c>
      <c r="K775" t="n">
        <v>0</v>
      </c>
      <c r="L775" t="n">
        <v>0</v>
      </c>
      <c r="M775" t="n">
        <v>0</v>
      </c>
      <c r="N775" t="n">
        <v>0</v>
      </c>
      <c r="O775" t="n">
        <v>0</v>
      </c>
      <c r="P775" t="n">
        <v>0</v>
      </c>
      <c r="Q775" t="n">
        <v>1</v>
      </c>
      <c r="R775" s="2" t="inlineStr">
        <is>
          <t>Stor aspticka</t>
        </is>
      </c>
      <c r="S775">
        <f>HYPERLINK("https://klasma.github.io/Logging_2401/artfynd/A 60310-2021 artfynd.xlsx", "A 60310-2021")</f>
        <v/>
      </c>
      <c r="T775">
        <f>HYPERLINK("https://klasma.github.io/Logging_2401/kartor/A 60310-2021 karta.png", "A 60310-2021")</f>
        <v/>
      </c>
      <c r="V775">
        <f>HYPERLINK("https://klasma.github.io/Logging_2401/klagomål/A 60310-2021 FSC-klagomål.docx", "A 60310-2021")</f>
        <v/>
      </c>
      <c r="W775">
        <f>HYPERLINK("https://klasma.github.io/Logging_2401/klagomålsmail/A 60310-2021 FSC-klagomål mail.docx", "A 60310-2021")</f>
        <v/>
      </c>
      <c r="X775">
        <f>HYPERLINK("https://klasma.github.io/Logging_2401/tillsyn/A 60310-2021 tillsynsbegäran.docx", "A 60310-2021")</f>
        <v/>
      </c>
      <c r="Y775">
        <f>HYPERLINK("https://klasma.github.io/Logging_2401/tillsynsmail/A 60310-2021 tillsynsbegäran mail.docx", "A 60310-2021")</f>
        <v/>
      </c>
    </row>
    <row r="776" ht="15" customHeight="1">
      <c r="A776" t="inlineStr">
        <is>
          <t>A 27804-2021</t>
        </is>
      </c>
      <c r="B776" s="1" t="n">
        <v>44354</v>
      </c>
      <c r="C776" s="1" t="n">
        <v>45971</v>
      </c>
      <c r="D776" t="inlineStr">
        <is>
          <t>VÄSTERBOTTENS LÄN</t>
        </is>
      </c>
      <c r="E776" t="inlineStr">
        <is>
          <t>UMEÅ</t>
        </is>
      </c>
      <c r="G776" t="n">
        <v>0.8</v>
      </c>
      <c r="H776" t="n">
        <v>0</v>
      </c>
      <c r="I776" t="n">
        <v>0</v>
      </c>
      <c r="J776" t="n">
        <v>1</v>
      </c>
      <c r="K776" t="n">
        <v>0</v>
      </c>
      <c r="L776" t="n">
        <v>0</v>
      </c>
      <c r="M776" t="n">
        <v>0</v>
      </c>
      <c r="N776" t="n">
        <v>0</v>
      </c>
      <c r="O776" t="n">
        <v>1</v>
      </c>
      <c r="P776" t="n">
        <v>0</v>
      </c>
      <c r="Q776" t="n">
        <v>1</v>
      </c>
      <c r="R776" s="2" t="inlineStr">
        <is>
          <t>Igelkott</t>
        </is>
      </c>
      <c r="S776">
        <f>HYPERLINK("https://klasma.github.io/Logging_2480/artfynd/A 27804-2021 artfynd.xlsx", "A 27804-2021")</f>
        <v/>
      </c>
      <c r="T776">
        <f>HYPERLINK("https://klasma.github.io/Logging_2480/kartor/A 27804-2021 karta.png", "A 27804-2021")</f>
        <v/>
      </c>
      <c r="V776">
        <f>HYPERLINK("https://klasma.github.io/Logging_2480/klagomål/A 27804-2021 FSC-klagomål.docx", "A 27804-2021")</f>
        <v/>
      </c>
      <c r="W776">
        <f>HYPERLINK("https://klasma.github.io/Logging_2480/klagomålsmail/A 27804-2021 FSC-klagomål mail.docx", "A 27804-2021")</f>
        <v/>
      </c>
      <c r="X776">
        <f>HYPERLINK("https://klasma.github.io/Logging_2480/tillsyn/A 27804-2021 tillsynsbegäran.docx", "A 27804-2021")</f>
        <v/>
      </c>
      <c r="Y776">
        <f>HYPERLINK("https://klasma.github.io/Logging_2480/tillsynsmail/A 27804-2021 tillsynsbegäran mail.docx", "A 27804-2021")</f>
        <v/>
      </c>
    </row>
    <row r="777" ht="15" customHeight="1">
      <c r="A777" t="inlineStr">
        <is>
          <t>A 9073-2022</t>
        </is>
      </c>
      <c r="B777" s="1" t="n">
        <v>44615</v>
      </c>
      <c r="C777" s="1" t="n">
        <v>45971</v>
      </c>
      <c r="D777" t="inlineStr">
        <is>
          <t>VÄSTERBOTTENS LÄN</t>
        </is>
      </c>
      <c r="E777" t="inlineStr">
        <is>
          <t>LYCKSELE</t>
        </is>
      </c>
      <c r="G777" t="n">
        <v>3</v>
      </c>
      <c r="H777" t="n">
        <v>1</v>
      </c>
      <c r="I777" t="n">
        <v>0</v>
      </c>
      <c r="J777" t="n">
        <v>1</v>
      </c>
      <c r="K777" t="n">
        <v>0</v>
      </c>
      <c r="L777" t="n">
        <v>0</v>
      </c>
      <c r="M777" t="n">
        <v>0</v>
      </c>
      <c r="N777" t="n">
        <v>0</v>
      </c>
      <c r="O777" t="n">
        <v>1</v>
      </c>
      <c r="P777" t="n">
        <v>0</v>
      </c>
      <c r="Q777" t="n">
        <v>1</v>
      </c>
      <c r="R777" s="2" t="inlineStr">
        <is>
          <t>Utter</t>
        </is>
      </c>
      <c r="S777">
        <f>HYPERLINK("https://klasma.github.io/Logging_2481/artfynd/A 9073-2022 artfynd.xlsx", "A 9073-2022")</f>
        <v/>
      </c>
      <c r="T777">
        <f>HYPERLINK("https://klasma.github.io/Logging_2481/kartor/A 9073-2022 karta.png", "A 9073-2022")</f>
        <v/>
      </c>
      <c r="V777">
        <f>HYPERLINK("https://klasma.github.io/Logging_2481/klagomål/A 9073-2022 FSC-klagomål.docx", "A 9073-2022")</f>
        <v/>
      </c>
      <c r="W777">
        <f>HYPERLINK("https://klasma.github.io/Logging_2481/klagomålsmail/A 9073-2022 FSC-klagomål mail.docx", "A 9073-2022")</f>
        <v/>
      </c>
      <c r="X777">
        <f>HYPERLINK("https://klasma.github.io/Logging_2481/tillsyn/A 9073-2022 tillsynsbegäran.docx", "A 9073-2022")</f>
        <v/>
      </c>
      <c r="Y777">
        <f>HYPERLINK("https://klasma.github.io/Logging_2481/tillsynsmail/A 9073-2022 tillsynsbegäran mail.docx", "A 9073-2022")</f>
        <v/>
      </c>
    </row>
    <row r="778" ht="15" customHeight="1">
      <c r="A778" t="inlineStr">
        <is>
          <t>A 68291-2020</t>
        </is>
      </c>
      <c r="B778" s="1" t="n">
        <v>44183</v>
      </c>
      <c r="C778" s="1" t="n">
        <v>45971</v>
      </c>
      <c r="D778" t="inlineStr">
        <is>
          <t>VÄSTERBOTTENS LÄN</t>
        </is>
      </c>
      <c r="E778" t="inlineStr">
        <is>
          <t>NORDMALING</t>
        </is>
      </c>
      <c r="F778" t="inlineStr">
        <is>
          <t>SCA</t>
        </is>
      </c>
      <c r="G778" t="n">
        <v>2.2</v>
      </c>
      <c r="H778" t="n">
        <v>0</v>
      </c>
      <c r="I778" t="n">
        <v>0</v>
      </c>
      <c r="J778" t="n">
        <v>1</v>
      </c>
      <c r="K778" t="n">
        <v>0</v>
      </c>
      <c r="L778" t="n">
        <v>0</v>
      </c>
      <c r="M778" t="n">
        <v>0</v>
      </c>
      <c r="N778" t="n">
        <v>0</v>
      </c>
      <c r="O778" t="n">
        <v>1</v>
      </c>
      <c r="P778" t="n">
        <v>0</v>
      </c>
      <c r="Q778" t="n">
        <v>1</v>
      </c>
      <c r="R778" s="2" t="inlineStr">
        <is>
          <t>Granticka</t>
        </is>
      </c>
      <c r="S778">
        <f>HYPERLINK("https://klasma.github.io/Logging_2401/artfynd/A 68291-2020 artfynd.xlsx", "A 68291-2020")</f>
        <v/>
      </c>
      <c r="T778">
        <f>HYPERLINK("https://klasma.github.io/Logging_2401/kartor/A 68291-2020 karta.png", "A 68291-2020")</f>
        <v/>
      </c>
      <c r="V778">
        <f>HYPERLINK("https://klasma.github.io/Logging_2401/klagomål/A 68291-2020 FSC-klagomål.docx", "A 68291-2020")</f>
        <v/>
      </c>
      <c r="W778">
        <f>HYPERLINK("https://klasma.github.io/Logging_2401/klagomålsmail/A 68291-2020 FSC-klagomål mail.docx", "A 68291-2020")</f>
        <v/>
      </c>
      <c r="X778">
        <f>HYPERLINK("https://klasma.github.io/Logging_2401/tillsyn/A 68291-2020 tillsynsbegäran.docx", "A 68291-2020")</f>
        <v/>
      </c>
      <c r="Y778">
        <f>HYPERLINK("https://klasma.github.io/Logging_2401/tillsynsmail/A 68291-2020 tillsynsbegäran mail.docx", "A 68291-2020")</f>
        <v/>
      </c>
    </row>
    <row r="779" ht="15" customHeight="1">
      <c r="A779" t="inlineStr">
        <is>
          <t>A 14088-2021</t>
        </is>
      </c>
      <c r="B779" s="1" t="n">
        <v>44277</v>
      </c>
      <c r="C779" s="1" t="n">
        <v>45971</v>
      </c>
      <c r="D779" t="inlineStr">
        <is>
          <t>VÄSTERBOTTENS LÄN</t>
        </is>
      </c>
      <c r="E779" t="inlineStr">
        <is>
          <t>BJURHOLM</t>
        </is>
      </c>
      <c r="F779" t="inlineStr">
        <is>
          <t>SCA</t>
        </is>
      </c>
      <c r="G779" t="n">
        <v>7.6</v>
      </c>
      <c r="H779" t="n">
        <v>0</v>
      </c>
      <c r="I779" t="n">
        <v>0</v>
      </c>
      <c r="J779" t="n">
        <v>1</v>
      </c>
      <c r="K779" t="n">
        <v>0</v>
      </c>
      <c r="L779" t="n">
        <v>0</v>
      </c>
      <c r="M779" t="n">
        <v>0</v>
      </c>
      <c r="N779" t="n">
        <v>0</v>
      </c>
      <c r="O779" t="n">
        <v>1</v>
      </c>
      <c r="P779" t="n">
        <v>0</v>
      </c>
      <c r="Q779" t="n">
        <v>1</v>
      </c>
      <c r="R779" s="2" t="inlineStr">
        <is>
          <t>Lunglav</t>
        </is>
      </c>
      <c r="S779">
        <f>HYPERLINK("https://klasma.github.io/Logging_2403/artfynd/A 14088-2021 artfynd.xlsx", "A 14088-2021")</f>
        <v/>
      </c>
      <c r="T779">
        <f>HYPERLINK("https://klasma.github.io/Logging_2403/kartor/A 14088-2021 karta.png", "A 14088-2021")</f>
        <v/>
      </c>
      <c r="V779">
        <f>HYPERLINK("https://klasma.github.io/Logging_2403/klagomål/A 14088-2021 FSC-klagomål.docx", "A 14088-2021")</f>
        <v/>
      </c>
      <c r="W779">
        <f>HYPERLINK("https://klasma.github.io/Logging_2403/klagomålsmail/A 14088-2021 FSC-klagomål mail.docx", "A 14088-2021")</f>
        <v/>
      </c>
      <c r="X779">
        <f>HYPERLINK("https://klasma.github.io/Logging_2403/tillsyn/A 14088-2021 tillsynsbegäran.docx", "A 14088-2021")</f>
        <v/>
      </c>
      <c r="Y779">
        <f>HYPERLINK("https://klasma.github.io/Logging_2403/tillsynsmail/A 14088-2021 tillsynsbegäran mail.docx", "A 14088-2021")</f>
        <v/>
      </c>
    </row>
    <row r="780" ht="15" customHeight="1">
      <c r="A780" t="inlineStr">
        <is>
          <t>A 59780-2021</t>
        </is>
      </c>
      <c r="B780" s="1" t="n">
        <v>44494</v>
      </c>
      <c r="C780" s="1" t="n">
        <v>45971</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45971</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60309-2021</t>
        </is>
      </c>
      <c r="B782" s="1" t="n">
        <v>44495</v>
      </c>
      <c r="C782" s="1" t="n">
        <v>45971</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48771-2022</t>
        </is>
      </c>
      <c r="B783" s="1" t="n">
        <v>44859.59534722222</v>
      </c>
      <c r="C783" s="1" t="n">
        <v>45971</v>
      </c>
      <c r="D783" t="inlineStr">
        <is>
          <t>VÄSTERBOTTENS LÄN</t>
        </is>
      </c>
      <c r="E783" t="inlineStr">
        <is>
          <t>UMEÅ</t>
        </is>
      </c>
      <c r="F783" t="inlineStr">
        <is>
          <t>Holmen skog AB</t>
        </is>
      </c>
      <c r="G783" t="n">
        <v>4.6</v>
      </c>
      <c r="H783" t="n">
        <v>0</v>
      </c>
      <c r="I783" t="n">
        <v>1</v>
      </c>
      <c r="J783" t="n">
        <v>0</v>
      </c>
      <c r="K783" t="n">
        <v>0</v>
      </c>
      <c r="L783" t="n">
        <v>0</v>
      </c>
      <c r="M783" t="n">
        <v>0</v>
      </c>
      <c r="N783" t="n">
        <v>0</v>
      </c>
      <c r="O783" t="n">
        <v>0</v>
      </c>
      <c r="P783" t="n">
        <v>0</v>
      </c>
      <c r="Q783" t="n">
        <v>1</v>
      </c>
      <c r="R783" s="2" t="inlineStr">
        <is>
          <t>Vedticka</t>
        </is>
      </c>
      <c r="S783">
        <f>HYPERLINK("https://klasma.github.io/Logging_2480/artfynd/A 48771-2022 artfynd.xlsx", "A 48771-2022")</f>
        <v/>
      </c>
      <c r="T783">
        <f>HYPERLINK("https://klasma.github.io/Logging_2480/kartor/A 48771-2022 karta.png", "A 48771-2022")</f>
        <v/>
      </c>
      <c r="V783">
        <f>HYPERLINK("https://klasma.github.io/Logging_2480/klagomål/A 48771-2022 FSC-klagomål.docx", "A 48771-2022")</f>
        <v/>
      </c>
      <c r="W783">
        <f>HYPERLINK("https://klasma.github.io/Logging_2480/klagomålsmail/A 48771-2022 FSC-klagomål mail.docx", "A 48771-2022")</f>
        <v/>
      </c>
      <c r="X783">
        <f>HYPERLINK("https://klasma.github.io/Logging_2480/tillsyn/A 48771-2022 tillsynsbegäran.docx", "A 48771-2022")</f>
        <v/>
      </c>
      <c r="Y783">
        <f>HYPERLINK("https://klasma.github.io/Logging_2480/tillsynsmail/A 48771-2022 tillsynsbegäran mail.docx", "A 48771-2022")</f>
        <v/>
      </c>
    </row>
    <row r="784" ht="15" customHeight="1">
      <c r="A784" t="inlineStr">
        <is>
          <t>A 49658-2022</t>
        </is>
      </c>
      <c r="B784" s="1" t="n">
        <v>44862</v>
      </c>
      <c r="C784" s="1" t="n">
        <v>45971</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45971</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45511-2021</t>
        </is>
      </c>
      <c r="B786" s="1" t="n">
        <v>44440</v>
      </c>
      <c r="C786" s="1" t="n">
        <v>45971</v>
      </c>
      <c r="D786" t="inlineStr">
        <is>
          <t>VÄSTERBOTTENS LÄN</t>
        </is>
      </c>
      <c r="E786" t="inlineStr">
        <is>
          <t>SORSELE</t>
        </is>
      </c>
      <c r="G786" t="n">
        <v>2.7</v>
      </c>
      <c r="H786" t="n">
        <v>1</v>
      </c>
      <c r="I786" t="n">
        <v>0</v>
      </c>
      <c r="J786" t="n">
        <v>1</v>
      </c>
      <c r="K786" t="n">
        <v>0</v>
      </c>
      <c r="L786" t="n">
        <v>0</v>
      </c>
      <c r="M786" t="n">
        <v>0</v>
      </c>
      <c r="N786" t="n">
        <v>0</v>
      </c>
      <c r="O786" t="n">
        <v>1</v>
      </c>
      <c r="P786" t="n">
        <v>0</v>
      </c>
      <c r="Q786" t="n">
        <v>1</v>
      </c>
      <c r="R786" s="2" t="inlineStr">
        <is>
          <t>Tretåig hackspett</t>
        </is>
      </c>
      <c r="S786">
        <f>HYPERLINK("https://klasma.github.io/Logging_2422/artfynd/A 45511-2021 artfynd.xlsx", "A 45511-2021")</f>
        <v/>
      </c>
      <c r="T786">
        <f>HYPERLINK("https://klasma.github.io/Logging_2422/kartor/A 45511-2021 karta.png", "A 45511-2021")</f>
        <v/>
      </c>
      <c r="V786">
        <f>HYPERLINK("https://klasma.github.io/Logging_2422/klagomål/A 45511-2021 FSC-klagomål.docx", "A 45511-2021")</f>
        <v/>
      </c>
      <c r="W786">
        <f>HYPERLINK("https://klasma.github.io/Logging_2422/klagomålsmail/A 45511-2021 FSC-klagomål mail.docx", "A 45511-2021")</f>
        <v/>
      </c>
      <c r="X786">
        <f>HYPERLINK("https://klasma.github.io/Logging_2422/tillsyn/A 45511-2021 tillsynsbegäran.docx", "A 45511-2021")</f>
        <v/>
      </c>
      <c r="Y786">
        <f>HYPERLINK("https://klasma.github.io/Logging_2422/tillsynsmail/A 45511-2021 tillsynsbegäran mail.docx", "A 45511-2021")</f>
        <v/>
      </c>
      <c r="Z786">
        <f>HYPERLINK("https://klasma.github.io/Logging_2422/fåglar/A 45511-2021 prioriterade fågelarter.docx", "A 45511-2021")</f>
        <v/>
      </c>
    </row>
    <row r="787" ht="15" customHeight="1">
      <c r="A787" t="inlineStr">
        <is>
          <t>A 9341-2022</t>
        </is>
      </c>
      <c r="B787" s="1" t="n">
        <v>44616</v>
      </c>
      <c r="C787" s="1" t="n">
        <v>45971</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47038-2021</t>
        </is>
      </c>
      <c r="B788" s="1" t="n">
        <v>44446</v>
      </c>
      <c r="C788" s="1" t="n">
        <v>45971</v>
      </c>
      <c r="D788" t="inlineStr">
        <is>
          <t>VÄSTERBOTTENS LÄN</t>
        </is>
      </c>
      <c r="E788" t="inlineStr">
        <is>
          <t>UMEÅ</t>
        </is>
      </c>
      <c r="G788" t="n">
        <v>22.3</v>
      </c>
      <c r="H788" t="n">
        <v>0</v>
      </c>
      <c r="I788" t="n">
        <v>0</v>
      </c>
      <c r="J788" t="n">
        <v>1</v>
      </c>
      <c r="K788" t="n">
        <v>0</v>
      </c>
      <c r="L788" t="n">
        <v>0</v>
      </c>
      <c r="M788" t="n">
        <v>0</v>
      </c>
      <c r="N788" t="n">
        <v>0</v>
      </c>
      <c r="O788" t="n">
        <v>1</v>
      </c>
      <c r="P788" t="n">
        <v>0</v>
      </c>
      <c r="Q788" t="n">
        <v>1</v>
      </c>
      <c r="R788" s="2" t="inlineStr">
        <is>
          <t>Ullticka</t>
        </is>
      </c>
      <c r="S788">
        <f>HYPERLINK("https://klasma.github.io/Logging_2480/artfynd/A 47038-2021 artfynd.xlsx", "A 47038-2021")</f>
        <v/>
      </c>
      <c r="T788">
        <f>HYPERLINK("https://klasma.github.io/Logging_2480/kartor/A 47038-2021 karta.png", "A 47038-2021")</f>
        <v/>
      </c>
      <c r="V788">
        <f>HYPERLINK("https://klasma.github.io/Logging_2480/klagomål/A 47038-2021 FSC-klagomål.docx", "A 47038-2021")</f>
        <v/>
      </c>
      <c r="W788">
        <f>HYPERLINK("https://klasma.github.io/Logging_2480/klagomålsmail/A 47038-2021 FSC-klagomål mail.docx", "A 47038-2021")</f>
        <v/>
      </c>
      <c r="X788">
        <f>HYPERLINK("https://klasma.github.io/Logging_2480/tillsyn/A 47038-2021 tillsynsbegäran.docx", "A 47038-2021")</f>
        <v/>
      </c>
      <c r="Y788">
        <f>HYPERLINK("https://klasma.github.io/Logging_2480/tillsynsmail/A 47038-2021 tillsynsbegäran mail.docx", "A 47038-2021")</f>
        <v/>
      </c>
    </row>
    <row r="789" ht="15" customHeight="1">
      <c r="A789" t="inlineStr">
        <is>
          <t>A 34809-2022</t>
        </is>
      </c>
      <c r="B789" s="1" t="n">
        <v>44795</v>
      </c>
      <c r="C789" s="1" t="n">
        <v>45971</v>
      </c>
      <c r="D789" t="inlineStr">
        <is>
          <t>VÄSTERBOTTENS LÄN</t>
        </is>
      </c>
      <c r="E789" t="inlineStr">
        <is>
          <t>LYCKSELE</t>
        </is>
      </c>
      <c r="F789" t="inlineStr">
        <is>
          <t>SCA</t>
        </is>
      </c>
      <c r="G789" t="n">
        <v>1</v>
      </c>
      <c r="H789" t="n">
        <v>0</v>
      </c>
      <c r="I789" t="n">
        <v>0</v>
      </c>
      <c r="J789" t="n">
        <v>1</v>
      </c>
      <c r="K789" t="n">
        <v>0</v>
      </c>
      <c r="L789" t="n">
        <v>0</v>
      </c>
      <c r="M789" t="n">
        <v>0</v>
      </c>
      <c r="N789" t="n">
        <v>0</v>
      </c>
      <c r="O789" t="n">
        <v>1</v>
      </c>
      <c r="P789" t="n">
        <v>0</v>
      </c>
      <c r="Q789" t="n">
        <v>1</v>
      </c>
      <c r="R789" s="2" t="inlineStr">
        <is>
          <t>Gammelgransskål</t>
        </is>
      </c>
      <c r="S789">
        <f>HYPERLINK("https://klasma.github.io/Logging_2481/artfynd/A 34809-2022 artfynd.xlsx", "A 34809-2022")</f>
        <v/>
      </c>
      <c r="T789">
        <f>HYPERLINK("https://klasma.github.io/Logging_2481/kartor/A 34809-2022 karta.png", "A 34809-2022")</f>
        <v/>
      </c>
      <c r="V789">
        <f>HYPERLINK("https://klasma.github.io/Logging_2481/klagomål/A 34809-2022 FSC-klagomål.docx", "A 34809-2022")</f>
        <v/>
      </c>
      <c r="W789">
        <f>HYPERLINK("https://klasma.github.io/Logging_2481/klagomålsmail/A 34809-2022 FSC-klagomål mail.docx", "A 34809-2022")</f>
        <v/>
      </c>
      <c r="X789">
        <f>HYPERLINK("https://klasma.github.io/Logging_2481/tillsyn/A 34809-2022 tillsynsbegäran.docx", "A 34809-2022")</f>
        <v/>
      </c>
      <c r="Y789">
        <f>HYPERLINK("https://klasma.github.io/Logging_2481/tillsynsmail/A 34809-2022 tillsynsbegäran mail.docx", "A 34809-2022")</f>
        <v/>
      </c>
    </row>
    <row r="790" ht="15" customHeight="1">
      <c r="A790" t="inlineStr">
        <is>
          <t>A 34810-2022</t>
        </is>
      </c>
      <c r="B790" s="1" t="n">
        <v>44795</v>
      </c>
      <c r="C790" s="1" t="n">
        <v>45971</v>
      </c>
      <c r="D790" t="inlineStr">
        <is>
          <t>VÄSTERBOTTENS LÄN</t>
        </is>
      </c>
      <c r="E790" t="inlineStr">
        <is>
          <t>LYCKSELE</t>
        </is>
      </c>
      <c r="F790" t="inlineStr">
        <is>
          <t>SCA</t>
        </is>
      </c>
      <c r="G790" t="n">
        <v>2.3</v>
      </c>
      <c r="H790" t="n">
        <v>0</v>
      </c>
      <c r="I790" t="n">
        <v>0</v>
      </c>
      <c r="J790" t="n">
        <v>1</v>
      </c>
      <c r="K790" t="n">
        <v>0</v>
      </c>
      <c r="L790" t="n">
        <v>0</v>
      </c>
      <c r="M790" t="n">
        <v>0</v>
      </c>
      <c r="N790" t="n">
        <v>0</v>
      </c>
      <c r="O790" t="n">
        <v>1</v>
      </c>
      <c r="P790" t="n">
        <v>0</v>
      </c>
      <c r="Q790" t="n">
        <v>1</v>
      </c>
      <c r="R790" s="2" t="inlineStr">
        <is>
          <t>Lunglav</t>
        </is>
      </c>
      <c r="S790">
        <f>HYPERLINK("https://klasma.github.io/Logging_2481/artfynd/A 34810-2022 artfynd.xlsx", "A 34810-2022")</f>
        <v/>
      </c>
      <c r="T790">
        <f>HYPERLINK("https://klasma.github.io/Logging_2481/kartor/A 34810-2022 karta.png", "A 34810-2022")</f>
        <v/>
      </c>
      <c r="V790">
        <f>HYPERLINK("https://klasma.github.io/Logging_2481/klagomål/A 34810-2022 FSC-klagomål.docx", "A 34810-2022")</f>
        <v/>
      </c>
      <c r="W790">
        <f>HYPERLINK("https://klasma.github.io/Logging_2481/klagomålsmail/A 34810-2022 FSC-klagomål mail.docx", "A 34810-2022")</f>
        <v/>
      </c>
      <c r="X790">
        <f>HYPERLINK("https://klasma.github.io/Logging_2481/tillsyn/A 34810-2022 tillsynsbegäran.docx", "A 34810-2022")</f>
        <v/>
      </c>
      <c r="Y790">
        <f>HYPERLINK("https://klasma.github.io/Logging_2481/tillsynsmail/A 34810-2022 tillsynsbegäran mail.docx", "A 34810-2022")</f>
        <v/>
      </c>
    </row>
    <row r="791" ht="15" customHeight="1">
      <c r="A791" t="inlineStr">
        <is>
          <t>A 61850-2021</t>
        </is>
      </c>
      <c r="B791" s="1" t="n">
        <v>44501</v>
      </c>
      <c r="C791" s="1" t="n">
        <v>45971</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48947-2022</t>
        </is>
      </c>
      <c r="B792" s="1" t="n">
        <v>44859</v>
      </c>
      <c r="C792" s="1" t="n">
        <v>45971</v>
      </c>
      <c r="D792" t="inlineStr">
        <is>
          <t>VÄSTERBOTTENS LÄN</t>
        </is>
      </c>
      <c r="E792" t="inlineStr">
        <is>
          <t>NORDMALING</t>
        </is>
      </c>
      <c r="F792" t="inlineStr">
        <is>
          <t>SCA</t>
        </is>
      </c>
      <c r="G792" t="n">
        <v>3.4</v>
      </c>
      <c r="H792" t="n">
        <v>0</v>
      </c>
      <c r="I792" t="n">
        <v>1</v>
      </c>
      <c r="J792" t="n">
        <v>0</v>
      </c>
      <c r="K792" t="n">
        <v>0</v>
      </c>
      <c r="L792" t="n">
        <v>0</v>
      </c>
      <c r="M792" t="n">
        <v>0</v>
      </c>
      <c r="N792" t="n">
        <v>0</v>
      </c>
      <c r="O792" t="n">
        <v>0</v>
      </c>
      <c r="P792" t="n">
        <v>0</v>
      </c>
      <c r="Q792" t="n">
        <v>1</v>
      </c>
      <c r="R792" s="2" t="inlineStr">
        <is>
          <t>Trådticka</t>
        </is>
      </c>
      <c r="S792">
        <f>HYPERLINK("https://klasma.github.io/Logging_2401/artfynd/A 48947-2022 artfynd.xlsx", "A 48947-2022")</f>
        <v/>
      </c>
      <c r="T792">
        <f>HYPERLINK("https://klasma.github.io/Logging_2401/kartor/A 48947-2022 karta.png", "A 48947-2022")</f>
        <v/>
      </c>
      <c r="V792">
        <f>HYPERLINK("https://klasma.github.io/Logging_2401/klagomål/A 48947-2022 FSC-klagomål.docx", "A 48947-2022")</f>
        <v/>
      </c>
      <c r="W792">
        <f>HYPERLINK("https://klasma.github.io/Logging_2401/klagomålsmail/A 48947-2022 FSC-klagomål mail.docx", "A 48947-2022")</f>
        <v/>
      </c>
      <c r="X792">
        <f>HYPERLINK("https://klasma.github.io/Logging_2401/tillsyn/A 48947-2022 tillsynsbegäran.docx", "A 48947-2022")</f>
        <v/>
      </c>
      <c r="Y792">
        <f>HYPERLINK("https://klasma.github.io/Logging_2401/tillsynsmail/A 48947-2022 tillsynsbegäran mail.docx", "A 48947-2022")</f>
        <v/>
      </c>
    </row>
    <row r="793" ht="15" customHeight="1">
      <c r="A793" t="inlineStr">
        <is>
          <t>A 65146-2021</t>
        </is>
      </c>
      <c r="B793" s="1" t="n">
        <v>44515</v>
      </c>
      <c r="C793" s="1" t="n">
        <v>45971</v>
      </c>
      <c r="D793" t="inlineStr">
        <is>
          <t>VÄSTERBOTTENS LÄN</t>
        </is>
      </c>
      <c r="E793" t="inlineStr">
        <is>
          <t>VILHELMINA</t>
        </is>
      </c>
      <c r="G793" t="n">
        <v>7.4</v>
      </c>
      <c r="H793" t="n">
        <v>0</v>
      </c>
      <c r="I793" t="n">
        <v>0</v>
      </c>
      <c r="J793" t="n">
        <v>1</v>
      </c>
      <c r="K793" t="n">
        <v>0</v>
      </c>
      <c r="L793" t="n">
        <v>0</v>
      </c>
      <c r="M793" t="n">
        <v>0</v>
      </c>
      <c r="N793" t="n">
        <v>0</v>
      </c>
      <c r="O793" t="n">
        <v>1</v>
      </c>
      <c r="P793" t="n">
        <v>0</v>
      </c>
      <c r="Q793" t="n">
        <v>1</v>
      </c>
      <c r="R793" s="2" t="inlineStr">
        <is>
          <t>Granticka</t>
        </is>
      </c>
      <c r="S793">
        <f>HYPERLINK("https://klasma.github.io/Logging_2462/artfynd/A 65146-2021 artfynd.xlsx", "A 65146-2021")</f>
        <v/>
      </c>
      <c r="T793">
        <f>HYPERLINK("https://klasma.github.io/Logging_2462/kartor/A 65146-2021 karta.png", "A 65146-2021")</f>
        <v/>
      </c>
      <c r="V793">
        <f>HYPERLINK("https://klasma.github.io/Logging_2462/klagomål/A 65146-2021 FSC-klagomål.docx", "A 65146-2021")</f>
        <v/>
      </c>
      <c r="W793">
        <f>HYPERLINK("https://klasma.github.io/Logging_2462/klagomålsmail/A 65146-2021 FSC-klagomål mail.docx", "A 65146-2021")</f>
        <v/>
      </c>
      <c r="X793">
        <f>HYPERLINK("https://klasma.github.io/Logging_2462/tillsyn/A 65146-2021 tillsynsbegäran.docx", "A 65146-2021")</f>
        <v/>
      </c>
      <c r="Y793">
        <f>HYPERLINK("https://klasma.github.io/Logging_2462/tillsynsmail/A 65146-2021 tillsynsbegäran mail.docx", "A 65146-2021")</f>
        <v/>
      </c>
    </row>
    <row r="794" ht="15" customHeight="1">
      <c r="A794" t="inlineStr">
        <is>
          <t>A 41993-2021</t>
        </is>
      </c>
      <c r="B794" s="1" t="n">
        <v>44426.47770833333</v>
      </c>
      <c r="C794" s="1" t="n">
        <v>45971</v>
      </c>
      <c r="D794" t="inlineStr">
        <is>
          <t>VÄSTERBOTTENS LÄN</t>
        </is>
      </c>
      <c r="E794" t="inlineStr">
        <is>
          <t>SKELLEFTEÅ</t>
        </is>
      </c>
      <c r="F794" t="inlineStr">
        <is>
          <t>Sveaskog</t>
        </is>
      </c>
      <c r="G794" t="n">
        <v>14.3</v>
      </c>
      <c r="H794" t="n">
        <v>0</v>
      </c>
      <c r="I794" t="n">
        <v>1</v>
      </c>
      <c r="J794" t="n">
        <v>0</v>
      </c>
      <c r="K794" t="n">
        <v>0</v>
      </c>
      <c r="L794" t="n">
        <v>0</v>
      </c>
      <c r="M794" t="n">
        <v>0</v>
      </c>
      <c r="N794" t="n">
        <v>0</v>
      </c>
      <c r="O794" t="n">
        <v>0</v>
      </c>
      <c r="P794" t="n">
        <v>0</v>
      </c>
      <c r="Q794" t="n">
        <v>1</v>
      </c>
      <c r="R794" s="2" t="inlineStr">
        <is>
          <t>Gullgröppa</t>
        </is>
      </c>
      <c r="S794">
        <f>HYPERLINK("https://klasma.github.io/Logging_2482/artfynd/A 41993-2021 artfynd.xlsx", "A 41993-2021")</f>
        <v/>
      </c>
      <c r="T794">
        <f>HYPERLINK("https://klasma.github.io/Logging_2482/kartor/A 41993-2021 karta.png", "A 41993-2021")</f>
        <v/>
      </c>
      <c r="V794">
        <f>HYPERLINK("https://klasma.github.io/Logging_2482/klagomål/A 41993-2021 FSC-klagomål.docx", "A 41993-2021")</f>
        <v/>
      </c>
      <c r="W794">
        <f>HYPERLINK("https://klasma.github.io/Logging_2482/klagomålsmail/A 41993-2021 FSC-klagomål mail.docx", "A 41993-2021")</f>
        <v/>
      </c>
      <c r="X794">
        <f>HYPERLINK("https://klasma.github.io/Logging_2482/tillsyn/A 41993-2021 tillsynsbegäran.docx", "A 41993-2021")</f>
        <v/>
      </c>
      <c r="Y794">
        <f>HYPERLINK("https://klasma.github.io/Logging_2482/tillsynsmail/A 41993-2021 tillsynsbegäran mail.docx", "A 41993-2021")</f>
        <v/>
      </c>
    </row>
    <row r="795" ht="15" customHeight="1">
      <c r="A795" t="inlineStr">
        <is>
          <t>A 42843-2021</t>
        </is>
      </c>
      <c r="B795" s="1" t="n">
        <v>44430</v>
      </c>
      <c r="C795" s="1" t="n">
        <v>45971</v>
      </c>
      <c r="D795" t="inlineStr">
        <is>
          <t>VÄSTERBOTTENS LÄN</t>
        </is>
      </c>
      <c r="E795" t="inlineStr">
        <is>
          <t>STORUMAN</t>
        </is>
      </c>
      <c r="F795" t="inlineStr">
        <is>
          <t>Övriga statliga verk och myndigheter</t>
        </is>
      </c>
      <c r="G795" t="n">
        <v>19.7</v>
      </c>
      <c r="H795" t="n">
        <v>0</v>
      </c>
      <c r="I795" t="n">
        <v>0</v>
      </c>
      <c r="J795" t="n">
        <v>1</v>
      </c>
      <c r="K795" t="n">
        <v>0</v>
      </c>
      <c r="L795" t="n">
        <v>0</v>
      </c>
      <c r="M795" t="n">
        <v>0</v>
      </c>
      <c r="N795" t="n">
        <v>0</v>
      </c>
      <c r="O795" t="n">
        <v>1</v>
      </c>
      <c r="P795" t="n">
        <v>0</v>
      </c>
      <c r="Q795" t="n">
        <v>1</v>
      </c>
      <c r="R795" s="2" t="inlineStr">
        <is>
          <t>Granticka</t>
        </is>
      </c>
      <c r="S795">
        <f>HYPERLINK("https://klasma.github.io/Logging_2421/artfynd/A 42843-2021 artfynd.xlsx", "A 42843-2021")</f>
        <v/>
      </c>
      <c r="T795">
        <f>HYPERLINK("https://klasma.github.io/Logging_2421/kartor/A 42843-2021 karta.png", "A 42843-2021")</f>
        <v/>
      </c>
      <c r="V795">
        <f>HYPERLINK("https://klasma.github.io/Logging_2421/klagomål/A 42843-2021 FSC-klagomål.docx", "A 42843-2021")</f>
        <v/>
      </c>
      <c r="W795">
        <f>HYPERLINK("https://klasma.github.io/Logging_2421/klagomålsmail/A 42843-2021 FSC-klagomål mail.docx", "A 42843-2021")</f>
        <v/>
      </c>
      <c r="X795">
        <f>HYPERLINK("https://klasma.github.io/Logging_2421/tillsyn/A 42843-2021 tillsynsbegäran.docx", "A 42843-2021")</f>
        <v/>
      </c>
      <c r="Y795">
        <f>HYPERLINK("https://klasma.github.io/Logging_2421/tillsynsmail/A 42843-2021 tillsynsbegäran mail.docx", "A 42843-2021")</f>
        <v/>
      </c>
    </row>
    <row r="796" ht="15" customHeight="1">
      <c r="A796" t="inlineStr">
        <is>
          <t>A 20192-2022</t>
        </is>
      </c>
      <c r="B796" s="1" t="n">
        <v>44698.55512731482</v>
      </c>
      <c r="C796" s="1" t="n">
        <v>45971</v>
      </c>
      <c r="D796" t="inlineStr">
        <is>
          <t>VÄSTERBOTTENS LÄN</t>
        </is>
      </c>
      <c r="E796" t="inlineStr">
        <is>
          <t>STORUMAN</t>
        </is>
      </c>
      <c r="F796" t="inlineStr">
        <is>
          <t>Sveaskog</t>
        </is>
      </c>
      <c r="G796" t="n">
        <v>3.4</v>
      </c>
      <c r="H796" t="n">
        <v>0</v>
      </c>
      <c r="I796" t="n">
        <v>1</v>
      </c>
      <c r="J796" t="n">
        <v>0</v>
      </c>
      <c r="K796" t="n">
        <v>0</v>
      </c>
      <c r="L796" t="n">
        <v>0</v>
      </c>
      <c r="M796" t="n">
        <v>0</v>
      </c>
      <c r="N796" t="n">
        <v>0</v>
      </c>
      <c r="O796" t="n">
        <v>0</v>
      </c>
      <c r="P796" t="n">
        <v>0</v>
      </c>
      <c r="Q796" t="n">
        <v>1</v>
      </c>
      <c r="R796" s="2" t="inlineStr">
        <is>
          <t>Stuplav</t>
        </is>
      </c>
      <c r="S796">
        <f>HYPERLINK("https://klasma.github.io/Logging_2421/artfynd/A 20192-2022 artfynd.xlsx", "A 20192-2022")</f>
        <v/>
      </c>
      <c r="T796">
        <f>HYPERLINK("https://klasma.github.io/Logging_2421/kartor/A 20192-2022 karta.png", "A 20192-2022")</f>
        <v/>
      </c>
      <c r="V796">
        <f>HYPERLINK("https://klasma.github.io/Logging_2421/klagomål/A 20192-2022 FSC-klagomål.docx", "A 20192-2022")</f>
        <v/>
      </c>
      <c r="W796">
        <f>HYPERLINK("https://klasma.github.io/Logging_2421/klagomålsmail/A 20192-2022 FSC-klagomål mail.docx", "A 20192-2022")</f>
        <v/>
      </c>
      <c r="X796">
        <f>HYPERLINK("https://klasma.github.io/Logging_2421/tillsyn/A 20192-2022 tillsynsbegäran.docx", "A 20192-2022")</f>
        <v/>
      </c>
      <c r="Y796">
        <f>HYPERLINK("https://klasma.github.io/Logging_2421/tillsynsmail/A 20192-2022 tillsynsbegäran mail.docx", "A 20192-2022")</f>
        <v/>
      </c>
    </row>
    <row r="797" ht="15" customHeight="1">
      <c r="A797" t="inlineStr">
        <is>
          <t>A 49588-2022</t>
        </is>
      </c>
      <c r="B797" s="1" t="n">
        <v>44862</v>
      </c>
      <c r="C797" s="1" t="n">
        <v>45971</v>
      </c>
      <c r="D797" t="inlineStr">
        <is>
          <t>VÄSTERBOTTENS LÄN</t>
        </is>
      </c>
      <c r="E797" t="inlineStr">
        <is>
          <t>SKELLEFTEÅ</t>
        </is>
      </c>
      <c r="F797" t="inlineStr">
        <is>
          <t>Holmen skog AB</t>
        </is>
      </c>
      <c r="G797" t="n">
        <v>6.1</v>
      </c>
      <c r="H797" t="n">
        <v>0</v>
      </c>
      <c r="I797" t="n">
        <v>0</v>
      </c>
      <c r="J797" t="n">
        <v>1</v>
      </c>
      <c r="K797" t="n">
        <v>0</v>
      </c>
      <c r="L797" t="n">
        <v>0</v>
      </c>
      <c r="M797" t="n">
        <v>0</v>
      </c>
      <c r="N797" t="n">
        <v>0</v>
      </c>
      <c r="O797" t="n">
        <v>1</v>
      </c>
      <c r="P797" t="n">
        <v>0</v>
      </c>
      <c r="Q797" t="n">
        <v>1</v>
      </c>
      <c r="R797" s="2" t="inlineStr">
        <is>
          <t>Lunglav</t>
        </is>
      </c>
      <c r="S797">
        <f>HYPERLINK("https://klasma.github.io/Logging_2482/artfynd/A 49588-2022 artfynd.xlsx", "A 49588-2022")</f>
        <v/>
      </c>
      <c r="T797">
        <f>HYPERLINK("https://klasma.github.io/Logging_2482/kartor/A 49588-2022 karta.png", "A 49588-2022")</f>
        <v/>
      </c>
      <c r="V797">
        <f>HYPERLINK("https://klasma.github.io/Logging_2482/klagomål/A 49588-2022 FSC-klagomål.docx", "A 49588-2022")</f>
        <v/>
      </c>
      <c r="W797">
        <f>HYPERLINK("https://klasma.github.io/Logging_2482/klagomålsmail/A 49588-2022 FSC-klagomål mail.docx", "A 49588-2022")</f>
        <v/>
      </c>
      <c r="X797">
        <f>HYPERLINK("https://klasma.github.io/Logging_2482/tillsyn/A 49588-2022 tillsynsbegäran.docx", "A 49588-2022")</f>
        <v/>
      </c>
      <c r="Y797">
        <f>HYPERLINK("https://klasma.github.io/Logging_2482/tillsynsmail/A 49588-2022 tillsynsbegäran mail.docx", "A 49588-2022")</f>
        <v/>
      </c>
    </row>
    <row r="798" ht="15" customHeight="1">
      <c r="A798" t="inlineStr">
        <is>
          <t>A 44389-2022</t>
        </is>
      </c>
      <c r="B798" s="1" t="n">
        <v>44838</v>
      </c>
      <c r="C798" s="1" t="n">
        <v>45971</v>
      </c>
      <c r="D798" t="inlineStr">
        <is>
          <t>VÄSTERBOTTENS LÄN</t>
        </is>
      </c>
      <c r="E798" t="inlineStr">
        <is>
          <t>DOROTEA</t>
        </is>
      </c>
      <c r="G798" t="n">
        <v>1.8</v>
      </c>
      <c r="H798" t="n">
        <v>0</v>
      </c>
      <c r="I798" t="n">
        <v>0</v>
      </c>
      <c r="J798" t="n">
        <v>1</v>
      </c>
      <c r="K798" t="n">
        <v>0</v>
      </c>
      <c r="L798" t="n">
        <v>0</v>
      </c>
      <c r="M798" t="n">
        <v>0</v>
      </c>
      <c r="N798" t="n">
        <v>0</v>
      </c>
      <c r="O798" t="n">
        <v>1</v>
      </c>
      <c r="P798" t="n">
        <v>0</v>
      </c>
      <c r="Q798" t="n">
        <v>1</v>
      </c>
      <c r="R798" s="2" t="inlineStr">
        <is>
          <t>Granticka</t>
        </is>
      </c>
      <c r="S798">
        <f>HYPERLINK("https://klasma.github.io/Logging_2425/artfynd/A 44389-2022 artfynd.xlsx", "A 44389-2022")</f>
        <v/>
      </c>
      <c r="T798">
        <f>HYPERLINK("https://klasma.github.io/Logging_2425/kartor/A 44389-2022 karta.png", "A 44389-2022")</f>
        <v/>
      </c>
      <c r="V798">
        <f>HYPERLINK("https://klasma.github.io/Logging_2425/klagomål/A 44389-2022 FSC-klagomål.docx", "A 44389-2022")</f>
        <v/>
      </c>
      <c r="W798">
        <f>HYPERLINK("https://klasma.github.io/Logging_2425/klagomålsmail/A 44389-2022 FSC-klagomål mail.docx", "A 44389-2022")</f>
        <v/>
      </c>
      <c r="X798">
        <f>HYPERLINK("https://klasma.github.io/Logging_2425/tillsyn/A 44389-2022 tillsynsbegäran.docx", "A 44389-2022")</f>
        <v/>
      </c>
      <c r="Y798">
        <f>HYPERLINK("https://klasma.github.io/Logging_2425/tillsynsmail/A 44389-2022 tillsynsbegäran mail.docx", "A 44389-2022")</f>
        <v/>
      </c>
    </row>
    <row r="799" ht="15" customHeight="1">
      <c r="A799" t="inlineStr">
        <is>
          <t>A 6180-2025</t>
        </is>
      </c>
      <c r="B799" s="1" t="n">
        <v>45698.44841435185</v>
      </c>
      <c r="C799" s="1" t="n">
        <v>45971</v>
      </c>
      <c r="D799" t="inlineStr">
        <is>
          <t>VÄSTERBOTTENS LÄN</t>
        </is>
      </c>
      <c r="E799" t="inlineStr">
        <is>
          <t>VÄNNÄS</t>
        </is>
      </c>
      <c r="G799" t="n">
        <v>5.9</v>
      </c>
      <c r="H799" t="n">
        <v>0</v>
      </c>
      <c r="I799" t="n">
        <v>1</v>
      </c>
      <c r="J799" t="n">
        <v>0</v>
      </c>
      <c r="K799" t="n">
        <v>0</v>
      </c>
      <c r="L799" t="n">
        <v>0</v>
      </c>
      <c r="M799" t="n">
        <v>0</v>
      </c>
      <c r="N799" t="n">
        <v>0</v>
      </c>
      <c r="O799" t="n">
        <v>0</v>
      </c>
      <c r="P799" t="n">
        <v>0</v>
      </c>
      <c r="Q799" t="n">
        <v>1</v>
      </c>
      <c r="R799" s="2" t="inlineStr">
        <is>
          <t>Thomsons trägnagare</t>
        </is>
      </c>
      <c r="S799">
        <f>HYPERLINK("https://klasma.github.io/Logging_2460/artfynd/A 6180-2025 artfynd.xlsx", "A 6180-2025")</f>
        <v/>
      </c>
      <c r="T799">
        <f>HYPERLINK("https://klasma.github.io/Logging_2460/kartor/A 6180-2025 karta.png", "A 6180-2025")</f>
        <v/>
      </c>
      <c r="V799">
        <f>HYPERLINK("https://klasma.github.io/Logging_2460/klagomål/A 6180-2025 FSC-klagomål.docx", "A 6180-2025")</f>
        <v/>
      </c>
      <c r="W799">
        <f>HYPERLINK("https://klasma.github.io/Logging_2460/klagomålsmail/A 6180-2025 FSC-klagomål mail.docx", "A 6180-2025")</f>
        <v/>
      </c>
      <c r="X799">
        <f>HYPERLINK("https://klasma.github.io/Logging_2460/tillsyn/A 6180-2025 tillsynsbegäran.docx", "A 6180-2025")</f>
        <v/>
      </c>
      <c r="Y799">
        <f>HYPERLINK("https://klasma.github.io/Logging_2460/tillsynsmail/A 6180-2025 tillsynsbegäran mail.docx", "A 6180-2025")</f>
        <v/>
      </c>
    </row>
    <row r="800" ht="15" customHeight="1">
      <c r="A800" t="inlineStr">
        <is>
          <t>A 58670-2023</t>
        </is>
      </c>
      <c r="B800" s="1" t="n">
        <v>45251</v>
      </c>
      <c r="C800" s="1" t="n">
        <v>45971</v>
      </c>
      <c r="D800" t="inlineStr">
        <is>
          <t>VÄSTERBOTTENS LÄN</t>
        </is>
      </c>
      <c r="E800" t="inlineStr">
        <is>
          <t>UMEÅ</t>
        </is>
      </c>
      <c r="F800" t="inlineStr">
        <is>
          <t>Sveaskog</t>
        </is>
      </c>
      <c r="G800" t="n">
        <v>11.9</v>
      </c>
      <c r="H800" t="n">
        <v>0</v>
      </c>
      <c r="I800" t="n">
        <v>0</v>
      </c>
      <c r="J800" t="n">
        <v>1</v>
      </c>
      <c r="K800" t="n">
        <v>0</v>
      </c>
      <c r="L800" t="n">
        <v>0</v>
      </c>
      <c r="M800" t="n">
        <v>0</v>
      </c>
      <c r="N800" t="n">
        <v>0</v>
      </c>
      <c r="O800" t="n">
        <v>1</v>
      </c>
      <c r="P800" t="n">
        <v>0</v>
      </c>
      <c r="Q800" t="n">
        <v>1</v>
      </c>
      <c r="R800" s="2" t="inlineStr">
        <is>
          <t>Gammelgransskål</t>
        </is>
      </c>
      <c r="S800">
        <f>HYPERLINK("https://klasma.github.io/Logging_2480/artfynd/A 58670-2023 artfynd.xlsx", "A 58670-2023")</f>
        <v/>
      </c>
      <c r="T800">
        <f>HYPERLINK("https://klasma.github.io/Logging_2480/kartor/A 58670-2023 karta.png", "A 58670-2023")</f>
        <v/>
      </c>
      <c r="V800">
        <f>HYPERLINK("https://klasma.github.io/Logging_2480/klagomål/A 58670-2023 FSC-klagomål.docx", "A 58670-2023")</f>
        <v/>
      </c>
      <c r="W800">
        <f>HYPERLINK("https://klasma.github.io/Logging_2480/klagomålsmail/A 58670-2023 FSC-klagomål mail.docx", "A 58670-2023")</f>
        <v/>
      </c>
      <c r="X800">
        <f>HYPERLINK("https://klasma.github.io/Logging_2480/tillsyn/A 58670-2023 tillsynsbegäran.docx", "A 58670-2023")</f>
        <v/>
      </c>
      <c r="Y800">
        <f>HYPERLINK("https://klasma.github.io/Logging_2480/tillsynsmail/A 58670-2023 tillsynsbegäran mail.docx", "A 58670-2023")</f>
        <v/>
      </c>
    </row>
    <row r="801" ht="15" customHeight="1">
      <c r="A801" t="inlineStr">
        <is>
          <t>A 38683-2021</t>
        </is>
      </c>
      <c r="B801" s="1" t="n">
        <v>44407</v>
      </c>
      <c r="C801" s="1" t="n">
        <v>45971</v>
      </c>
      <c r="D801" t="inlineStr">
        <is>
          <t>VÄSTERBOTTENS LÄN</t>
        </is>
      </c>
      <c r="E801" t="inlineStr">
        <is>
          <t>UMEÅ</t>
        </is>
      </c>
      <c r="F801" t="inlineStr">
        <is>
          <t>Kommuner</t>
        </is>
      </c>
      <c r="G801" t="n">
        <v>0.6</v>
      </c>
      <c r="H801" t="n">
        <v>0</v>
      </c>
      <c r="I801" t="n">
        <v>0</v>
      </c>
      <c r="J801" t="n">
        <v>1</v>
      </c>
      <c r="K801" t="n">
        <v>0</v>
      </c>
      <c r="L801" t="n">
        <v>0</v>
      </c>
      <c r="M801" t="n">
        <v>0</v>
      </c>
      <c r="N801" t="n">
        <v>0</v>
      </c>
      <c r="O801" t="n">
        <v>1</v>
      </c>
      <c r="P801" t="n">
        <v>0</v>
      </c>
      <c r="Q801" t="n">
        <v>1</v>
      </c>
      <c r="R801" s="2" t="inlineStr">
        <is>
          <t>Springkornsfältmätare</t>
        </is>
      </c>
      <c r="S801">
        <f>HYPERLINK("https://klasma.github.io/Logging_2480/artfynd/A 38683-2021 artfynd.xlsx", "A 38683-2021")</f>
        <v/>
      </c>
      <c r="T801">
        <f>HYPERLINK("https://klasma.github.io/Logging_2480/kartor/A 38683-2021 karta.png", "A 38683-2021")</f>
        <v/>
      </c>
      <c r="V801">
        <f>HYPERLINK("https://klasma.github.io/Logging_2480/klagomål/A 38683-2021 FSC-klagomål.docx", "A 38683-2021")</f>
        <v/>
      </c>
      <c r="W801">
        <f>HYPERLINK("https://klasma.github.io/Logging_2480/klagomålsmail/A 38683-2021 FSC-klagomål mail.docx", "A 38683-2021")</f>
        <v/>
      </c>
      <c r="X801">
        <f>HYPERLINK("https://klasma.github.io/Logging_2480/tillsyn/A 38683-2021 tillsynsbegäran.docx", "A 38683-2021")</f>
        <v/>
      </c>
      <c r="Y801">
        <f>HYPERLINK("https://klasma.github.io/Logging_2480/tillsynsmail/A 38683-2021 tillsynsbegäran mail.docx", "A 38683-2021")</f>
        <v/>
      </c>
    </row>
    <row r="802" ht="15" customHeight="1">
      <c r="A802" t="inlineStr">
        <is>
          <t>A 23035-2022</t>
        </is>
      </c>
      <c r="B802" s="1" t="n">
        <v>44715</v>
      </c>
      <c r="C802" s="1" t="n">
        <v>45971</v>
      </c>
      <c r="D802" t="inlineStr">
        <is>
          <t>VÄSTERBOTTENS LÄN</t>
        </is>
      </c>
      <c r="E802" t="inlineStr">
        <is>
          <t>UMEÅ</t>
        </is>
      </c>
      <c r="G802" t="n">
        <v>1.2</v>
      </c>
      <c r="H802" t="n">
        <v>0</v>
      </c>
      <c r="I802" t="n">
        <v>0</v>
      </c>
      <c r="J802" t="n">
        <v>1</v>
      </c>
      <c r="K802" t="n">
        <v>0</v>
      </c>
      <c r="L802" t="n">
        <v>0</v>
      </c>
      <c r="M802" t="n">
        <v>0</v>
      </c>
      <c r="N802" t="n">
        <v>0</v>
      </c>
      <c r="O802" t="n">
        <v>1</v>
      </c>
      <c r="P802" t="n">
        <v>0</v>
      </c>
      <c r="Q802" t="n">
        <v>1</v>
      </c>
      <c r="R802" s="2" t="inlineStr">
        <is>
          <t>Granticka</t>
        </is>
      </c>
      <c r="S802">
        <f>HYPERLINK("https://klasma.github.io/Logging_2480/artfynd/A 23035-2022 artfynd.xlsx", "A 23035-2022")</f>
        <v/>
      </c>
      <c r="T802">
        <f>HYPERLINK("https://klasma.github.io/Logging_2480/kartor/A 23035-2022 karta.png", "A 23035-2022")</f>
        <v/>
      </c>
      <c r="V802">
        <f>HYPERLINK("https://klasma.github.io/Logging_2480/klagomål/A 23035-2022 FSC-klagomål.docx", "A 23035-2022")</f>
        <v/>
      </c>
      <c r="W802">
        <f>HYPERLINK("https://klasma.github.io/Logging_2480/klagomålsmail/A 23035-2022 FSC-klagomål mail.docx", "A 23035-2022")</f>
        <v/>
      </c>
      <c r="X802">
        <f>HYPERLINK("https://klasma.github.io/Logging_2480/tillsyn/A 23035-2022 tillsynsbegäran.docx", "A 23035-2022")</f>
        <v/>
      </c>
      <c r="Y802">
        <f>HYPERLINK("https://klasma.github.io/Logging_2480/tillsynsmail/A 23035-2022 tillsynsbegäran mail.docx", "A 23035-2022")</f>
        <v/>
      </c>
    </row>
    <row r="803" ht="15" customHeight="1">
      <c r="A803" t="inlineStr">
        <is>
          <t>A 7379-2024</t>
        </is>
      </c>
      <c r="B803" s="1" t="n">
        <v>45345</v>
      </c>
      <c r="C803" s="1" t="n">
        <v>45971</v>
      </c>
      <c r="D803" t="inlineStr">
        <is>
          <t>VÄSTERBOTTENS LÄN</t>
        </is>
      </c>
      <c r="E803" t="inlineStr">
        <is>
          <t>ROBERTSFORS</t>
        </is>
      </c>
      <c r="F803" t="inlineStr">
        <is>
          <t>Sveaskog</t>
        </is>
      </c>
      <c r="G803" t="n">
        <v>12.9</v>
      </c>
      <c r="H803" t="n">
        <v>0</v>
      </c>
      <c r="I803" t="n">
        <v>0</v>
      </c>
      <c r="J803" t="n">
        <v>1</v>
      </c>
      <c r="K803" t="n">
        <v>0</v>
      </c>
      <c r="L803" t="n">
        <v>0</v>
      </c>
      <c r="M803" t="n">
        <v>0</v>
      </c>
      <c r="N803" t="n">
        <v>0</v>
      </c>
      <c r="O803" t="n">
        <v>1</v>
      </c>
      <c r="P803" t="n">
        <v>0</v>
      </c>
      <c r="Q803" t="n">
        <v>1</v>
      </c>
      <c r="R803" s="2" t="inlineStr">
        <is>
          <t>Garnlav</t>
        </is>
      </c>
      <c r="S803">
        <f>HYPERLINK("https://klasma.github.io/Logging_2409/artfynd/A 7379-2024 artfynd.xlsx", "A 7379-2024")</f>
        <v/>
      </c>
      <c r="T803">
        <f>HYPERLINK("https://klasma.github.io/Logging_2409/kartor/A 7379-2024 karta.png", "A 7379-2024")</f>
        <v/>
      </c>
      <c r="V803">
        <f>HYPERLINK("https://klasma.github.io/Logging_2409/klagomål/A 7379-2024 FSC-klagomål.docx", "A 7379-2024")</f>
        <v/>
      </c>
      <c r="W803">
        <f>HYPERLINK("https://klasma.github.io/Logging_2409/klagomålsmail/A 7379-2024 FSC-klagomål mail.docx", "A 7379-2024")</f>
        <v/>
      </c>
      <c r="X803">
        <f>HYPERLINK("https://klasma.github.io/Logging_2409/tillsyn/A 7379-2024 tillsynsbegäran.docx", "A 7379-2024")</f>
        <v/>
      </c>
      <c r="Y803">
        <f>HYPERLINK("https://klasma.github.io/Logging_2409/tillsynsmail/A 7379-2024 tillsynsbegäran mail.docx", "A 7379-2024")</f>
        <v/>
      </c>
    </row>
    <row r="804" ht="15" customHeight="1">
      <c r="A804" t="inlineStr">
        <is>
          <t>A 11056-2023</t>
        </is>
      </c>
      <c r="B804" s="1" t="n">
        <v>44991</v>
      </c>
      <c r="C804" s="1" t="n">
        <v>45971</v>
      </c>
      <c r="D804" t="inlineStr">
        <is>
          <t>VÄSTERBOTTENS LÄN</t>
        </is>
      </c>
      <c r="E804" t="inlineStr">
        <is>
          <t>NORDMALING</t>
        </is>
      </c>
      <c r="F804" t="inlineStr">
        <is>
          <t>SCA</t>
        </is>
      </c>
      <c r="G804" t="n">
        <v>1</v>
      </c>
      <c r="H804" t="n">
        <v>1</v>
      </c>
      <c r="I804" t="n">
        <v>1</v>
      </c>
      <c r="J804" t="n">
        <v>0</v>
      </c>
      <c r="K804" t="n">
        <v>0</v>
      </c>
      <c r="L804" t="n">
        <v>0</v>
      </c>
      <c r="M804" t="n">
        <v>0</v>
      </c>
      <c r="N804" t="n">
        <v>0</v>
      </c>
      <c r="O804" t="n">
        <v>0</v>
      </c>
      <c r="P804" t="n">
        <v>0</v>
      </c>
      <c r="Q804" t="n">
        <v>1</v>
      </c>
      <c r="R804" s="2" t="inlineStr">
        <is>
          <t>Plattlummer</t>
        </is>
      </c>
      <c r="S804">
        <f>HYPERLINK("https://klasma.github.io/Logging_2401/artfynd/A 11056-2023 artfynd.xlsx", "A 11056-2023")</f>
        <v/>
      </c>
      <c r="T804">
        <f>HYPERLINK("https://klasma.github.io/Logging_2401/kartor/A 11056-2023 karta.png", "A 11056-2023")</f>
        <v/>
      </c>
      <c r="V804">
        <f>HYPERLINK("https://klasma.github.io/Logging_2401/klagomål/A 11056-2023 FSC-klagomål.docx", "A 11056-2023")</f>
        <v/>
      </c>
      <c r="W804">
        <f>HYPERLINK("https://klasma.github.io/Logging_2401/klagomålsmail/A 11056-2023 FSC-klagomål mail.docx", "A 11056-2023")</f>
        <v/>
      </c>
      <c r="X804">
        <f>HYPERLINK("https://klasma.github.io/Logging_2401/tillsyn/A 11056-2023 tillsynsbegäran.docx", "A 11056-2023")</f>
        <v/>
      </c>
      <c r="Y804">
        <f>HYPERLINK("https://klasma.github.io/Logging_2401/tillsynsmail/A 11056-2023 tillsynsbegäran mail.docx", "A 11056-2023")</f>
        <v/>
      </c>
    </row>
    <row r="805" ht="15" customHeight="1">
      <c r="A805" t="inlineStr">
        <is>
          <t>A 23496-2022</t>
        </is>
      </c>
      <c r="B805" s="1" t="n">
        <v>44721</v>
      </c>
      <c r="C805" s="1" t="n">
        <v>45971</v>
      </c>
      <c r="D805" t="inlineStr">
        <is>
          <t>VÄSTERBOTTENS LÄN</t>
        </is>
      </c>
      <c r="E805" t="inlineStr">
        <is>
          <t>NORDMALING</t>
        </is>
      </c>
      <c r="G805" t="n">
        <v>0.7</v>
      </c>
      <c r="H805" t="n">
        <v>1</v>
      </c>
      <c r="I805" t="n">
        <v>0</v>
      </c>
      <c r="J805" t="n">
        <v>1</v>
      </c>
      <c r="K805" t="n">
        <v>0</v>
      </c>
      <c r="L805" t="n">
        <v>0</v>
      </c>
      <c r="M805" t="n">
        <v>0</v>
      </c>
      <c r="N805" t="n">
        <v>0</v>
      </c>
      <c r="O805" t="n">
        <v>1</v>
      </c>
      <c r="P805" t="n">
        <v>0</v>
      </c>
      <c r="Q805" t="n">
        <v>1</v>
      </c>
      <c r="R805" s="2" t="inlineStr">
        <is>
          <t>Järpe</t>
        </is>
      </c>
      <c r="S805">
        <f>HYPERLINK("https://klasma.github.io/Logging_2401/artfynd/A 23496-2022 artfynd.xlsx", "A 23496-2022")</f>
        <v/>
      </c>
      <c r="T805">
        <f>HYPERLINK("https://klasma.github.io/Logging_2401/kartor/A 23496-2022 karta.png", "A 23496-2022")</f>
        <v/>
      </c>
      <c r="V805">
        <f>HYPERLINK("https://klasma.github.io/Logging_2401/klagomål/A 23496-2022 FSC-klagomål.docx", "A 23496-2022")</f>
        <v/>
      </c>
      <c r="W805">
        <f>HYPERLINK("https://klasma.github.io/Logging_2401/klagomålsmail/A 23496-2022 FSC-klagomål mail.docx", "A 23496-2022")</f>
        <v/>
      </c>
      <c r="X805">
        <f>HYPERLINK("https://klasma.github.io/Logging_2401/tillsyn/A 23496-2022 tillsynsbegäran.docx", "A 23496-2022")</f>
        <v/>
      </c>
      <c r="Y805">
        <f>HYPERLINK("https://klasma.github.io/Logging_2401/tillsynsmail/A 23496-2022 tillsynsbegäran mail.docx", "A 23496-2022")</f>
        <v/>
      </c>
      <c r="Z805">
        <f>HYPERLINK("https://klasma.github.io/Logging_2401/fåglar/A 23496-2022 prioriterade fågelarter.docx", "A 23496-2022")</f>
        <v/>
      </c>
    </row>
    <row r="806" ht="15" customHeight="1">
      <c r="A806" t="inlineStr">
        <is>
          <t>A 2436-2025</t>
        </is>
      </c>
      <c r="B806" s="1" t="n">
        <v>45673</v>
      </c>
      <c r="C806" s="1" t="n">
        <v>45971</v>
      </c>
      <c r="D806" t="inlineStr">
        <is>
          <t>VÄSTERBOTTENS LÄN</t>
        </is>
      </c>
      <c r="E806" t="inlineStr">
        <is>
          <t>SKELLEFTEÅ</t>
        </is>
      </c>
      <c r="G806" t="n">
        <v>5</v>
      </c>
      <c r="H806" t="n">
        <v>1</v>
      </c>
      <c r="I806" t="n">
        <v>0</v>
      </c>
      <c r="J806" t="n">
        <v>1</v>
      </c>
      <c r="K806" t="n">
        <v>0</v>
      </c>
      <c r="L806" t="n">
        <v>0</v>
      </c>
      <c r="M806" t="n">
        <v>0</v>
      </c>
      <c r="N806" t="n">
        <v>0</v>
      </c>
      <c r="O806" t="n">
        <v>1</v>
      </c>
      <c r="P806" t="n">
        <v>0</v>
      </c>
      <c r="Q806" t="n">
        <v>1</v>
      </c>
      <c r="R806" s="2" t="inlineStr">
        <is>
          <t>Tretåig hackspett</t>
        </is>
      </c>
      <c r="S806">
        <f>HYPERLINK("https://klasma.github.io/Logging_2482/artfynd/A 2436-2025 artfynd.xlsx", "A 2436-2025")</f>
        <v/>
      </c>
      <c r="T806">
        <f>HYPERLINK("https://klasma.github.io/Logging_2482/kartor/A 2436-2025 karta.png", "A 2436-2025")</f>
        <v/>
      </c>
      <c r="V806">
        <f>HYPERLINK("https://klasma.github.io/Logging_2482/klagomål/A 2436-2025 FSC-klagomål.docx", "A 2436-2025")</f>
        <v/>
      </c>
      <c r="W806">
        <f>HYPERLINK("https://klasma.github.io/Logging_2482/klagomålsmail/A 2436-2025 FSC-klagomål mail.docx", "A 2436-2025")</f>
        <v/>
      </c>
      <c r="X806">
        <f>HYPERLINK("https://klasma.github.io/Logging_2482/tillsyn/A 2436-2025 tillsynsbegäran.docx", "A 2436-2025")</f>
        <v/>
      </c>
      <c r="Y806">
        <f>HYPERLINK("https://klasma.github.io/Logging_2482/tillsynsmail/A 2436-2025 tillsynsbegäran mail.docx", "A 2436-2025")</f>
        <v/>
      </c>
      <c r="Z806">
        <f>HYPERLINK("https://klasma.github.io/Logging_2482/fåglar/A 2436-2025 prioriterade fågelarter.docx", "A 2436-2025")</f>
        <v/>
      </c>
    </row>
    <row r="807" ht="15" customHeight="1">
      <c r="A807" t="inlineStr">
        <is>
          <t>A 16833-2024</t>
        </is>
      </c>
      <c r="B807" s="1" t="n">
        <v>45411</v>
      </c>
      <c r="C807" s="1" t="n">
        <v>45971</v>
      </c>
      <c r="D807" t="inlineStr">
        <is>
          <t>VÄSTERBOTTENS LÄN</t>
        </is>
      </c>
      <c r="E807" t="inlineStr">
        <is>
          <t>STORUMAN</t>
        </is>
      </c>
      <c r="F807" t="inlineStr">
        <is>
          <t>Sveaskog</t>
        </is>
      </c>
      <c r="G807" t="n">
        <v>7.4</v>
      </c>
      <c r="H807" t="n">
        <v>1</v>
      </c>
      <c r="I807" t="n">
        <v>0</v>
      </c>
      <c r="J807" t="n">
        <v>0</v>
      </c>
      <c r="K807" t="n">
        <v>1</v>
      </c>
      <c r="L807" t="n">
        <v>0</v>
      </c>
      <c r="M807" t="n">
        <v>0</v>
      </c>
      <c r="N807" t="n">
        <v>0</v>
      </c>
      <c r="O807" t="n">
        <v>1</v>
      </c>
      <c r="P807" t="n">
        <v>1</v>
      </c>
      <c r="Q807" t="n">
        <v>1</v>
      </c>
      <c r="R807" s="2" t="inlineStr">
        <is>
          <t>Knärot</t>
        </is>
      </c>
      <c r="S807">
        <f>HYPERLINK("https://klasma.github.io/Logging_2421/artfynd/A 16833-2024 artfynd.xlsx", "A 16833-2024")</f>
        <v/>
      </c>
      <c r="T807">
        <f>HYPERLINK("https://klasma.github.io/Logging_2421/kartor/A 16833-2024 karta.png", "A 16833-2024")</f>
        <v/>
      </c>
      <c r="U807">
        <f>HYPERLINK("https://klasma.github.io/Logging_2421/knärot/A 16833-2024 karta knärot.png", "A 16833-2024")</f>
        <v/>
      </c>
      <c r="V807">
        <f>HYPERLINK("https://klasma.github.io/Logging_2421/klagomål/A 16833-2024 FSC-klagomål.docx", "A 16833-2024")</f>
        <v/>
      </c>
      <c r="W807">
        <f>HYPERLINK("https://klasma.github.io/Logging_2421/klagomålsmail/A 16833-2024 FSC-klagomål mail.docx", "A 16833-2024")</f>
        <v/>
      </c>
      <c r="X807">
        <f>HYPERLINK("https://klasma.github.io/Logging_2421/tillsyn/A 16833-2024 tillsynsbegäran.docx", "A 16833-2024")</f>
        <v/>
      </c>
      <c r="Y807">
        <f>HYPERLINK("https://klasma.github.io/Logging_2421/tillsynsmail/A 16833-2024 tillsynsbegäran mail.docx", "A 16833-2024")</f>
        <v/>
      </c>
    </row>
    <row r="808" ht="15" customHeight="1">
      <c r="A808" t="inlineStr">
        <is>
          <t>A 49370-2021</t>
        </is>
      </c>
      <c r="B808" s="1" t="n">
        <v>44454</v>
      </c>
      <c r="C808" s="1" t="n">
        <v>45971</v>
      </c>
      <c r="D808" t="inlineStr">
        <is>
          <t>VÄSTERBOTTENS LÄN</t>
        </is>
      </c>
      <c r="E808" t="inlineStr">
        <is>
          <t>MALÅ</t>
        </is>
      </c>
      <c r="F808" t="inlineStr">
        <is>
          <t>Sveaskog</t>
        </is>
      </c>
      <c r="G808" t="n">
        <v>26.5</v>
      </c>
      <c r="H808" t="n">
        <v>1</v>
      </c>
      <c r="I808" t="n">
        <v>0</v>
      </c>
      <c r="J808" t="n">
        <v>0</v>
      </c>
      <c r="K808" t="n">
        <v>1</v>
      </c>
      <c r="L808" t="n">
        <v>0</v>
      </c>
      <c r="M808" t="n">
        <v>0</v>
      </c>
      <c r="N808" t="n">
        <v>0</v>
      </c>
      <c r="O808" t="n">
        <v>1</v>
      </c>
      <c r="P808" t="n">
        <v>1</v>
      </c>
      <c r="Q808" t="n">
        <v>1</v>
      </c>
      <c r="R808" s="2" t="inlineStr">
        <is>
          <t>Norna</t>
        </is>
      </c>
      <c r="S808">
        <f>HYPERLINK("https://klasma.github.io/Logging_2418/artfynd/A 49370-2021 artfynd.xlsx", "A 49370-2021")</f>
        <v/>
      </c>
      <c r="T808">
        <f>HYPERLINK("https://klasma.github.io/Logging_2418/kartor/A 49370-2021 karta.png", "A 49370-2021")</f>
        <v/>
      </c>
      <c r="V808">
        <f>HYPERLINK("https://klasma.github.io/Logging_2418/klagomål/A 49370-2021 FSC-klagomål.docx", "A 49370-2021")</f>
        <v/>
      </c>
      <c r="W808">
        <f>HYPERLINK("https://klasma.github.io/Logging_2418/klagomålsmail/A 49370-2021 FSC-klagomål mail.docx", "A 49370-2021")</f>
        <v/>
      </c>
      <c r="X808">
        <f>HYPERLINK("https://klasma.github.io/Logging_2418/tillsyn/A 49370-2021 tillsynsbegäran.docx", "A 49370-2021")</f>
        <v/>
      </c>
      <c r="Y808">
        <f>HYPERLINK("https://klasma.github.io/Logging_2418/tillsynsmail/A 49370-2021 tillsynsbegäran mail.docx", "A 49370-2021")</f>
        <v/>
      </c>
    </row>
    <row r="809" ht="15" customHeight="1">
      <c r="A809" t="inlineStr">
        <is>
          <t>A 45774-2024</t>
        </is>
      </c>
      <c r="B809" s="1" t="n">
        <v>45579</v>
      </c>
      <c r="C809" s="1" t="n">
        <v>45971</v>
      </c>
      <c r="D809" t="inlineStr">
        <is>
          <t>VÄSTERBOTTENS LÄN</t>
        </is>
      </c>
      <c r="E809" t="inlineStr">
        <is>
          <t>LYCKSELE</t>
        </is>
      </c>
      <c r="F809" t="inlineStr">
        <is>
          <t>SCA</t>
        </is>
      </c>
      <c r="G809" t="n">
        <v>4.3</v>
      </c>
      <c r="H809" t="n">
        <v>0</v>
      </c>
      <c r="I809" t="n">
        <v>1</v>
      </c>
      <c r="J809" t="n">
        <v>0</v>
      </c>
      <c r="K809" t="n">
        <v>0</v>
      </c>
      <c r="L809" t="n">
        <v>0</v>
      </c>
      <c r="M809" t="n">
        <v>0</v>
      </c>
      <c r="N809" t="n">
        <v>0</v>
      </c>
      <c r="O809" t="n">
        <v>0</v>
      </c>
      <c r="P809" t="n">
        <v>0</v>
      </c>
      <c r="Q809" t="n">
        <v>1</v>
      </c>
      <c r="R809" s="2" t="inlineStr">
        <is>
          <t>Barkticka</t>
        </is>
      </c>
      <c r="S809">
        <f>HYPERLINK("https://klasma.github.io/Logging_2481/artfynd/A 45774-2024 artfynd.xlsx", "A 45774-2024")</f>
        <v/>
      </c>
      <c r="T809">
        <f>HYPERLINK("https://klasma.github.io/Logging_2481/kartor/A 45774-2024 karta.png", "A 45774-2024")</f>
        <v/>
      </c>
      <c r="V809">
        <f>HYPERLINK("https://klasma.github.io/Logging_2481/klagomål/A 45774-2024 FSC-klagomål.docx", "A 45774-2024")</f>
        <v/>
      </c>
      <c r="W809">
        <f>HYPERLINK("https://klasma.github.io/Logging_2481/klagomålsmail/A 45774-2024 FSC-klagomål mail.docx", "A 45774-2024")</f>
        <v/>
      </c>
      <c r="X809">
        <f>HYPERLINK("https://klasma.github.io/Logging_2481/tillsyn/A 45774-2024 tillsynsbegäran.docx", "A 45774-2024")</f>
        <v/>
      </c>
      <c r="Y809">
        <f>HYPERLINK("https://klasma.github.io/Logging_2481/tillsynsmail/A 45774-2024 tillsynsbegäran mail.docx", "A 45774-2024")</f>
        <v/>
      </c>
    </row>
    <row r="810" ht="15" customHeight="1">
      <c r="A810" t="inlineStr">
        <is>
          <t>A 19713-2021</t>
        </is>
      </c>
      <c r="B810" s="1" t="n">
        <v>44312</v>
      </c>
      <c r="C810" s="1" t="n">
        <v>45971</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61794-2023</t>
        </is>
      </c>
      <c r="B811" s="1" t="n">
        <v>45265</v>
      </c>
      <c r="C811" s="1" t="n">
        <v>45971</v>
      </c>
      <c r="D811" t="inlineStr">
        <is>
          <t>VÄSTERBOTTENS LÄN</t>
        </is>
      </c>
      <c r="E811" t="inlineStr">
        <is>
          <t>NORDMALING</t>
        </is>
      </c>
      <c r="F811" t="inlineStr">
        <is>
          <t>SCA</t>
        </is>
      </c>
      <c r="G811" t="n">
        <v>2.2</v>
      </c>
      <c r="H811" t="n">
        <v>0</v>
      </c>
      <c r="I811" t="n">
        <v>0</v>
      </c>
      <c r="J811" t="n">
        <v>1</v>
      </c>
      <c r="K811" t="n">
        <v>0</v>
      </c>
      <c r="L811" t="n">
        <v>0</v>
      </c>
      <c r="M811" t="n">
        <v>0</v>
      </c>
      <c r="N811" t="n">
        <v>0</v>
      </c>
      <c r="O811" t="n">
        <v>1</v>
      </c>
      <c r="P811" t="n">
        <v>0</v>
      </c>
      <c r="Q811" t="n">
        <v>1</v>
      </c>
      <c r="R811" s="2" t="inlineStr">
        <is>
          <t>Ullticka</t>
        </is>
      </c>
      <c r="S811">
        <f>HYPERLINK("https://klasma.github.io/Logging_2401/artfynd/A 61794-2023 artfynd.xlsx", "A 61794-2023")</f>
        <v/>
      </c>
      <c r="T811">
        <f>HYPERLINK("https://klasma.github.io/Logging_2401/kartor/A 61794-2023 karta.png", "A 61794-2023")</f>
        <v/>
      </c>
      <c r="V811">
        <f>HYPERLINK("https://klasma.github.io/Logging_2401/klagomål/A 61794-2023 FSC-klagomål.docx", "A 61794-2023")</f>
        <v/>
      </c>
      <c r="W811">
        <f>HYPERLINK("https://klasma.github.io/Logging_2401/klagomålsmail/A 61794-2023 FSC-klagomål mail.docx", "A 61794-2023")</f>
        <v/>
      </c>
      <c r="X811">
        <f>HYPERLINK("https://klasma.github.io/Logging_2401/tillsyn/A 61794-2023 tillsynsbegäran.docx", "A 61794-2023")</f>
        <v/>
      </c>
      <c r="Y811">
        <f>HYPERLINK("https://klasma.github.io/Logging_2401/tillsynsmail/A 61794-2023 tillsynsbegäran mail.docx", "A 61794-2023")</f>
        <v/>
      </c>
    </row>
    <row r="812" ht="15" customHeight="1">
      <c r="A812" t="inlineStr">
        <is>
          <t>A 37745-2023</t>
        </is>
      </c>
      <c r="B812" s="1" t="n">
        <v>45156</v>
      </c>
      <c r="C812" s="1" t="n">
        <v>45971</v>
      </c>
      <c r="D812" t="inlineStr">
        <is>
          <t>VÄSTERBOTTENS LÄN</t>
        </is>
      </c>
      <c r="E812" t="inlineStr">
        <is>
          <t>SORSELE</t>
        </is>
      </c>
      <c r="G812" t="n">
        <v>8.6</v>
      </c>
      <c r="H812" t="n">
        <v>1</v>
      </c>
      <c r="I812" t="n">
        <v>1</v>
      </c>
      <c r="J812" t="n">
        <v>0</v>
      </c>
      <c r="K812" t="n">
        <v>0</v>
      </c>
      <c r="L812" t="n">
        <v>0</v>
      </c>
      <c r="M812" t="n">
        <v>0</v>
      </c>
      <c r="N812" t="n">
        <v>0</v>
      </c>
      <c r="O812" t="n">
        <v>0</v>
      </c>
      <c r="P812" t="n">
        <v>0</v>
      </c>
      <c r="Q812" t="n">
        <v>1</v>
      </c>
      <c r="R812" s="2" t="inlineStr">
        <is>
          <t>Lappranunkel</t>
        </is>
      </c>
      <c r="S812">
        <f>HYPERLINK("https://klasma.github.io/Logging_2422/artfynd/A 37745-2023 artfynd.xlsx", "A 37745-2023")</f>
        <v/>
      </c>
      <c r="T812">
        <f>HYPERLINK("https://klasma.github.io/Logging_2422/kartor/A 37745-2023 karta.png", "A 37745-2023")</f>
        <v/>
      </c>
      <c r="V812">
        <f>HYPERLINK("https://klasma.github.io/Logging_2422/klagomål/A 37745-2023 FSC-klagomål.docx", "A 37745-2023")</f>
        <v/>
      </c>
      <c r="W812">
        <f>HYPERLINK("https://klasma.github.io/Logging_2422/klagomålsmail/A 37745-2023 FSC-klagomål mail.docx", "A 37745-2023")</f>
        <v/>
      </c>
      <c r="X812">
        <f>HYPERLINK("https://klasma.github.io/Logging_2422/tillsyn/A 37745-2023 tillsynsbegäran.docx", "A 37745-2023")</f>
        <v/>
      </c>
      <c r="Y812">
        <f>HYPERLINK("https://klasma.github.io/Logging_2422/tillsynsmail/A 37745-2023 tillsynsbegäran mail.docx", "A 37745-2023")</f>
        <v/>
      </c>
    </row>
    <row r="813" ht="15" customHeight="1">
      <c r="A813" t="inlineStr">
        <is>
          <t>A 21386-2024</t>
        </is>
      </c>
      <c r="B813" s="1" t="n">
        <v>45440</v>
      </c>
      <c r="C813" s="1" t="n">
        <v>45971</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23458-2024</t>
        </is>
      </c>
      <c r="B814" s="1" t="n">
        <v>45453.64537037037</v>
      </c>
      <c r="C814" s="1" t="n">
        <v>45971</v>
      </c>
      <c r="D814" t="inlineStr">
        <is>
          <t>VÄSTERBOTTENS LÄN</t>
        </is>
      </c>
      <c r="E814" t="inlineStr">
        <is>
          <t>STORUMAN</t>
        </is>
      </c>
      <c r="F814" t="inlineStr">
        <is>
          <t>Sveaskog</t>
        </is>
      </c>
      <c r="G814" t="n">
        <v>2.2</v>
      </c>
      <c r="H814" t="n">
        <v>0</v>
      </c>
      <c r="I814" t="n">
        <v>1</v>
      </c>
      <c r="J814" t="n">
        <v>0</v>
      </c>
      <c r="K814" t="n">
        <v>0</v>
      </c>
      <c r="L814" t="n">
        <v>0</v>
      </c>
      <c r="M814" t="n">
        <v>0</v>
      </c>
      <c r="N814" t="n">
        <v>0</v>
      </c>
      <c r="O814" t="n">
        <v>0</v>
      </c>
      <c r="P814" t="n">
        <v>0</v>
      </c>
      <c r="Q814" t="n">
        <v>1</v>
      </c>
      <c r="R814" s="2" t="inlineStr">
        <is>
          <t>Dropptaggsvamp</t>
        </is>
      </c>
      <c r="S814">
        <f>HYPERLINK("https://klasma.github.io/Logging_2421/artfynd/A 23458-2024 artfynd.xlsx", "A 23458-2024")</f>
        <v/>
      </c>
      <c r="T814">
        <f>HYPERLINK("https://klasma.github.io/Logging_2421/kartor/A 23458-2024 karta.png", "A 23458-2024")</f>
        <v/>
      </c>
      <c r="V814">
        <f>HYPERLINK("https://klasma.github.io/Logging_2421/klagomål/A 23458-2024 FSC-klagomål.docx", "A 23458-2024")</f>
        <v/>
      </c>
      <c r="W814">
        <f>HYPERLINK("https://klasma.github.io/Logging_2421/klagomålsmail/A 23458-2024 FSC-klagomål mail.docx", "A 23458-2024")</f>
        <v/>
      </c>
      <c r="X814">
        <f>HYPERLINK("https://klasma.github.io/Logging_2421/tillsyn/A 23458-2024 tillsynsbegäran.docx", "A 23458-2024")</f>
        <v/>
      </c>
      <c r="Y814">
        <f>HYPERLINK("https://klasma.github.io/Logging_2421/tillsynsmail/A 23458-2024 tillsynsbegäran mail.docx", "A 23458-2024")</f>
        <v/>
      </c>
    </row>
    <row r="815" ht="15" customHeight="1">
      <c r="A815" t="inlineStr">
        <is>
          <t>A 44286-2024</t>
        </is>
      </c>
      <c r="B815" s="1" t="n">
        <v>45573</v>
      </c>
      <c r="C815" s="1" t="n">
        <v>45971</v>
      </c>
      <c r="D815" t="inlineStr">
        <is>
          <t>VÄSTERBOTTENS LÄN</t>
        </is>
      </c>
      <c r="E815" t="inlineStr">
        <is>
          <t>VILHELMINA</t>
        </is>
      </c>
      <c r="G815" t="n">
        <v>29.2</v>
      </c>
      <c r="H815" t="n">
        <v>1</v>
      </c>
      <c r="I815" t="n">
        <v>0</v>
      </c>
      <c r="J815" t="n">
        <v>1</v>
      </c>
      <c r="K815" t="n">
        <v>0</v>
      </c>
      <c r="L815" t="n">
        <v>0</v>
      </c>
      <c r="M815" t="n">
        <v>0</v>
      </c>
      <c r="N815" t="n">
        <v>0</v>
      </c>
      <c r="O815" t="n">
        <v>1</v>
      </c>
      <c r="P815" t="n">
        <v>0</v>
      </c>
      <c r="Q815" t="n">
        <v>1</v>
      </c>
      <c r="R815" s="2" t="inlineStr">
        <is>
          <t>Videsparv</t>
        </is>
      </c>
      <c r="S815">
        <f>HYPERLINK("https://klasma.github.io/Logging_2462/artfynd/A 44286-2024 artfynd.xlsx", "A 44286-2024")</f>
        <v/>
      </c>
      <c r="T815">
        <f>HYPERLINK("https://klasma.github.io/Logging_2462/kartor/A 44286-2024 karta.png", "A 44286-2024")</f>
        <v/>
      </c>
      <c r="V815">
        <f>HYPERLINK("https://klasma.github.io/Logging_2462/klagomål/A 44286-2024 FSC-klagomål.docx", "A 44286-2024")</f>
        <v/>
      </c>
      <c r="W815">
        <f>HYPERLINK("https://klasma.github.io/Logging_2462/klagomålsmail/A 44286-2024 FSC-klagomål mail.docx", "A 44286-2024")</f>
        <v/>
      </c>
      <c r="X815">
        <f>HYPERLINK("https://klasma.github.io/Logging_2462/tillsyn/A 44286-2024 tillsynsbegäran.docx", "A 44286-2024")</f>
        <v/>
      </c>
      <c r="Y815">
        <f>HYPERLINK("https://klasma.github.io/Logging_2462/tillsynsmail/A 44286-2024 tillsynsbegäran mail.docx", "A 44286-2024")</f>
        <v/>
      </c>
      <c r="Z815">
        <f>HYPERLINK("https://klasma.github.io/Logging_2462/fåglar/A 44286-2024 prioriterade fågelarter.docx", "A 44286-2024")</f>
        <v/>
      </c>
    </row>
    <row r="816" ht="15" customHeight="1">
      <c r="A816" t="inlineStr">
        <is>
          <t>A 43097-2023</t>
        </is>
      </c>
      <c r="B816" s="1" t="n">
        <v>45182</v>
      </c>
      <c r="C816" s="1" t="n">
        <v>45971</v>
      </c>
      <c r="D816" t="inlineStr">
        <is>
          <t>VÄSTERBOTTENS LÄN</t>
        </is>
      </c>
      <c r="E816" t="inlineStr">
        <is>
          <t>ROBERTSFORS</t>
        </is>
      </c>
      <c r="G816" t="n">
        <v>3</v>
      </c>
      <c r="H816" t="n">
        <v>1</v>
      </c>
      <c r="I816" t="n">
        <v>0</v>
      </c>
      <c r="J816" t="n">
        <v>1</v>
      </c>
      <c r="K816" t="n">
        <v>0</v>
      </c>
      <c r="L816" t="n">
        <v>0</v>
      </c>
      <c r="M816" t="n">
        <v>0</v>
      </c>
      <c r="N816" t="n">
        <v>0</v>
      </c>
      <c r="O816" t="n">
        <v>1</v>
      </c>
      <c r="P816" t="n">
        <v>0</v>
      </c>
      <c r="Q816" t="n">
        <v>1</v>
      </c>
      <c r="R816" s="2" t="inlineStr">
        <is>
          <t>Talltita</t>
        </is>
      </c>
      <c r="S816">
        <f>HYPERLINK("https://klasma.github.io/Logging_2409/artfynd/A 43097-2023 artfynd.xlsx", "A 43097-2023")</f>
        <v/>
      </c>
      <c r="T816">
        <f>HYPERLINK("https://klasma.github.io/Logging_2409/kartor/A 43097-2023 karta.png", "A 43097-2023")</f>
        <v/>
      </c>
      <c r="V816">
        <f>HYPERLINK("https://klasma.github.io/Logging_2409/klagomål/A 43097-2023 FSC-klagomål.docx", "A 43097-2023")</f>
        <v/>
      </c>
      <c r="W816">
        <f>HYPERLINK("https://klasma.github.io/Logging_2409/klagomålsmail/A 43097-2023 FSC-klagomål mail.docx", "A 43097-2023")</f>
        <v/>
      </c>
      <c r="X816">
        <f>HYPERLINK("https://klasma.github.io/Logging_2409/tillsyn/A 43097-2023 tillsynsbegäran.docx", "A 43097-2023")</f>
        <v/>
      </c>
      <c r="Y816">
        <f>HYPERLINK("https://klasma.github.io/Logging_2409/tillsynsmail/A 43097-2023 tillsynsbegäran mail.docx", "A 43097-2023")</f>
        <v/>
      </c>
      <c r="Z816">
        <f>HYPERLINK("https://klasma.github.io/Logging_2409/fåglar/A 43097-2023 prioriterade fågelarter.docx", "A 43097-2023")</f>
        <v/>
      </c>
    </row>
    <row r="817" ht="15" customHeight="1">
      <c r="A817" t="inlineStr">
        <is>
          <t>A 25111-2023</t>
        </is>
      </c>
      <c r="B817" s="1" t="n">
        <v>45078</v>
      </c>
      <c r="C817" s="1" t="n">
        <v>45971</v>
      </c>
      <c r="D817" t="inlineStr">
        <is>
          <t>VÄSTERBOTTENS LÄN</t>
        </is>
      </c>
      <c r="E817" t="inlineStr">
        <is>
          <t>STORUMAN</t>
        </is>
      </c>
      <c r="F817" t="inlineStr">
        <is>
          <t>Övriga statliga verk och myndigheter</t>
        </is>
      </c>
      <c r="G817" t="n">
        <v>445.5</v>
      </c>
      <c r="H817" t="n">
        <v>0</v>
      </c>
      <c r="I817" t="n">
        <v>0</v>
      </c>
      <c r="J817" t="n">
        <v>0</v>
      </c>
      <c r="K817" t="n">
        <v>0</v>
      </c>
      <c r="L817" t="n">
        <v>0</v>
      </c>
      <c r="M817" t="n">
        <v>0</v>
      </c>
      <c r="N817" t="n">
        <v>0</v>
      </c>
      <c r="O817" t="n">
        <v>1</v>
      </c>
      <c r="P817" t="n">
        <v>0</v>
      </c>
      <c r="Q817" t="n">
        <v>1</v>
      </c>
      <c r="R817" s="2" t="inlineStr">
        <is>
          <t>Hieracium duplicaticeps</t>
        </is>
      </c>
      <c r="S817">
        <f>HYPERLINK("https://klasma.github.io/Logging_2421/artfynd/A 25111-2023 artfynd.xlsx", "A 25111-2023")</f>
        <v/>
      </c>
      <c r="T817">
        <f>HYPERLINK("https://klasma.github.io/Logging_2421/kartor/A 25111-2023 karta.png", "A 25111-2023")</f>
        <v/>
      </c>
      <c r="V817">
        <f>HYPERLINK("https://klasma.github.io/Logging_2421/klagomål/A 25111-2023 FSC-klagomål.docx", "A 25111-2023")</f>
        <v/>
      </c>
      <c r="W817">
        <f>HYPERLINK("https://klasma.github.io/Logging_2421/klagomålsmail/A 25111-2023 FSC-klagomål mail.docx", "A 25111-2023")</f>
        <v/>
      </c>
      <c r="X817">
        <f>HYPERLINK("https://klasma.github.io/Logging_2421/tillsyn/A 25111-2023 tillsynsbegäran.docx", "A 25111-2023")</f>
        <v/>
      </c>
      <c r="Y817">
        <f>HYPERLINK("https://klasma.github.io/Logging_2421/tillsynsmail/A 25111-2023 tillsynsbegäran mail.docx", "A 25111-2023")</f>
        <v/>
      </c>
    </row>
    <row r="818" ht="15" customHeight="1">
      <c r="A818" t="inlineStr">
        <is>
          <t>A 45267-2021</t>
        </is>
      </c>
      <c r="B818" s="1" t="n">
        <v>44439</v>
      </c>
      <c r="C818" s="1" t="n">
        <v>45971</v>
      </c>
      <c r="D818" t="inlineStr">
        <is>
          <t>VÄSTERBOTTENS LÄN</t>
        </is>
      </c>
      <c r="E818" t="inlineStr">
        <is>
          <t>VINDELN</t>
        </is>
      </c>
      <c r="G818" t="n">
        <v>1.9</v>
      </c>
      <c r="H818" t="n">
        <v>0</v>
      </c>
      <c r="I818" t="n">
        <v>1</v>
      </c>
      <c r="J818" t="n">
        <v>0</v>
      </c>
      <c r="K818" t="n">
        <v>0</v>
      </c>
      <c r="L818" t="n">
        <v>0</v>
      </c>
      <c r="M818" t="n">
        <v>0</v>
      </c>
      <c r="N818" t="n">
        <v>0</v>
      </c>
      <c r="O818" t="n">
        <v>0</v>
      </c>
      <c r="P818" t="n">
        <v>0</v>
      </c>
      <c r="Q818" t="n">
        <v>1</v>
      </c>
      <c r="R818" s="2" t="inlineStr">
        <is>
          <t>Mörk husmossa</t>
        </is>
      </c>
      <c r="S818">
        <f>HYPERLINK("https://klasma.github.io/Logging_2404/artfynd/A 45267-2021 artfynd.xlsx", "A 45267-2021")</f>
        <v/>
      </c>
      <c r="T818">
        <f>HYPERLINK("https://klasma.github.io/Logging_2404/kartor/A 45267-2021 karta.png", "A 45267-2021")</f>
        <v/>
      </c>
      <c r="V818">
        <f>HYPERLINK("https://klasma.github.io/Logging_2404/klagomål/A 45267-2021 FSC-klagomål.docx", "A 45267-2021")</f>
        <v/>
      </c>
      <c r="W818">
        <f>HYPERLINK("https://klasma.github.io/Logging_2404/klagomålsmail/A 45267-2021 FSC-klagomål mail.docx", "A 45267-2021")</f>
        <v/>
      </c>
      <c r="X818">
        <f>HYPERLINK("https://klasma.github.io/Logging_2404/tillsyn/A 45267-2021 tillsynsbegäran.docx", "A 45267-2021")</f>
        <v/>
      </c>
      <c r="Y818">
        <f>HYPERLINK("https://klasma.github.io/Logging_2404/tillsynsmail/A 45267-2021 tillsynsbegäran mail.docx", "A 45267-2021")</f>
        <v/>
      </c>
    </row>
    <row r="819" ht="15" customHeight="1">
      <c r="A819" t="inlineStr">
        <is>
          <t>A 5969-2025</t>
        </is>
      </c>
      <c r="B819" s="1" t="n">
        <v>45695.50104166667</v>
      </c>
      <c r="C819" s="1" t="n">
        <v>45971</v>
      </c>
      <c r="D819" t="inlineStr">
        <is>
          <t>VÄSTERBOTTENS LÄN</t>
        </is>
      </c>
      <c r="E819" t="inlineStr">
        <is>
          <t>ROBERTSFORS</t>
        </is>
      </c>
      <c r="G819" t="n">
        <v>18.1</v>
      </c>
      <c r="H819" t="n">
        <v>1</v>
      </c>
      <c r="I819" t="n">
        <v>0</v>
      </c>
      <c r="J819" t="n">
        <v>1</v>
      </c>
      <c r="K819" t="n">
        <v>0</v>
      </c>
      <c r="L819" t="n">
        <v>0</v>
      </c>
      <c r="M819" t="n">
        <v>0</v>
      </c>
      <c r="N819" t="n">
        <v>0</v>
      </c>
      <c r="O819" t="n">
        <v>1</v>
      </c>
      <c r="P819" t="n">
        <v>0</v>
      </c>
      <c r="Q819" t="n">
        <v>1</v>
      </c>
      <c r="R819" s="2" t="inlineStr">
        <is>
          <t>Tretåig hackspett</t>
        </is>
      </c>
      <c r="S819">
        <f>HYPERLINK("https://klasma.github.io/Logging_2409/artfynd/A 5969-2025 artfynd.xlsx", "A 5969-2025")</f>
        <v/>
      </c>
      <c r="T819">
        <f>HYPERLINK("https://klasma.github.io/Logging_2409/kartor/A 5969-2025 karta.png", "A 5969-2025")</f>
        <v/>
      </c>
      <c r="V819">
        <f>HYPERLINK("https://klasma.github.io/Logging_2409/klagomål/A 5969-2025 FSC-klagomål.docx", "A 5969-2025")</f>
        <v/>
      </c>
      <c r="W819">
        <f>HYPERLINK("https://klasma.github.io/Logging_2409/klagomålsmail/A 5969-2025 FSC-klagomål mail.docx", "A 5969-2025")</f>
        <v/>
      </c>
      <c r="X819">
        <f>HYPERLINK("https://klasma.github.io/Logging_2409/tillsyn/A 5969-2025 tillsynsbegäran.docx", "A 5969-2025")</f>
        <v/>
      </c>
      <c r="Y819">
        <f>HYPERLINK("https://klasma.github.io/Logging_2409/tillsynsmail/A 5969-2025 tillsynsbegäran mail.docx", "A 5969-2025")</f>
        <v/>
      </c>
      <c r="Z819">
        <f>HYPERLINK("https://klasma.github.io/Logging_2409/fåglar/A 5969-2025 prioriterade fågelarter.docx", "A 5969-2025")</f>
        <v/>
      </c>
    </row>
    <row r="820" ht="15" customHeight="1">
      <c r="A820" t="inlineStr">
        <is>
          <t>A 11845-2021</t>
        </is>
      </c>
      <c r="B820" s="1" t="n">
        <v>44265</v>
      </c>
      <c r="C820" s="1" t="n">
        <v>45971</v>
      </c>
      <c r="D820" t="inlineStr">
        <is>
          <t>VÄSTERBOTTENS LÄN</t>
        </is>
      </c>
      <c r="E820" t="inlineStr">
        <is>
          <t>SORSELE</t>
        </is>
      </c>
      <c r="G820" t="n">
        <v>2.8</v>
      </c>
      <c r="H820" t="n">
        <v>0</v>
      </c>
      <c r="I820" t="n">
        <v>0</v>
      </c>
      <c r="J820" t="n">
        <v>1</v>
      </c>
      <c r="K820" t="n">
        <v>0</v>
      </c>
      <c r="L820" t="n">
        <v>0</v>
      </c>
      <c r="M820" t="n">
        <v>0</v>
      </c>
      <c r="N820" t="n">
        <v>0</v>
      </c>
      <c r="O820" t="n">
        <v>1</v>
      </c>
      <c r="P820" t="n">
        <v>0</v>
      </c>
      <c r="Q820" t="n">
        <v>1</v>
      </c>
      <c r="R820" s="2" t="inlineStr">
        <is>
          <t>Blå taggsvamp</t>
        </is>
      </c>
      <c r="S820">
        <f>HYPERLINK("https://klasma.github.io/Logging_2422/artfynd/A 11845-2021 artfynd.xlsx", "A 11845-2021")</f>
        <v/>
      </c>
      <c r="T820">
        <f>HYPERLINK("https://klasma.github.io/Logging_2422/kartor/A 11845-2021 karta.png", "A 11845-2021")</f>
        <v/>
      </c>
      <c r="V820">
        <f>HYPERLINK("https://klasma.github.io/Logging_2422/klagomål/A 11845-2021 FSC-klagomål.docx", "A 11845-2021")</f>
        <v/>
      </c>
      <c r="W820">
        <f>HYPERLINK("https://klasma.github.io/Logging_2422/klagomålsmail/A 11845-2021 FSC-klagomål mail.docx", "A 11845-2021")</f>
        <v/>
      </c>
      <c r="X820">
        <f>HYPERLINK("https://klasma.github.io/Logging_2422/tillsyn/A 11845-2021 tillsynsbegäran.docx", "A 11845-2021")</f>
        <v/>
      </c>
      <c r="Y820">
        <f>HYPERLINK("https://klasma.github.io/Logging_2422/tillsynsmail/A 11845-2021 tillsynsbegäran mail.docx", "A 11845-2021")</f>
        <v/>
      </c>
    </row>
    <row r="821" ht="15" customHeight="1">
      <c r="A821" t="inlineStr">
        <is>
          <t>A 313-2025</t>
        </is>
      </c>
      <c r="B821" s="1" t="n">
        <v>45656</v>
      </c>
      <c r="C821" s="1" t="n">
        <v>45971</v>
      </c>
      <c r="D821" t="inlineStr">
        <is>
          <t>VÄSTERBOTTENS LÄN</t>
        </is>
      </c>
      <c r="E821" t="inlineStr">
        <is>
          <t>ROBERTSFORS</t>
        </is>
      </c>
      <c r="G821" t="n">
        <v>3.9</v>
      </c>
      <c r="H821" t="n">
        <v>1</v>
      </c>
      <c r="I821" t="n">
        <v>0</v>
      </c>
      <c r="J821" t="n">
        <v>1</v>
      </c>
      <c r="K821" t="n">
        <v>0</v>
      </c>
      <c r="L821" t="n">
        <v>0</v>
      </c>
      <c r="M821" t="n">
        <v>0</v>
      </c>
      <c r="N821" t="n">
        <v>0</v>
      </c>
      <c r="O821" t="n">
        <v>1</v>
      </c>
      <c r="P821" t="n">
        <v>0</v>
      </c>
      <c r="Q821" t="n">
        <v>1</v>
      </c>
      <c r="R821" s="2" t="inlineStr">
        <is>
          <t>Spillkråka</t>
        </is>
      </c>
      <c r="S821">
        <f>HYPERLINK("https://klasma.github.io/Logging_2409/artfynd/A 313-2025 artfynd.xlsx", "A 313-2025")</f>
        <v/>
      </c>
      <c r="T821">
        <f>HYPERLINK("https://klasma.github.io/Logging_2409/kartor/A 313-2025 karta.png", "A 313-2025")</f>
        <v/>
      </c>
      <c r="V821">
        <f>HYPERLINK("https://klasma.github.io/Logging_2409/klagomål/A 313-2025 FSC-klagomål.docx", "A 313-2025")</f>
        <v/>
      </c>
      <c r="W821">
        <f>HYPERLINK("https://klasma.github.io/Logging_2409/klagomålsmail/A 313-2025 FSC-klagomål mail.docx", "A 313-2025")</f>
        <v/>
      </c>
      <c r="X821">
        <f>HYPERLINK("https://klasma.github.io/Logging_2409/tillsyn/A 313-2025 tillsynsbegäran.docx", "A 313-2025")</f>
        <v/>
      </c>
      <c r="Y821">
        <f>HYPERLINK("https://klasma.github.io/Logging_2409/tillsynsmail/A 313-2025 tillsynsbegäran mail.docx", "A 313-2025")</f>
        <v/>
      </c>
      <c r="Z821">
        <f>HYPERLINK("https://klasma.github.io/Logging_2409/fåglar/A 313-2025 prioriterade fågelarter.docx", "A 313-2025")</f>
        <v/>
      </c>
    </row>
    <row r="822" ht="15" customHeight="1">
      <c r="A822" t="inlineStr">
        <is>
          <t>A 49850-2021</t>
        </is>
      </c>
      <c r="B822" s="1" t="n">
        <v>44455</v>
      </c>
      <c r="C822" s="1" t="n">
        <v>45971</v>
      </c>
      <c r="D822" t="inlineStr">
        <is>
          <t>VÄSTERBOTTENS LÄN</t>
        </is>
      </c>
      <c r="E822" t="inlineStr">
        <is>
          <t>UMEÅ</t>
        </is>
      </c>
      <c r="G822" t="n">
        <v>3.8</v>
      </c>
      <c r="H822" t="n">
        <v>0</v>
      </c>
      <c r="I822" t="n">
        <v>0</v>
      </c>
      <c r="J822" t="n">
        <v>1</v>
      </c>
      <c r="K822" t="n">
        <v>0</v>
      </c>
      <c r="L822" t="n">
        <v>0</v>
      </c>
      <c r="M822" t="n">
        <v>0</v>
      </c>
      <c r="N822" t="n">
        <v>0</v>
      </c>
      <c r="O822" t="n">
        <v>1</v>
      </c>
      <c r="P822" t="n">
        <v>0</v>
      </c>
      <c r="Q822" t="n">
        <v>1</v>
      </c>
      <c r="R822" s="2" t="inlineStr">
        <is>
          <t>Skogshare</t>
        </is>
      </c>
      <c r="S822">
        <f>HYPERLINK("https://klasma.github.io/Logging_2480/artfynd/A 49850-2021 artfynd.xlsx", "A 49850-2021")</f>
        <v/>
      </c>
      <c r="T822">
        <f>HYPERLINK("https://klasma.github.io/Logging_2480/kartor/A 49850-2021 karta.png", "A 49850-2021")</f>
        <v/>
      </c>
      <c r="V822">
        <f>HYPERLINK("https://klasma.github.io/Logging_2480/klagomål/A 49850-2021 FSC-klagomål.docx", "A 49850-2021")</f>
        <v/>
      </c>
      <c r="W822">
        <f>HYPERLINK("https://klasma.github.io/Logging_2480/klagomålsmail/A 49850-2021 FSC-klagomål mail.docx", "A 49850-2021")</f>
        <v/>
      </c>
      <c r="X822">
        <f>HYPERLINK("https://klasma.github.io/Logging_2480/tillsyn/A 49850-2021 tillsynsbegäran.docx", "A 49850-2021")</f>
        <v/>
      </c>
      <c r="Y822">
        <f>HYPERLINK("https://klasma.github.io/Logging_2480/tillsynsmail/A 49850-2021 tillsynsbegäran mail.docx", "A 49850-2021")</f>
        <v/>
      </c>
    </row>
    <row r="823" ht="15" customHeight="1">
      <c r="A823" t="inlineStr">
        <is>
          <t>A 18248-2021</t>
        </is>
      </c>
      <c r="B823" s="1" t="n">
        <v>44305</v>
      </c>
      <c r="C823" s="1" t="n">
        <v>45971</v>
      </c>
      <c r="D823" t="inlineStr">
        <is>
          <t>VÄSTERBOTTENS LÄN</t>
        </is>
      </c>
      <c r="E823" t="inlineStr">
        <is>
          <t>UMEÅ</t>
        </is>
      </c>
      <c r="G823" t="n">
        <v>22</v>
      </c>
      <c r="H823" t="n">
        <v>1</v>
      </c>
      <c r="I823" t="n">
        <v>0</v>
      </c>
      <c r="J823" t="n">
        <v>0</v>
      </c>
      <c r="K823" t="n">
        <v>0</v>
      </c>
      <c r="L823" t="n">
        <v>0</v>
      </c>
      <c r="M823" t="n">
        <v>0</v>
      </c>
      <c r="N823" t="n">
        <v>0</v>
      </c>
      <c r="O823" t="n">
        <v>0</v>
      </c>
      <c r="P823" t="n">
        <v>0</v>
      </c>
      <c r="Q823" t="n">
        <v>1</v>
      </c>
      <c r="R823" s="2" t="inlineStr">
        <is>
          <t>Bivråk</t>
        </is>
      </c>
      <c r="S823">
        <f>HYPERLINK("https://klasma.github.io/Logging_2480/artfynd/A 18248-2021 artfynd.xlsx", "A 18248-2021")</f>
        <v/>
      </c>
      <c r="T823">
        <f>HYPERLINK("https://klasma.github.io/Logging_2480/kartor/A 18248-2021 karta.png", "A 18248-2021")</f>
        <v/>
      </c>
      <c r="V823">
        <f>HYPERLINK("https://klasma.github.io/Logging_2480/klagomål/A 18248-2021 FSC-klagomål.docx", "A 18248-2021")</f>
        <v/>
      </c>
      <c r="W823">
        <f>HYPERLINK("https://klasma.github.io/Logging_2480/klagomålsmail/A 18248-2021 FSC-klagomål mail.docx", "A 18248-2021")</f>
        <v/>
      </c>
      <c r="X823">
        <f>HYPERLINK("https://klasma.github.io/Logging_2480/tillsyn/A 18248-2021 tillsynsbegäran.docx", "A 18248-2021")</f>
        <v/>
      </c>
      <c r="Y823">
        <f>HYPERLINK("https://klasma.github.io/Logging_2480/tillsynsmail/A 18248-2021 tillsynsbegäran mail.docx", "A 18248-2021")</f>
        <v/>
      </c>
      <c r="Z823">
        <f>HYPERLINK("https://klasma.github.io/Logging_2480/fåglar/A 18248-2021 prioriterade fågelarter.docx", "A 18248-2021")</f>
        <v/>
      </c>
    </row>
    <row r="824" ht="15" customHeight="1">
      <c r="A824" t="inlineStr">
        <is>
          <t>A 32964-2021</t>
        </is>
      </c>
      <c r="B824" s="1" t="n">
        <v>44376</v>
      </c>
      <c r="C824" s="1" t="n">
        <v>45971</v>
      </c>
      <c r="D824" t="inlineStr">
        <is>
          <t>VÄSTERBOTTENS LÄN</t>
        </is>
      </c>
      <c r="E824" t="inlineStr">
        <is>
          <t>SKELLEFTEÅ</t>
        </is>
      </c>
      <c r="G824" t="n">
        <v>16</v>
      </c>
      <c r="H824" t="n">
        <v>0</v>
      </c>
      <c r="I824" t="n">
        <v>0</v>
      </c>
      <c r="J824" t="n">
        <v>1</v>
      </c>
      <c r="K824" t="n">
        <v>0</v>
      </c>
      <c r="L824" t="n">
        <v>0</v>
      </c>
      <c r="M824" t="n">
        <v>0</v>
      </c>
      <c r="N824" t="n">
        <v>0</v>
      </c>
      <c r="O824" t="n">
        <v>1</v>
      </c>
      <c r="P824" t="n">
        <v>0</v>
      </c>
      <c r="Q824" t="n">
        <v>1</v>
      </c>
      <c r="R824" s="2" t="inlineStr">
        <is>
          <t>Kådvaxskinn</t>
        </is>
      </c>
      <c r="S824">
        <f>HYPERLINK("https://klasma.github.io/Logging_2482/artfynd/A 32964-2021 artfynd.xlsx", "A 32964-2021")</f>
        <v/>
      </c>
      <c r="T824">
        <f>HYPERLINK("https://klasma.github.io/Logging_2482/kartor/A 32964-2021 karta.png", "A 32964-2021")</f>
        <v/>
      </c>
      <c r="V824">
        <f>HYPERLINK("https://klasma.github.io/Logging_2482/klagomål/A 32964-2021 FSC-klagomål.docx", "A 32964-2021")</f>
        <v/>
      </c>
      <c r="W824">
        <f>HYPERLINK("https://klasma.github.io/Logging_2482/klagomålsmail/A 32964-2021 FSC-klagomål mail.docx", "A 32964-2021")</f>
        <v/>
      </c>
      <c r="X824">
        <f>HYPERLINK("https://klasma.github.io/Logging_2482/tillsyn/A 32964-2021 tillsynsbegäran.docx", "A 32964-2021")</f>
        <v/>
      </c>
      <c r="Y824">
        <f>HYPERLINK("https://klasma.github.io/Logging_2482/tillsynsmail/A 32964-2021 tillsynsbegäran mail.docx", "A 32964-2021")</f>
        <v/>
      </c>
    </row>
    <row r="825" ht="15" customHeight="1">
      <c r="A825" t="inlineStr">
        <is>
          <t>A 5683-2025</t>
        </is>
      </c>
      <c r="B825" s="1" t="n">
        <v>45694.35394675926</v>
      </c>
      <c r="C825" s="1" t="n">
        <v>45971</v>
      </c>
      <c r="D825" t="inlineStr">
        <is>
          <t>VÄSTERBOTTENS LÄN</t>
        </is>
      </c>
      <c r="E825" t="inlineStr">
        <is>
          <t>LYCKSELE</t>
        </is>
      </c>
      <c r="G825" t="n">
        <v>4.4</v>
      </c>
      <c r="H825" t="n">
        <v>0</v>
      </c>
      <c r="I825" t="n">
        <v>0</v>
      </c>
      <c r="J825" t="n">
        <v>1</v>
      </c>
      <c r="K825" t="n">
        <v>0</v>
      </c>
      <c r="L825" t="n">
        <v>0</v>
      </c>
      <c r="M825" t="n">
        <v>0</v>
      </c>
      <c r="N825" t="n">
        <v>0</v>
      </c>
      <c r="O825" t="n">
        <v>1</v>
      </c>
      <c r="P825" t="n">
        <v>0</v>
      </c>
      <c r="Q825" t="n">
        <v>1</v>
      </c>
      <c r="R825" s="2" t="inlineStr">
        <is>
          <t>Vitgrynig nållav</t>
        </is>
      </c>
      <c r="S825">
        <f>HYPERLINK("https://klasma.github.io/Logging_2481/artfynd/A 5683-2025 artfynd.xlsx", "A 5683-2025")</f>
        <v/>
      </c>
      <c r="T825">
        <f>HYPERLINK("https://klasma.github.io/Logging_2481/kartor/A 5683-2025 karta.png", "A 5683-2025")</f>
        <v/>
      </c>
      <c r="V825">
        <f>HYPERLINK("https://klasma.github.io/Logging_2481/klagomål/A 5683-2025 FSC-klagomål.docx", "A 5683-2025")</f>
        <v/>
      </c>
      <c r="W825">
        <f>HYPERLINK("https://klasma.github.io/Logging_2481/klagomålsmail/A 5683-2025 FSC-klagomål mail.docx", "A 5683-2025")</f>
        <v/>
      </c>
      <c r="X825">
        <f>HYPERLINK("https://klasma.github.io/Logging_2481/tillsyn/A 5683-2025 tillsynsbegäran.docx", "A 5683-2025")</f>
        <v/>
      </c>
      <c r="Y825">
        <f>HYPERLINK("https://klasma.github.io/Logging_2481/tillsynsmail/A 5683-2025 tillsynsbegäran mail.docx", "A 5683-2025")</f>
        <v/>
      </c>
    </row>
    <row r="826" ht="15" customHeight="1">
      <c r="A826" t="inlineStr">
        <is>
          <t>A 9012-2025</t>
        </is>
      </c>
      <c r="B826" s="1" t="n">
        <v>45713.58675925926</v>
      </c>
      <c r="C826" s="1" t="n">
        <v>45971</v>
      </c>
      <c r="D826" t="inlineStr">
        <is>
          <t>VÄSTERBOTTENS LÄN</t>
        </is>
      </c>
      <c r="E826" t="inlineStr">
        <is>
          <t>NORDMALING</t>
        </is>
      </c>
      <c r="G826" t="n">
        <v>6.3</v>
      </c>
      <c r="H826" t="n">
        <v>1</v>
      </c>
      <c r="I826" t="n">
        <v>0</v>
      </c>
      <c r="J826" t="n">
        <v>1</v>
      </c>
      <c r="K826" t="n">
        <v>0</v>
      </c>
      <c r="L826" t="n">
        <v>0</v>
      </c>
      <c r="M826" t="n">
        <v>0</v>
      </c>
      <c r="N826" t="n">
        <v>0</v>
      </c>
      <c r="O826" t="n">
        <v>1</v>
      </c>
      <c r="P826" t="n">
        <v>0</v>
      </c>
      <c r="Q826" t="n">
        <v>1</v>
      </c>
      <c r="R826" s="2" t="inlineStr">
        <is>
          <t>Talltita</t>
        </is>
      </c>
      <c r="S826">
        <f>HYPERLINK("https://klasma.github.io/Logging_2401/artfynd/A 9012-2025 artfynd.xlsx", "A 9012-2025")</f>
        <v/>
      </c>
      <c r="T826">
        <f>HYPERLINK("https://klasma.github.io/Logging_2401/kartor/A 9012-2025 karta.png", "A 9012-2025")</f>
        <v/>
      </c>
      <c r="V826">
        <f>HYPERLINK("https://klasma.github.io/Logging_2401/klagomål/A 9012-2025 FSC-klagomål.docx", "A 9012-2025")</f>
        <v/>
      </c>
      <c r="W826">
        <f>HYPERLINK("https://klasma.github.io/Logging_2401/klagomålsmail/A 9012-2025 FSC-klagomål mail.docx", "A 9012-2025")</f>
        <v/>
      </c>
      <c r="X826">
        <f>HYPERLINK("https://klasma.github.io/Logging_2401/tillsyn/A 9012-2025 tillsynsbegäran.docx", "A 9012-2025")</f>
        <v/>
      </c>
      <c r="Y826">
        <f>HYPERLINK("https://klasma.github.io/Logging_2401/tillsynsmail/A 9012-2025 tillsynsbegäran mail.docx", "A 9012-2025")</f>
        <v/>
      </c>
      <c r="Z826">
        <f>HYPERLINK("https://klasma.github.io/Logging_2401/fåglar/A 9012-2025 prioriterade fågelarter.docx", "A 9012-2025")</f>
        <v/>
      </c>
    </row>
    <row r="827" ht="15" customHeight="1">
      <c r="A827" t="inlineStr">
        <is>
          <t>A 33763-2024</t>
        </is>
      </c>
      <c r="B827" s="1" t="n">
        <v>45520.57005787037</v>
      </c>
      <c r="C827" s="1" t="n">
        <v>45971</v>
      </c>
      <c r="D827" t="inlineStr">
        <is>
          <t>VÄSTERBOTTENS LÄN</t>
        </is>
      </c>
      <c r="E827" t="inlineStr">
        <is>
          <t>NORSJÖ</t>
        </is>
      </c>
      <c r="F827" t="inlineStr">
        <is>
          <t>Sveaskog</t>
        </is>
      </c>
      <c r="G827" t="n">
        <v>10.5</v>
      </c>
      <c r="H827" t="n">
        <v>0</v>
      </c>
      <c r="I827" t="n">
        <v>0</v>
      </c>
      <c r="J827" t="n">
        <v>1</v>
      </c>
      <c r="K827" t="n">
        <v>0</v>
      </c>
      <c r="L827" t="n">
        <v>0</v>
      </c>
      <c r="M827" t="n">
        <v>0</v>
      </c>
      <c r="N827" t="n">
        <v>0</v>
      </c>
      <c r="O827" t="n">
        <v>1</v>
      </c>
      <c r="P827" t="n">
        <v>0</v>
      </c>
      <c r="Q827" t="n">
        <v>1</v>
      </c>
      <c r="R827" s="2" t="inlineStr">
        <is>
          <t>Orange taggsvamp</t>
        </is>
      </c>
      <c r="S827">
        <f>HYPERLINK("https://klasma.github.io/Logging_2417/artfynd/A 33763-2024 artfynd.xlsx", "A 33763-2024")</f>
        <v/>
      </c>
      <c r="T827">
        <f>HYPERLINK("https://klasma.github.io/Logging_2417/kartor/A 33763-2024 karta.png", "A 33763-2024")</f>
        <v/>
      </c>
      <c r="V827">
        <f>HYPERLINK("https://klasma.github.io/Logging_2417/klagomål/A 33763-2024 FSC-klagomål.docx", "A 33763-2024")</f>
        <v/>
      </c>
      <c r="W827">
        <f>HYPERLINK("https://klasma.github.io/Logging_2417/klagomålsmail/A 33763-2024 FSC-klagomål mail.docx", "A 33763-2024")</f>
        <v/>
      </c>
      <c r="X827">
        <f>HYPERLINK("https://klasma.github.io/Logging_2417/tillsyn/A 33763-2024 tillsynsbegäran.docx", "A 33763-2024")</f>
        <v/>
      </c>
      <c r="Y827">
        <f>HYPERLINK("https://klasma.github.io/Logging_2417/tillsynsmail/A 33763-2024 tillsynsbegäran mail.docx", "A 33763-2024")</f>
        <v/>
      </c>
    </row>
    <row r="828" ht="15" customHeight="1">
      <c r="A828" t="inlineStr">
        <is>
          <t>A 21663-2024</t>
        </is>
      </c>
      <c r="B828" s="1" t="n">
        <v>45442</v>
      </c>
      <c r="C828" s="1" t="n">
        <v>45971</v>
      </c>
      <c r="D828" t="inlineStr">
        <is>
          <t>VÄSTERBOTTENS LÄN</t>
        </is>
      </c>
      <c r="E828" t="inlineStr">
        <is>
          <t>STORUMAN</t>
        </is>
      </c>
      <c r="F828" t="inlineStr">
        <is>
          <t>Holmen skog AB</t>
        </is>
      </c>
      <c r="G828" t="n">
        <v>4.7</v>
      </c>
      <c r="H828" t="n">
        <v>1</v>
      </c>
      <c r="I828" t="n">
        <v>0</v>
      </c>
      <c r="J828" t="n">
        <v>0</v>
      </c>
      <c r="K828" t="n">
        <v>1</v>
      </c>
      <c r="L828" t="n">
        <v>0</v>
      </c>
      <c r="M828" t="n">
        <v>0</v>
      </c>
      <c r="N828" t="n">
        <v>0</v>
      </c>
      <c r="O828" t="n">
        <v>1</v>
      </c>
      <c r="P828" t="n">
        <v>1</v>
      </c>
      <c r="Q828" t="n">
        <v>1</v>
      </c>
      <c r="R828" s="2" t="inlineStr">
        <is>
          <t>Knärot</t>
        </is>
      </c>
      <c r="S828">
        <f>HYPERLINK("https://klasma.github.io/Logging_2421/artfynd/A 21663-2024 artfynd.xlsx", "A 21663-2024")</f>
        <v/>
      </c>
      <c r="T828">
        <f>HYPERLINK("https://klasma.github.io/Logging_2421/kartor/A 21663-2024 karta.png", "A 21663-2024")</f>
        <v/>
      </c>
      <c r="U828">
        <f>HYPERLINK("https://klasma.github.io/Logging_2421/knärot/A 21663-2024 karta knärot.png", "A 21663-2024")</f>
        <v/>
      </c>
      <c r="V828">
        <f>HYPERLINK("https://klasma.github.io/Logging_2421/klagomål/A 21663-2024 FSC-klagomål.docx", "A 21663-2024")</f>
        <v/>
      </c>
      <c r="W828">
        <f>HYPERLINK("https://klasma.github.io/Logging_2421/klagomålsmail/A 21663-2024 FSC-klagomål mail.docx", "A 21663-2024")</f>
        <v/>
      </c>
      <c r="X828">
        <f>HYPERLINK("https://klasma.github.io/Logging_2421/tillsyn/A 21663-2024 tillsynsbegäran.docx", "A 21663-2024")</f>
        <v/>
      </c>
      <c r="Y828">
        <f>HYPERLINK("https://klasma.github.io/Logging_2421/tillsynsmail/A 21663-2024 tillsynsbegäran mail.docx", "A 21663-2024")</f>
        <v/>
      </c>
    </row>
    <row r="829" ht="15" customHeight="1">
      <c r="A829" t="inlineStr">
        <is>
          <t>A 29572-2023</t>
        </is>
      </c>
      <c r="B829" s="1" t="n">
        <v>45106</v>
      </c>
      <c r="C829" s="1" t="n">
        <v>45971</v>
      </c>
      <c r="D829" t="inlineStr">
        <is>
          <t>VÄSTERBOTTENS LÄN</t>
        </is>
      </c>
      <c r="E829" t="inlineStr">
        <is>
          <t>STORUMAN</t>
        </is>
      </c>
      <c r="F829" t="inlineStr">
        <is>
          <t>Sveaskog</t>
        </is>
      </c>
      <c r="G829" t="n">
        <v>5.3</v>
      </c>
      <c r="H829" t="n">
        <v>0</v>
      </c>
      <c r="I829" t="n">
        <v>0</v>
      </c>
      <c r="J829" t="n">
        <v>1</v>
      </c>
      <c r="K829" t="n">
        <v>0</v>
      </c>
      <c r="L829" t="n">
        <v>0</v>
      </c>
      <c r="M829" t="n">
        <v>0</v>
      </c>
      <c r="N829" t="n">
        <v>0</v>
      </c>
      <c r="O829" t="n">
        <v>1</v>
      </c>
      <c r="P829" t="n">
        <v>0</v>
      </c>
      <c r="Q829" t="n">
        <v>1</v>
      </c>
      <c r="R829" s="2" t="inlineStr">
        <is>
          <t>Skrovlig taggsvamp</t>
        </is>
      </c>
      <c r="S829">
        <f>HYPERLINK("https://klasma.github.io/Logging_2421/artfynd/A 29572-2023 artfynd.xlsx", "A 29572-2023")</f>
        <v/>
      </c>
      <c r="T829">
        <f>HYPERLINK("https://klasma.github.io/Logging_2421/kartor/A 29572-2023 karta.png", "A 29572-2023")</f>
        <v/>
      </c>
      <c r="V829">
        <f>HYPERLINK("https://klasma.github.io/Logging_2421/klagomål/A 29572-2023 FSC-klagomål.docx", "A 29572-2023")</f>
        <v/>
      </c>
      <c r="W829">
        <f>HYPERLINK("https://klasma.github.io/Logging_2421/klagomålsmail/A 29572-2023 FSC-klagomål mail.docx", "A 29572-2023")</f>
        <v/>
      </c>
      <c r="X829">
        <f>HYPERLINK("https://klasma.github.io/Logging_2421/tillsyn/A 29572-2023 tillsynsbegäran.docx", "A 29572-2023")</f>
        <v/>
      </c>
      <c r="Y829">
        <f>HYPERLINK("https://klasma.github.io/Logging_2421/tillsynsmail/A 29572-2023 tillsynsbegäran mail.docx", "A 29572-2023")</f>
        <v/>
      </c>
    </row>
    <row r="830" ht="15" customHeight="1">
      <c r="A830" t="inlineStr">
        <is>
          <t>A 47454-2025</t>
        </is>
      </c>
      <c r="B830" s="1" t="n">
        <v>45930.65238425926</v>
      </c>
      <c r="C830" s="1" t="n">
        <v>45971</v>
      </c>
      <c r="D830" t="inlineStr">
        <is>
          <t>VÄSTERBOTTENS LÄN</t>
        </is>
      </c>
      <c r="E830" t="inlineStr">
        <is>
          <t>LYCKSELE</t>
        </is>
      </c>
      <c r="F830" t="inlineStr">
        <is>
          <t>Sveaskog</t>
        </is>
      </c>
      <c r="G830" t="n">
        <v>3.8</v>
      </c>
      <c r="H830" t="n">
        <v>0</v>
      </c>
      <c r="I830" t="n">
        <v>0</v>
      </c>
      <c r="J830" t="n">
        <v>1</v>
      </c>
      <c r="K830" t="n">
        <v>0</v>
      </c>
      <c r="L830" t="n">
        <v>0</v>
      </c>
      <c r="M830" t="n">
        <v>0</v>
      </c>
      <c r="N830" t="n">
        <v>0</v>
      </c>
      <c r="O830" t="n">
        <v>1</v>
      </c>
      <c r="P830" t="n">
        <v>0</v>
      </c>
      <c r="Q830" t="n">
        <v>1</v>
      </c>
      <c r="R830" s="2" t="inlineStr">
        <is>
          <t>Motaggsvamp</t>
        </is>
      </c>
      <c r="S830">
        <f>HYPERLINK("https://klasma.github.io/Logging_2481/artfynd/A 47454-2025 artfynd.xlsx", "A 47454-2025")</f>
        <v/>
      </c>
      <c r="T830">
        <f>HYPERLINK("https://klasma.github.io/Logging_2481/kartor/A 47454-2025 karta.png", "A 47454-2025")</f>
        <v/>
      </c>
      <c r="V830">
        <f>HYPERLINK("https://klasma.github.io/Logging_2481/klagomål/A 47454-2025 FSC-klagomål.docx", "A 47454-2025")</f>
        <v/>
      </c>
      <c r="W830">
        <f>HYPERLINK("https://klasma.github.io/Logging_2481/klagomålsmail/A 47454-2025 FSC-klagomål mail.docx", "A 47454-2025")</f>
        <v/>
      </c>
      <c r="X830">
        <f>HYPERLINK("https://klasma.github.io/Logging_2481/tillsyn/A 47454-2025 tillsynsbegäran.docx", "A 47454-2025")</f>
        <v/>
      </c>
      <c r="Y830">
        <f>HYPERLINK("https://klasma.github.io/Logging_2481/tillsynsmail/A 47454-2025 tillsynsbegäran mail.docx", "A 47454-2025")</f>
        <v/>
      </c>
    </row>
    <row r="831" ht="15" customHeight="1">
      <c r="A831" t="inlineStr">
        <is>
          <t>A 60231-2022</t>
        </is>
      </c>
      <c r="B831" s="1" t="n">
        <v>44910</v>
      </c>
      <c r="C831" s="1" t="n">
        <v>45971</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47014-2025</t>
        </is>
      </c>
      <c r="B832" s="1" t="n">
        <v>45929.5741087963</v>
      </c>
      <c r="C832" s="1" t="n">
        <v>45971</v>
      </c>
      <c r="D832" t="inlineStr">
        <is>
          <t>VÄSTERBOTTENS LÄN</t>
        </is>
      </c>
      <c r="E832" t="inlineStr">
        <is>
          <t>BJURHOLM</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HYPERLINK("https://klasma.github.io/Logging_2403/artfynd/A 47014-2025 artfynd.xlsx", "A 47014-2025")</f>
        <v/>
      </c>
      <c r="T832">
        <f>HYPERLINK("https://klasma.github.io/Logging_2403/kartor/A 47014-2025 karta.png", "A 47014-2025")</f>
        <v/>
      </c>
      <c r="V832">
        <f>HYPERLINK("https://klasma.github.io/Logging_2403/klagomål/A 47014-2025 FSC-klagomål.docx", "A 47014-2025")</f>
        <v/>
      </c>
      <c r="W832">
        <f>HYPERLINK("https://klasma.github.io/Logging_2403/klagomålsmail/A 47014-2025 FSC-klagomål mail.docx", "A 47014-2025")</f>
        <v/>
      </c>
      <c r="X832">
        <f>HYPERLINK("https://klasma.github.io/Logging_2403/tillsyn/A 47014-2025 tillsynsbegäran.docx", "A 47014-2025")</f>
        <v/>
      </c>
      <c r="Y832">
        <f>HYPERLINK("https://klasma.github.io/Logging_2403/tillsynsmail/A 47014-2025 tillsynsbegäran mail.docx", "A 47014-2025")</f>
        <v/>
      </c>
    </row>
    <row r="833" ht="15" customHeight="1">
      <c r="A833" t="inlineStr">
        <is>
          <t>A 28716-2023</t>
        </is>
      </c>
      <c r="B833" s="1" t="n">
        <v>45103</v>
      </c>
      <c r="C833" s="1" t="n">
        <v>45971</v>
      </c>
      <c r="D833" t="inlineStr">
        <is>
          <t>VÄSTERBOTTENS LÄN</t>
        </is>
      </c>
      <c r="E833" t="inlineStr">
        <is>
          <t>DOROTEA</t>
        </is>
      </c>
      <c r="F833" t="inlineStr">
        <is>
          <t>Sveaskog</t>
        </is>
      </c>
      <c r="G833" t="n">
        <v>10</v>
      </c>
      <c r="H833" t="n">
        <v>0</v>
      </c>
      <c r="I833" t="n">
        <v>1</v>
      </c>
      <c r="J833" t="n">
        <v>0</v>
      </c>
      <c r="K833" t="n">
        <v>0</v>
      </c>
      <c r="L833" t="n">
        <v>0</v>
      </c>
      <c r="M833" t="n">
        <v>0</v>
      </c>
      <c r="N833" t="n">
        <v>0</v>
      </c>
      <c r="O833" t="n">
        <v>0</v>
      </c>
      <c r="P833" t="n">
        <v>0</v>
      </c>
      <c r="Q833" t="n">
        <v>1</v>
      </c>
      <c r="R833" s="2" t="inlineStr">
        <is>
          <t>Bårdlav</t>
        </is>
      </c>
      <c r="S833">
        <f>HYPERLINK("https://klasma.github.io/Logging_2425/artfynd/A 28716-2023 artfynd.xlsx", "A 28716-2023")</f>
        <v/>
      </c>
      <c r="T833">
        <f>HYPERLINK("https://klasma.github.io/Logging_2425/kartor/A 28716-2023 karta.png", "A 28716-2023")</f>
        <v/>
      </c>
      <c r="V833">
        <f>HYPERLINK("https://klasma.github.io/Logging_2425/klagomål/A 28716-2023 FSC-klagomål.docx", "A 28716-2023")</f>
        <v/>
      </c>
      <c r="W833">
        <f>HYPERLINK("https://klasma.github.io/Logging_2425/klagomålsmail/A 28716-2023 FSC-klagomål mail.docx", "A 28716-2023")</f>
        <v/>
      </c>
      <c r="X833">
        <f>HYPERLINK("https://klasma.github.io/Logging_2425/tillsyn/A 28716-2023 tillsynsbegäran.docx", "A 28716-2023")</f>
        <v/>
      </c>
      <c r="Y833">
        <f>HYPERLINK("https://klasma.github.io/Logging_2425/tillsynsmail/A 28716-2023 tillsynsbegäran mail.docx", "A 28716-2023")</f>
        <v/>
      </c>
    </row>
    <row r="834" ht="15" customHeight="1">
      <c r="A834" t="inlineStr">
        <is>
          <t>A 62046-2024</t>
        </is>
      </c>
      <c r="B834" s="1" t="n">
        <v>45656</v>
      </c>
      <c r="C834" s="1" t="n">
        <v>45971</v>
      </c>
      <c r="D834" t="inlineStr">
        <is>
          <t>VÄSTERBOTTENS LÄN</t>
        </is>
      </c>
      <c r="E834" t="inlineStr">
        <is>
          <t>BJURHOLM</t>
        </is>
      </c>
      <c r="G834" t="n">
        <v>21.9</v>
      </c>
      <c r="H834" t="n">
        <v>1</v>
      </c>
      <c r="I834" t="n">
        <v>0</v>
      </c>
      <c r="J834" t="n">
        <v>0</v>
      </c>
      <c r="K834" t="n">
        <v>0</v>
      </c>
      <c r="L834" t="n">
        <v>0</v>
      </c>
      <c r="M834" t="n">
        <v>0</v>
      </c>
      <c r="N834" t="n">
        <v>0</v>
      </c>
      <c r="O834" t="n">
        <v>0</v>
      </c>
      <c r="P834" t="n">
        <v>0</v>
      </c>
      <c r="Q834" t="n">
        <v>1</v>
      </c>
      <c r="R834" s="2" t="inlineStr">
        <is>
          <t>Fläcknycklar</t>
        </is>
      </c>
      <c r="S834">
        <f>HYPERLINK("https://klasma.github.io/Logging_2403/artfynd/A 62046-2024 artfynd.xlsx", "A 62046-2024")</f>
        <v/>
      </c>
      <c r="T834">
        <f>HYPERLINK("https://klasma.github.io/Logging_2403/kartor/A 62046-2024 karta.png", "A 62046-2024")</f>
        <v/>
      </c>
      <c r="V834">
        <f>HYPERLINK("https://klasma.github.io/Logging_2403/klagomål/A 62046-2024 FSC-klagomål.docx", "A 62046-2024")</f>
        <v/>
      </c>
      <c r="W834">
        <f>HYPERLINK("https://klasma.github.io/Logging_2403/klagomålsmail/A 62046-2024 FSC-klagomål mail.docx", "A 62046-2024")</f>
        <v/>
      </c>
      <c r="X834">
        <f>HYPERLINK("https://klasma.github.io/Logging_2403/tillsyn/A 62046-2024 tillsynsbegäran.docx", "A 62046-2024")</f>
        <v/>
      </c>
      <c r="Y834">
        <f>HYPERLINK("https://klasma.github.io/Logging_2403/tillsynsmail/A 62046-2024 tillsynsbegäran mail.docx", "A 62046-2024")</f>
        <v/>
      </c>
    </row>
    <row r="835" ht="15" customHeight="1">
      <c r="A835" t="inlineStr">
        <is>
          <t>A 57653-2022</t>
        </is>
      </c>
      <c r="B835" s="1" t="n">
        <v>44897.43052083333</v>
      </c>
      <c r="C835" s="1" t="n">
        <v>45971</v>
      </c>
      <c r="D835" t="inlineStr">
        <is>
          <t>VÄSTERBOTTENS LÄN</t>
        </is>
      </c>
      <c r="E835" t="inlineStr">
        <is>
          <t>BJURHOLM</t>
        </is>
      </c>
      <c r="F835" t="inlineStr">
        <is>
          <t>Holmen skog AB</t>
        </is>
      </c>
      <c r="G835" t="n">
        <v>4.9</v>
      </c>
      <c r="H835" t="n">
        <v>0</v>
      </c>
      <c r="I835" t="n">
        <v>0</v>
      </c>
      <c r="J835" t="n">
        <v>1</v>
      </c>
      <c r="K835" t="n">
        <v>0</v>
      </c>
      <c r="L835" t="n">
        <v>0</v>
      </c>
      <c r="M835" t="n">
        <v>0</v>
      </c>
      <c r="N835" t="n">
        <v>0</v>
      </c>
      <c r="O835" t="n">
        <v>1</v>
      </c>
      <c r="P835" t="n">
        <v>0</v>
      </c>
      <c r="Q835" t="n">
        <v>1</v>
      </c>
      <c r="R835" s="2" t="inlineStr">
        <is>
          <t>Garnlav</t>
        </is>
      </c>
      <c r="S835">
        <f>HYPERLINK("https://klasma.github.io/Logging_2403/artfynd/A 57653-2022 artfynd.xlsx", "A 57653-2022")</f>
        <v/>
      </c>
      <c r="T835">
        <f>HYPERLINK("https://klasma.github.io/Logging_2403/kartor/A 57653-2022 karta.png", "A 57653-2022")</f>
        <v/>
      </c>
      <c r="V835">
        <f>HYPERLINK("https://klasma.github.io/Logging_2403/klagomål/A 57653-2022 FSC-klagomål.docx", "A 57653-2022")</f>
        <v/>
      </c>
      <c r="W835">
        <f>HYPERLINK("https://klasma.github.io/Logging_2403/klagomålsmail/A 57653-2022 FSC-klagomål mail.docx", "A 57653-2022")</f>
        <v/>
      </c>
      <c r="X835">
        <f>HYPERLINK("https://klasma.github.io/Logging_2403/tillsyn/A 57653-2022 tillsynsbegäran.docx", "A 57653-2022")</f>
        <v/>
      </c>
      <c r="Y835">
        <f>HYPERLINK("https://klasma.github.io/Logging_2403/tillsynsmail/A 57653-2022 tillsynsbegäran mail.docx", "A 57653-2022")</f>
        <v/>
      </c>
    </row>
    <row r="836" ht="15" customHeight="1">
      <c r="A836" t="inlineStr">
        <is>
          <t>A 48089-2022</t>
        </is>
      </c>
      <c r="B836" s="1" t="n">
        <v>44855</v>
      </c>
      <c r="C836" s="1" t="n">
        <v>45971</v>
      </c>
      <c r="D836" t="inlineStr">
        <is>
          <t>VÄSTERBOTTENS LÄN</t>
        </is>
      </c>
      <c r="E836" t="inlineStr">
        <is>
          <t>DOROTEA</t>
        </is>
      </c>
      <c r="F836" t="inlineStr">
        <is>
          <t>SCA</t>
        </is>
      </c>
      <c r="G836" t="n">
        <v>9.199999999999999</v>
      </c>
      <c r="H836" t="n">
        <v>0</v>
      </c>
      <c r="I836" t="n">
        <v>0</v>
      </c>
      <c r="J836" t="n">
        <v>1</v>
      </c>
      <c r="K836" t="n">
        <v>0</v>
      </c>
      <c r="L836" t="n">
        <v>0</v>
      </c>
      <c r="M836" t="n">
        <v>0</v>
      </c>
      <c r="N836" t="n">
        <v>0</v>
      </c>
      <c r="O836" t="n">
        <v>1</v>
      </c>
      <c r="P836" t="n">
        <v>0</v>
      </c>
      <c r="Q836" t="n">
        <v>1</v>
      </c>
      <c r="R836" s="2" t="inlineStr">
        <is>
          <t>Gammelgransskål</t>
        </is>
      </c>
      <c r="S836">
        <f>HYPERLINK("https://klasma.github.io/Logging_2425/artfynd/A 48089-2022 artfynd.xlsx", "A 48089-2022")</f>
        <v/>
      </c>
      <c r="T836">
        <f>HYPERLINK("https://klasma.github.io/Logging_2425/kartor/A 48089-2022 karta.png", "A 48089-2022")</f>
        <v/>
      </c>
      <c r="V836">
        <f>HYPERLINK("https://klasma.github.io/Logging_2425/klagomål/A 48089-2022 FSC-klagomål.docx", "A 48089-2022")</f>
        <v/>
      </c>
      <c r="W836">
        <f>HYPERLINK("https://klasma.github.io/Logging_2425/klagomålsmail/A 48089-2022 FSC-klagomål mail.docx", "A 48089-2022")</f>
        <v/>
      </c>
      <c r="X836">
        <f>HYPERLINK("https://klasma.github.io/Logging_2425/tillsyn/A 48089-2022 tillsynsbegäran.docx", "A 48089-2022")</f>
        <v/>
      </c>
      <c r="Y836">
        <f>HYPERLINK("https://klasma.github.io/Logging_2425/tillsynsmail/A 48089-2022 tillsynsbegäran mail.docx", "A 48089-2022")</f>
        <v/>
      </c>
    </row>
    <row r="837" ht="15" customHeight="1">
      <c r="A837" t="inlineStr">
        <is>
          <t>A 15654-2023</t>
        </is>
      </c>
      <c r="B837" s="1" t="n">
        <v>45019</v>
      </c>
      <c r="C837" s="1" t="n">
        <v>45971</v>
      </c>
      <c r="D837" t="inlineStr">
        <is>
          <t>VÄSTERBOTTENS LÄN</t>
        </is>
      </c>
      <c r="E837" t="inlineStr">
        <is>
          <t>UMEÅ</t>
        </is>
      </c>
      <c r="F837" t="inlineStr">
        <is>
          <t>Kommuner</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15654-2023 artfynd.xlsx", "A 15654-2023")</f>
        <v/>
      </c>
      <c r="T837">
        <f>HYPERLINK("https://klasma.github.io/Logging_2480/kartor/A 15654-2023 karta.png", "A 15654-2023")</f>
        <v/>
      </c>
      <c r="V837">
        <f>HYPERLINK("https://klasma.github.io/Logging_2480/klagomål/A 15654-2023 FSC-klagomål.docx", "A 15654-2023")</f>
        <v/>
      </c>
      <c r="W837">
        <f>HYPERLINK("https://klasma.github.io/Logging_2480/klagomålsmail/A 15654-2023 FSC-klagomål mail.docx", "A 15654-2023")</f>
        <v/>
      </c>
      <c r="X837">
        <f>HYPERLINK("https://klasma.github.io/Logging_2480/tillsyn/A 15654-2023 tillsynsbegäran.docx", "A 15654-2023")</f>
        <v/>
      </c>
      <c r="Y837">
        <f>HYPERLINK("https://klasma.github.io/Logging_2480/tillsynsmail/A 15654-2023 tillsynsbegäran mail.docx", "A 15654-2023")</f>
        <v/>
      </c>
    </row>
    <row r="838" ht="15" customHeight="1">
      <c r="A838" t="inlineStr">
        <is>
          <t>A 13727-2022</t>
        </is>
      </c>
      <c r="B838" s="1" t="n">
        <v>44648</v>
      </c>
      <c r="C838" s="1" t="n">
        <v>45971</v>
      </c>
      <c r="D838" t="inlineStr">
        <is>
          <t>VÄSTERBOTTENS LÄN</t>
        </is>
      </c>
      <c r="E838" t="inlineStr">
        <is>
          <t>SORSELE</t>
        </is>
      </c>
      <c r="G838" t="n">
        <v>45.5</v>
      </c>
      <c r="H838" t="n">
        <v>0</v>
      </c>
      <c r="I838" t="n">
        <v>0</v>
      </c>
      <c r="J838" t="n">
        <v>1</v>
      </c>
      <c r="K838" t="n">
        <v>0</v>
      </c>
      <c r="L838" t="n">
        <v>0</v>
      </c>
      <c r="M838" t="n">
        <v>0</v>
      </c>
      <c r="N838" t="n">
        <v>0</v>
      </c>
      <c r="O838" t="n">
        <v>1</v>
      </c>
      <c r="P838" t="n">
        <v>0</v>
      </c>
      <c r="Q838" t="n">
        <v>1</v>
      </c>
      <c r="R838" s="2" t="inlineStr">
        <is>
          <t>Knottrig blåslav</t>
        </is>
      </c>
      <c r="S838">
        <f>HYPERLINK("https://klasma.github.io/Logging_2422/artfynd/A 13727-2022 artfynd.xlsx", "A 13727-2022")</f>
        <v/>
      </c>
      <c r="T838">
        <f>HYPERLINK("https://klasma.github.io/Logging_2422/kartor/A 13727-2022 karta.png", "A 13727-2022")</f>
        <v/>
      </c>
      <c r="V838">
        <f>HYPERLINK("https://klasma.github.io/Logging_2422/klagomål/A 13727-2022 FSC-klagomål.docx", "A 13727-2022")</f>
        <v/>
      </c>
      <c r="W838">
        <f>HYPERLINK("https://klasma.github.io/Logging_2422/klagomålsmail/A 13727-2022 FSC-klagomål mail.docx", "A 13727-2022")</f>
        <v/>
      </c>
      <c r="X838">
        <f>HYPERLINK("https://klasma.github.io/Logging_2422/tillsyn/A 13727-2022 tillsynsbegäran.docx", "A 13727-2022")</f>
        <v/>
      </c>
      <c r="Y838">
        <f>HYPERLINK("https://klasma.github.io/Logging_2422/tillsynsmail/A 13727-2022 tillsynsbegäran mail.docx", "A 13727-2022")</f>
        <v/>
      </c>
    </row>
    <row r="839" ht="15" customHeight="1">
      <c r="A839" t="inlineStr">
        <is>
          <t>A 40665-2024</t>
        </is>
      </c>
      <c r="B839" s="1" t="n">
        <v>45558.34784722222</v>
      </c>
      <c r="C839" s="1" t="n">
        <v>45971</v>
      </c>
      <c r="D839" t="inlineStr">
        <is>
          <t>VÄSTERBOTTENS LÄN</t>
        </is>
      </c>
      <c r="E839" t="inlineStr">
        <is>
          <t>UMEÅ</t>
        </is>
      </c>
      <c r="G839" t="n">
        <v>15.3</v>
      </c>
      <c r="H839" t="n">
        <v>0</v>
      </c>
      <c r="I839" t="n">
        <v>0</v>
      </c>
      <c r="J839" t="n">
        <v>1</v>
      </c>
      <c r="K839" t="n">
        <v>0</v>
      </c>
      <c r="L839" t="n">
        <v>0</v>
      </c>
      <c r="M839" t="n">
        <v>0</v>
      </c>
      <c r="N839" t="n">
        <v>0</v>
      </c>
      <c r="O839" t="n">
        <v>1</v>
      </c>
      <c r="P839" t="n">
        <v>0</v>
      </c>
      <c r="Q839" t="n">
        <v>1</v>
      </c>
      <c r="R839" s="2" t="inlineStr">
        <is>
          <t>Garnlav</t>
        </is>
      </c>
      <c r="S839">
        <f>HYPERLINK("https://klasma.github.io/Logging_2480/artfynd/A 40665-2024 artfynd.xlsx", "A 40665-2024")</f>
        <v/>
      </c>
      <c r="T839">
        <f>HYPERLINK("https://klasma.github.io/Logging_2480/kartor/A 40665-2024 karta.png", "A 40665-2024")</f>
        <v/>
      </c>
      <c r="V839">
        <f>HYPERLINK("https://klasma.github.io/Logging_2480/klagomål/A 40665-2024 FSC-klagomål.docx", "A 40665-2024")</f>
        <v/>
      </c>
      <c r="W839">
        <f>HYPERLINK("https://klasma.github.io/Logging_2480/klagomålsmail/A 40665-2024 FSC-klagomål mail.docx", "A 40665-2024")</f>
        <v/>
      </c>
      <c r="X839">
        <f>HYPERLINK("https://klasma.github.io/Logging_2480/tillsyn/A 40665-2024 tillsynsbegäran.docx", "A 40665-2024")</f>
        <v/>
      </c>
      <c r="Y839">
        <f>HYPERLINK("https://klasma.github.io/Logging_2480/tillsynsmail/A 40665-2024 tillsynsbegäran mail.docx", "A 40665-2024")</f>
        <v/>
      </c>
    </row>
    <row r="840" ht="15" customHeight="1">
      <c r="A840" t="inlineStr">
        <is>
          <t>A 64409-2021</t>
        </is>
      </c>
      <c r="B840" s="1" t="n">
        <v>44510</v>
      </c>
      <c r="C840" s="1" t="n">
        <v>45971</v>
      </c>
      <c r="D840" t="inlineStr">
        <is>
          <t>VÄSTERBOTTENS LÄN</t>
        </is>
      </c>
      <c r="E840" t="inlineStr">
        <is>
          <t>SKELLEFTEÅ</t>
        </is>
      </c>
      <c r="G840" t="n">
        <v>1.3</v>
      </c>
      <c r="H840" t="n">
        <v>0</v>
      </c>
      <c r="I840" t="n">
        <v>0</v>
      </c>
      <c r="J840" t="n">
        <v>1</v>
      </c>
      <c r="K840" t="n">
        <v>0</v>
      </c>
      <c r="L840" t="n">
        <v>0</v>
      </c>
      <c r="M840" t="n">
        <v>0</v>
      </c>
      <c r="N840" t="n">
        <v>0</v>
      </c>
      <c r="O840" t="n">
        <v>1</v>
      </c>
      <c r="P840" t="n">
        <v>0</v>
      </c>
      <c r="Q840" t="n">
        <v>1</v>
      </c>
      <c r="R840" s="2" t="inlineStr">
        <is>
          <t>Igelkott</t>
        </is>
      </c>
      <c r="S840">
        <f>HYPERLINK("https://klasma.github.io/Logging_2482/artfynd/A 64409-2021 artfynd.xlsx", "A 64409-2021")</f>
        <v/>
      </c>
      <c r="T840">
        <f>HYPERLINK("https://klasma.github.io/Logging_2482/kartor/A 64409-2021 karta.png", "A 64409-2021")</f>
        <v/>
      </c>
      <c r="V840">
        <f>HYPERLINK("https://klasma.github.io/Logging_2482/klagomål/A 64409-2021 FSC-klagomål.docx", "A 64409-2021")</f>
        <v/>
      </c>
      <c r="W840">
        <f>HYPERLINK("https://klasma.github.io/Logging_2482/klagomålsmail/A 64409-2021 FSC-klagomål mail.docx", "A 64409-2021")</f>
        <v/>
      </c>
      <c r="X840">
        <f>HYPERLINK("https://klasma.github.io/Logging_2482/tillsyn/A 64409-2021 tillsynsbegäran.docx", "A 64409-2021")</f>
        <v/>
      </c>
      <c r="Y840">
        <f>HYPERLINK("https://klasma.github.io/Logging_2482/tillsynsmail/A 64409-2021 tillsynsbegäran mail.docx", "A 64409-2021")</f>
        <v/>
      </c>
    </row>
    <row r="841" ht="15" customHeight="1">
      <c r="A841" t="inlineStr">
        <is>
          <t>A 519-2025</t>
        </is>
      </c>
      <c r="B841" s="1" t="n">
        <v>45660</v>
      </c>
      <c r="C841" s="1" t="n">
        <v>45971</v>
      </c>
      <c r="D841" t="inlineStr">
        <is>
          <t>VÄSTERBOTTENS LÄN</t>
        </is>
      </c>
      <c r="E841" t="inlineStr">
        <is>
          <t>STORUMAN</t>
        </is>
      </c>
      <c r="G841" t="n">
        <v>10.4</v>
      </c>
      <c r="H841" t="n">
        <v>0</v>
      </c>
      <c r="I841" t="n">
        <v>1</v>
      </c>
      <c r="J841" t="n">
        <v>0</v>
      </c>
      <c r="K841" t="n">
        <v>0</v>
      </c>
      <c r="L841" t="n">
        <v>0</v>
      </c>
      <c r="M841" t="n">
        <v>0</v>
      </c>
      <c r="N841" t="n">
        <v>0</v>
      </c>
      <c r="O841" t="n">
        <v>0</v>
      </c>
      <c r="P841" t="n">
        <v>0</v>
      </c>
      <c r="Q841" t="n">
        <v>1</v>
      </c>
      <c r="R841" s="2" t="inlineStr">
        <is>
          <t>Skinnlav</t>
        </is>
      </c>
      <c r="S841">
        <f>HYPERLINK("https://klasma.github.io/Logging_2421/artfynd/A 519-2025 artfynd.xlsx", "A 519-2025")</f>
        <v/>
      </c>
      <c r="T841">
        <f>HYPERLINK("https://klasma.github.io/Logging_2421/kartor/A 519-2025 karta.png", "A 519-2025")</f>
        <v/>
      </c>
      <c r="V841">
        <f>HYPERLINK("https://klasma.github.io/Logging_2421/klagomål/A 519-2025 FSC-klagomål.docx", "A 519-2025")</f>
        <v/>
      </c>
      <c r="W841">
        <f>HYPERLINK("https://klasma.github.io/Logging_2421/klagomålsmail/A 519-2025 FSC-klagomål mail.docx", "A 519-2025")</f>
        <v/>
      </c>
      <c r="X841">
        <f>HYPERLINK("https://klasma.github.io/Logging_2421/tillsyn/A 519-2025 tillsynsbegäran.docx", "A 519-2025")</f>
        <v/>
      </c>
      <c r="Y841">
        <f>HYPERLINK("https://klasma.github.io/Logging_2421/tillsynsmail/A 519-2025 tillsynsbegäran mail.docx", "A 519-2025")</f>
        <v/>
      </c>
    </row>
    <row r="842" ht="15" customHeight="1">
      <c r="A842" t="inlineStr">
        <is>
          <t>A 24824-2024</t>
        </is>
      </c>
      <c r="B842" s="1" t="n">
        <v>45461.35597222222</v>
      </c>
      <c r="C842" s="1" t="n">
        <v>45971</v>
      </c>
      <c r="D842" t="inlineStr">
        <is>
          <t>VÄSTERBOTTENS LÄN</t>
        </is>
      </c>
      <c r="E842" t="inlineStr">
        <is>
          <t>LYCKSELE</t>
        </is>
      </c>
      <c r="F842" t="inlineStr">
        <is>
          <t>Sveaskog</t>
        </is>
      </c>
      <c r="G842" t="n">
        <v>6.1</v>
      </c>
      <c r="H842" t="n">
        <v>1</v>
      </c>
      <c r="I842" t="n">
        <v>0</v>
      </c>
      <c r="J842" t="n">
        <v>1</v>
      </c>
      <c r="K842" t="n">
        <v>0</v>
      </c>
      <c r="L842" t="n">
        <v>0</v>
      </c>
      <c r="M842" t="n">
        <v>0</v>
      </c>
      <c r="N842" t="n">
        <v>0</v>
      </c>
      <c r="O842" t="n">
        <v>1</v>
      </c>
      <c r="P842" t="n">
        <v>0</v>
      </c>
      <c r="Q842" t="n">
        <v>1</v>
      </c>
      <c r="R842" s="2" t="inlineStr">
        <is>
          <t>Kungsörn</t>
        </is>
      </c>
      <c r="S842">
        <f>HYPERLINK("https://klasma.github.io/Logging_2481/artfynd/A 24824-2024 artfynd.xlsx", "A 24824-2024")</f>
        <v/>
      </c>
      <c r="T842">
        <f>HYPERLINK("https://klasma.github.io/Logging_2481/kartor/A 24824-2024 karta.png", "A 24824-2024")</f>
        <v/>
      </c>
      <c r="V842">
        <f>HYPERLINK("https://klasma.github.io/Logging_2481/klagomål/A 24824-2024 FSC-klagomål.docx", "A 24824-2024")</f>
        <v/>
      </c>
      <c r="W842">
        <f>HYPERLINK("https://klasma.github.io/Logging_2481/klagomålsmail/A 24824-2024 FSC-klagomål mail.docx", "A 24824-2024")</f>
        <v/>
      </c>
      <c r="X842">
        <f>HYPERLINK("https://klasma.github.io/Logging_2481/tillsyn/A 24824-2024 tillsynsbegäran.docx", "A 24824-2024")</f>
        <v/>
      </c>
      <c r="Y842">
        <f>HYPERLINK("https://klasma.github.io/Logging_2481/tillsynsmail/A 24824-2024 tillsynsbegäran mail.docx", "A 24824-2024")</f>
        <v/>
      </c>
      <c r="Z842">
        <f>HYPERLINK("https://klasma.github.io/Logging_2481/fåglar/A 24824-2024 prioriterade fågelarter.docx", "A 24824-2024")</f>
        <v/>
      </c>
    </row>
    <row r="843" ht="15" customHeight="1">
      <c r="A843" t="inlineStr">
        <is>
          <t>A 27234-2024</t>
        </is>
      </c>
      <c r="B843" s="1" t="n">
        <v>45471</v>
      </c>
      <c r="C843" s="1" t="n">
        <v>45971</v>
      </c>
      <c r="D843" t="inlineStr">
        <is>
          <t>VÄSTERBOTTENS LÄN</t>
        </is>
      </c>
      <c r="E843" t="inlineStr">
        <is>
          <t>DOROTEA</t>
        </is>
      </c>
      <c r="F843" t="inlineStr">
        <is>
          <t>SCA</t>
        </is>
      </c>
      <c r="G843" t="n">
        <v>2.2</v>
      </c>
      <c r="H843" t="n">
        <v>0</v>
      </c>
      <c r="I843" t="n">
        <v>0</v>
      </c>
      <c r="J843" t="n">
        <v>0</v>
      </c>
      <c r="K843" t="n">
        <v>1</v>
      </c>
      <c r="L843" t="n">
        <v>0</v>
      </c>
      <c r="M843" t="n">
        <v>0</v>
      </c>
      <c r="N843" t="n">
        <v>0</v>
      </c>
      <c r="O843" t="n">
        <v>1</v>
      </c>
      <c r="P843" t="n">
        <v>1</v>
      </c>
      <c r="Q843" t="n">
        <v>1</v>
      </c>
      <c r="R843" s="2" t="inlineStr">
        <is>
          <t>Rynkskinn</t>
        </is>
      </c>
      <c r="S843">
        <f>HYPERLINK("https://klasma.github.io/Logging_2425/artfynd/A 27234-2024 artfynd.xlsx", "A 27234-2024")</f>
        <v/>
      </c>
      <c r="T843">
        <f>HYPERLINK("https://klasma.github.io/Logging_2425/kartor/A 27234-2024 karta.png", "A 27234-2024")</f>
        <v/>
      </c>
      <c r="V843">
        <f>HYPERLINK("https://klasma.github.io/Logging_2425/klagomål/A 27234-2024 FSC-klagomål.docx", "A 27234-2024")</f>
        <v/>
      </c>
      <c r="W843">
        <f>HYPERLINK("https://klasma.github.io/Logging_2425/klagomålsmail/A 27234-2024 FSC-klagomål mail.docx", "A 27234-2024")</f>
        <v/>
      </c>
      <c r="X843">
        <f>HYPERLINK("https://klasma.github.io/Logging_2425/tillsyn/A 27234-2024 tillsynsbegäran.docx", "A 27234-2024")</f>
        <v/>
      </c>
      <c r="Y843">
        <f>HYPERLINK("https://klasma.github.io/Logging_2425/tillsynsmail/A 27234-2024 tillsynsbegäran mail.docx", "A 27234-2024")</f>
        <v/>
      </c>
    </row>
    <row r="844" ht="15" customHeight="1">
      <c r="A844" t="inlineStr">
        <is>
          <t>A 4552-2025</t>
        </is>
      </c>
      <c r="B844" s="1" t="n">
        <v>45687.42112268518</v>
      </c>
      <c r="C844" s="1" t="n">
        <v>45971</v>
      </c>
      <c r="D844" t="inlineStr">
        <is>
          <t>VÄSTERBOTTENS LÄN</t>
        </is>
      </c>
      <c r="E844" t="inlineStr">
        <is>
          <t>ROBERTSFORS</t>
        </is>
      </c>
      <c r="G844" t="n">
        <v>4.4</v>
      </c>
      <c r="H844" t="n">
        <v>1</v>
      </c>
      <c r="I844" t="n">
        <v>0</v>
      </c>
      <c r="J844" t="n">
        <v>0</v>
      </c>
      <c r="K844" t="n">
        <v>0</v>
      </c>
      <c r="L844" t="n">
        <v>0</v>
      </c>
      <c r="M844" t="n">
        <v>0</v>
      </c>
      <c r="N844" t="n">
        <v>0</v>
      </c>
      <c r="O844" t="n">
        <v>0</v>
      </c>
      <c r="P844" t="n">
        <v>0</v>
      </c>
      <c r="Q844" t="n">
        <v>1</v>
      </c>
      <c r="R844" s="2" t="inlineStr">
        <is>
          <t>Tjäder</t>
        </is>
      </c>
      <c r="S844">
        <f>HYPERLINK("https://klasma.github.io/Logging_2409/artfynd/A 4552-2025 artfynd.xlsx", "A 4552-2025")</f>
        <v/>
      </c>
      <c r="T844">
        <f>HYPERLINK("https://klasma.github.io/Logging_2409/kartor/A 4552-2025 karta.png", "A 4552-2025")</f>
        <v/>
      </c>
      <c r="V844">
        <f>HYPERLINK("https://klasma.github.io/Logging_2409/klagomål/A 4552-2025 FSC-klagomål.docx", "A 4552-2025")</f>
        <v/>
      </c>
      <c r="W844">
        <f>HYPERLINK("https://klasma.github.io/Logging_2409/klagomålsmail/A 4552-2025 FSC-klagomål mail.docx", "A 4552-2025")</f>
        <v/>
      </c>
      <c r="X844">
        <f>HYPERLINK("https://klasma.github.io/Logging_2409/tillsyn/A 4552-2025 tillsynsbegäran.docx", "A 4552-2025")</f>
        <v/>
      </c>
      <c r="Y844">
        <f>HYPERLINK("https://klasma.github.io/Logging_2409/tillsynsmail/A 4552-2025 tillsynsbegäran mail.docx", "A 4552-2025")</f>
        <v/>
      </c>
      <c r="Z844">
        <f>HYPERLINK("https://klasma.github.io/Logging_2409/fåglar/A 4552-2025 prioriterade fågelarter.docx", "A 4552-2025")</f>
        <v/>
      </c>
    </row>
    <row r="845" ht="15" customHeight="1">
      <c r="A845" t="inlineStr">
        <is>
          <t>A 66924-2021</t>
        </is>
      </c>
      <c r="B845" s="1" t="n">
        <v>44522</v>
      </c>
      <c r="C845" s="1" t="n">
        <v>45971</v>
      </c>
      <c r="D845" t="inlineStr">
        <is>
          <t>VÄSTERBOTTENS LÄN</t>
        </is>
      </c>
      <c r="E845" t="inlineStr">
        <is>
          <t>VILHELMINA</t>
        </is>
      </c>
      <c r="F845" t="inlineStr">
        <is>
          <t>Allmännings- och besparingsskogar</t>
        </is>
      </c>
      <c r="G845" t="n">
        <v>335.4</v>
      </c>
      <c r="H845" t="n">
        <v>1</v>
      </c>
      <c r="I845" t="n">
        <v>0</v>
      </c>
      <c r="J845" t="n">
        <v>1</v>
      </c>
      <c r="K845" t="n">
        <v>0</v>
      </c>
      <c r="L845" t="n">
        <v>0</v>
      </c>
      <c r="M845" t="n">
        <v>0</v>
      </c>
      <c r="N845" t="n">
        <v>0</v>
      </c>
      <c r="O845" t="n">
        <v>1</v>
      </c>
      <c r="P845" t="n">
        <v>0</v>
      </c>
      <c r="Q845" t="n">
        <v>1</v>
      </c>
      <c r="R845" s="2" t="inlineStr">
        <is>
          <t>Utter</t>
        </is>
      </c>
      <c r="S845">
        <f>HYPERLINK("https://klasma.github.io/Logging_2462/artfynd/A 66924-2021 artfynd.xlsx", "A 66924-2021")</f>
        <v/>
      </c>
      <c r="T845">
        <f>HYPERLINK("https://klasma.github.io/Logging_2462/kartor/A 66924-2021 karta.png", "A 66924-2021")</f>
        <v/>
      </c>
      <c r="V845">
        <f>HYPERLINK("https://klasma.github.io/Logging_2462/klagomål/A 66924-2021 FSC-klagomål.docx", "A 66924-2021")</f>
        <v/>
      </c>
      <c r="W845">
        <f>HYPERLINK("https://klasma.github.io/Logging_2462/klagomålsmail/A 66924-2021 FSC-klagomål mail.docx", "A 66924-2021")</f>
        <v/>
      </c>
      <c r="X845">
        <f>HYPERLINK("https://klasma.github.io/Logging_2462/tillsyn/A 66924-2021 tillsynsbegäran.docx", "A 66924-2021")</f>
        <v/>
      </c>
      <c r="Y845">
        <f>HYPERLINK("https://klasma.github.io/Logging_2462/tillsynsmail/A 66924-2021 tillsynsbegäran mail.docx", "A 66924-2021")</f>
        <v/>
      </c>
    </row>
    <row r="846" ht="15" customHeight="1">
      <c r="A846" t="inlineStr">
        <is>
          <t>A 43519-2022</t>
        </is>
      </c>
      <c r="B846" s="1" t="n">
        <v>44837</v>
      </c>
      <c r="C846" s="1" t="n">
        <v>45971</v>
      </c>
      <c r="D846" t="inlineStr">
        <is>
          <t>VÄSTERBOTTENS LÄN</t>
        </is>
      </c>
      <c r="E846" t="inlineStr">
        <is>
          <t>UMEÅ</t>
        </is>
      </c>
      <c r="G846" t="n">
        <v>4.2</v>
      </c>
      <c r="H846" t="n">
        <v>0</v>
      </c>
      <c r="I846" t="n">
        <v>0</v>
      </c>
      <c r="J846" t="n">
        <v>1</v>
      </c>
      <c r="K846" t="n">
        <v>0</v>
      </c>
      <c r="L846" t="n">
        <v>0</v>
      </c>
      <c r="M846" t="n">
        <v>0</v>
      </c>
      <c r="N846" t="n">
        <v>0</v>
      </c>
      <c r="O846" t="n">
        <v>1</v>
      </c>
      <c r="P846" t="n">
        <v>0</v>
      </c>
      <c r="Q846" t="n">
        <v>1</v>
      </c>
      <c r="R846" s="2" t="inlineStr">
        <is>
          <t>Skogshare</t>
        </is>
      </c>
      <c r="S846">
        <f>HYPERLINK("https://klasma.github.io/Logging_2480/artfynd/A 43519-2022 artfynd.xlsx", "A 43519-2022")</f>
        <v/>
      </c>
      <c r="T846">
        <f>HYPERLINK("https://klasma.github.io/Logging_2480/kartor/A 43519-2022 karta.png", "A 43519-2022")</f>
        <v/>
      </c>
      <c r="V846">
        <f>HYPERLINK("https://klasma.github.io/Logging_2480/klagomål/A 43519-2022 FSC-klagomål.docx", "A 43519-2022")</f>
        <v/>
      </c>
      <c r="W846">
        <f>HYPERLINK("https://klasma.github.io/Logging_2480/klagomålsmail/A 43519-2022 FSC-klagomål mail.docx", "A 43519-2022")</f>
        <v/>
      </c>
      <c r="X846">
        <f>HYPERLINK("https://klasma.github.io/Logging_2480/tillsyn/A 43519-2022 tillsynsbegäran.docx", "A 43519-2022")</f>
        <v/>
      </c>
      <c r="Y846">
        <f>HYPERLINK("https://klasma.github.io/Logging_2480/tillsynsmail/A 43519-2022 tillsynsbegäran mail.docx", "A 43519-2022")</f>
        <v/>
      </c>
    </row>
    <row r="847" ht="15" customHeight="1">
      <c r="A847" t="inlineStr">
        <is>
          <t>A 54058-2022</t>
        </is>
      </c>
      <c r="B847" s="1" t="n">
        <v>44881</v>
      </c>
      <c r="C847" s="1" t="n">
        <v>45971</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60369-2021</t>
        </is>
      </c>
      <c r="B848" s="1" t="n">
        <v>44494</v>
      </c>
      <c r="C848" s="1" t="n">
        <v>45971</v>
      </c>
      <c r="D848" t="inlineStr">
        <is>
          <t>VÄSTERBOTTENS LÄN</t>
        </is>
      </c>
      <c r="E848" t="inlineStr">
        <is>
          <t>VILHELMINA</t>
        </is>
      </c>
      <c r="G848" t="n">
        <v>0.6</v>
      </c>
      <c r="H848" t="n">
        <v>0</v>
      </c>
      <c r="I848" t="n">
        <v>1</v>
      </c>
      <c r="J848" t="n">
        <v>0</v>
      </c>
      <c r="K848" t="n">
        <v>0</v>
      </c>
      <c r="L848" t="n">
        <v>0</v>
      </c>
      <c r="M848" t="n">
        <v>0</v>
      </c>
      <c r="N848" t="n">
        <v>0</v>
      </c>
      <c r="O848" t="n">
        <v>0</v>
      </c>
      <c r="P848" t="n">
        <v>0</v>
      </c>
      <c r="Q848" t="n">
        <v>1</v>
      </c>
      <c r="R848" s="2" t="inlineStr">
        <is>
          <t>Stuplav</t>
        </is>
      </c>
      <c r="S848">
        <f>HYPERLINK("https://klasma.github.io/Logging_2462/artfynd/A 60369-2021 artfynd.xlsx", "A 60369-2021")</f>
        <v/>
      </c>
      <c r="T848">
        <f>HYPERLINK("https://klasma.github.io/Logging_2462/kartor/A 60369-2021 karta.png", "A 60369-2021")</f>
        <v/>
      </c>
      <c r="V848">
        <f>HYPERLINK("https://klasma.github.io/Logging_2462/klagomål/A 60369-2021 FSC-klagomål.docx", "A 60369-2021")</f>
        <v/>
      </c>
      <c r="W848">
        <f>HYPERLINK("https://klasma.github.io/Logging_2462/klagomålsmail/A 60369-2021 FSC-klagomål mail.docx", "A 60369-2021")</f>
        <v/>
      </c>
      <c r="X848">
        <f>HYPERLINK("https://klasma.github.io/Logging_2462/tillsyn/A 60369-2021 tillsynsbegäran.docx", "A 60369-2021")</f>
        <v/>
      </c>
      <c r="Y848">
        <f>HYPERLINK("https://klasma.github.io/Logging_2462/tillsynsmail/A 60369-2021 tillsynsbegäran mail.docx", "A 60369-2021")</f>
        <v/>
      </c>
    </row>
    <row r="849" ht="15" customHeight="1">
      <c r="A849" t="inlineStr">
        <is>
          <t>A 31518-2024</t>
        </is>
      </c>
      <c r="B849" s="1" t="n">
        <v>45505</v>
      </c>
      <c r="C849" s="1" t="n">
        <v>45971</v>
      </c>
      <c r="D849" t="inlineStr">
        <is>
          <t>VÄSTERBOTTENS LÄN</t>
        </is>
      </c>
      <c r="E849" t="inlineStr">
        <is>
          <t>ÅSELE</t>
        </is>
      </c>
      <c r="F849" t="inlineStr">
        <is>
          <t>SCA</t>
        </is>
      </c>
      <c r="G849" t="n">
        <v>5.4</v>
      </c>
      <c r="H849" t="n">
        <v>0</v>
      </c>
      <c r="I849" t="n">
        <v>0</v>
      </c>
      <c r="J849" t="n">
        <v>1</v>
      </c>
      <c r="K849" t="n">
        <v>0</v>
      </c>
      <c r="L849" t="n">
        <v>0</v>
      </c>
      <c r="M849" t="n">
        <v>0</v>
      </c>
      <c r="N849" t="n">
        <v>0</v>
      </c>
      <c r="O849" t="n">
        <v>1</v>
      </c>
      <c r="P849" t="n">
        <v>0</v>
      </c>
      <c r="Q849" t="n">
        <v>1</v>
      </c>
      <c r="R849" s="2" t="inlineStr">
        <is>
          <t>Garnlav</t>
        </is>
      </c>
      <c r="S849">
        <f>HYPERLINK("https://klasma.github.io/Logging_2463/artfynd/A 31518-2024 artfynd.xlsx", "A 31518-2024")</f>
        <v/>
      </c>
      <c r="T849">
        <f>HYPERLINK("https://klasma.github.io/Logging_2463/kartor/A 31518-2024 karta.png", "A 31518-2024")</f>
        <v/>
      </c>
      <c r="V849">
        <f>HYPERLINK("https://klasma.github.io/Logging_2463/klagomål/A 31518-2024 FSC-klagomål.docx", "A 31518-2024")</f>
        <v/>
      </c>
      <c r="W849">
        <f>HYPERLINK("https://klasma.github.io/Logging_2463/klagomålsmail/A 31518-2024 FSC-klagomål mail.docx", "A 31518-2024")</f>
        <v/>
      </c>
      <c r="X849">
        <f>HYPERLINK("https://klasma.github.io/Logging_2463/tillsyn/A 31518-2024 tillsynsbegäran.docx", "A 31518-2024")</f>
        <v/>
      </c>
      <c r="Y849">
        <f>HYPERLINK("https://klasma.github.io/Logging_2463/tillsynsmail/A 31518-2024 tillsynsbegäran mail.docx", "A 31518-2024")</f>
        <v/>
      </c>
    </row>
    <row r="850" ht="15" customHeight="1">
      <c r="A850" t="inlineStr">
        <is>
          <t>A 55389-2024</t>
        </is>
      </c>
      <c r="B850" s="1" t="n">
        <v>45622.33753472222</v>
      </c>
      <c r="C850" s="1" t="n">
        <v>45971</v>
      </c>
      <c r="D850" t="inlineStr">
        <is>
          <t>VÄSTERBOTTENS LÄN</t>
        </is>
      </c>
      <c r="E850" t="inlineStr">
        <is>
          <t>NORSJÖ</t>
        </is>
      </c>
      <c r="F850" t="inlineStr">
        <is>
          <t>Sveaskog</t>
        </is>
      </c>
      <c r="G850" t="n">
        <v>14.6</v>
      </c>
      <c r="H850" t="n">
        <v>0</v>
      </c>
      <c r="I850" t="n">
        <v>0</v>
      </c>
      <c r="J850" t="n">
        <v>1</v>
      </c>
      <c r="K850" t="n">
        <v>0</v>
      </c>
      <c r="L850" t="n">
        <v>0</v>
      </c>
      <c r="M850" t="n">
        <v>0</v>
      </c>
      <c r="N850" t="n">
        <v>0</v>
      </c>
      <c r="O850" t="n">
        <v>1</v>
      </c>
      <c r="P850" t="n">
        <v>0</v>
      </c>
      <c r="Q850" t="n">
        <v>1</v>
      </c>
      <c r="R850" s="2" t="inlineStr">
        <is>
          <t>Garnlav</t>
        </is>
      </c>
      <c r="S850">
        <f>HYPERLINK("https://klasma.github.io/Logging_2417/artfynd/A 55389-2024 artfynd.xlsx", "A 55389-2024")</f>
        <v/>
      </c>
      <c r="T850">
        <f>HYPERLINK("https://klasma.github.io/Logging_2417/kartor/A 55389-2024 karta.png", "A 55389-2024")</f>
        <v/>
      </c>
      <c r="V850">
        <f>HYPERLINK("https://klasma.github.io/Logging_2417/klagomål/A 55389-2024 FSC-klagomål.docx", "A 55389-2024")</f>
        <v/>
      </c>
      <c r="W850">
        <f>HYPERLINK("https://klasma.github.io/Logging_2417/klagomålsmail/A 55389-2024 FSC-klagomål mail.docx", "A 55389-2024")</f>
        <v/>
      </c>
      <c r="X850">
        <f>HYPERLINK("https://klasma.github.io/Logging_2417/tillsyn/A 55389-2024 tillsynsbegäran.docx", "A 55389-2024")</f>
        <v/>
      </c>
      <c r="Y850">
        <f>HYPERLINK("https://klasma.github.io/Logging_2417/tillsynsmail/A 55389-2024 tillsynsbegäran mail.docx", "A 55389-2024")</f>
        <v/>
      </c>
    </row>
    <row r="851" ht="15" customHeight="1">
      <c r="A851" t="inlineStr">
        <is>
          <t>A 54741-2023</t>
        </is>
      </c>
      <c r="B851" s="1" t="n">
        <v>45236.40642361111</v>
      </c>
      <c r="C851" s="1" t="n">
        <v>45971</v>
      </c>
      <c r="D851" t="inlineStr">
        <is>
          <t>VÄSTERBOTTENS LÄN</t>
        </is>
      </c>
      <c r="E851" t="inlineStr">
        <is>
          <t>ÅSELE</t>
        </is>
      </c>
      <c r="F851" t="inlineStr">
        <is>
          <t>Sveaskog</t>
        </is>
      </c>
      <c r="G851" t="n">
        <v>23.4</v>
      </c>
      <c r="H851" t="n">
        <v>0</v>
      </c>
      <c r="I851" t="n">
        <v>0</v>
      </c>
      <c r="J851" t="n">
        <v>1</v>
      </c>
      <c r="K851" t="n">
        <v>0</v>
      </c>
      <c r="L851" t="n">
        <v>0</v>
      </c>
      <c r="M851" t="n">
        <v>0</v>
      </c>
      <c r="N851" t="n">
        <v>0</v>
      </c>
      <c r="O851" t="n">
        <v>1</v>
      </c>
      <c r="P851" t="n">
        <v>0</v>
      </c>
      <c r="Q851" t="n">
        <v>1</v>
      </c>
      <c r="R851" s="2" t="inlineStr">
        <is>
          <t>Garnlav</t>
        </is>
      </c>
      <c r="S851">
        <f>HYPERLINK("https://klasma.github.io/Logging_2463/artfynd/A 54741-2023 artfynd.xlsx", "A 54741-2023")</f>
        <v/>
      </c>
      <c r="T851">
        <f>HYPERLINK("https://klasma.github.io/Logging_2463/kartor/A 54741-2023 karta.png", "A 54741-2023")</f>
        <v/>
      </c>
      <c r="V851">
        <f>HYPERLINK("https://klasma.github.io/Logging_2463/klagomål/A 54741-2023 FSC-klagomål.docx", "A 54741-2023")</f>
        <v/>
      </c>
      <c r="W851">
        <f>HYPERLINK("https://klasma.github.io/Logging_2463/klagomålsmail/A 54741-2023 FSC-klagomål mail.docx", "A 54741-2023")</f>
        <v/>
      </c>
      <c r="X851">
        <f>HYPERLINK("https://klasma.github.io/Logging_2463/tillsyn/A 54741-2023 tillsynsbegäran.docx", "A 54741-2023")</f>
        <v/>
      </c>
      <c r="Y851">
        <f>HYPERLINK("https://klasma.github.io/Logging_2463/tillsynsmail/A 54741-2023 tillsynsbegäran mail.docx", "A 54741-2023")</f>
        <v/>
      </c>
    </row>
    <row r="852" ht="15" customHeight="1">
      <c r="A852" t="inlineStr">
        <is>
          <t>A 33913-2024</t>
        </is>
      </c>
      <c r="B852" s="1" t="n">
        <v>45523.38783564815</v>
      </c>
      <c r="C852" s="1" t="n">
        <v>45971</v>
      </c>
      <c r="D852" t="inlineStr">
        <is>
          <t>VÄSTERBOTTENS LÄN</t>
        </is>
      </c>
      <c r="E852" t="inlineStr">
        <is>
          <t>VILHELMINA</t>
        </is>
      </c>
      <c r="F852" t="inlineStr">
        <is>
          <t>SCA</t>
        </is>
      </c>
      <c r="G852" t="n">
        <v>2.4</v>
      </c>
      <c r="H852" t="n">
        <v>0</v>
      </c>
      <c r="I852" t="n">
        <v>0</v>
      </c>
      <c r="J852" t="n">
        <v>1</v>
      </c>
      <c r="K852" t="n">
        <v>0</v>
      </c>
      <c r="L852" t="n">
        <v>0</v>
      </c>
      <c r="M852" t="n">
        <v>0</v>
      </c>
      <c r="N852" t="n">
        <v>0</v>
      </c>
      <c r="O852" t="n">
        <v>1</v>
      </c>
      <c r="P852" t="n">
        <v>0</v>
      </c>
      <c r="Q852" t="n">
        <v>1</v>
      </c>
      <c r="R852" s="2" t="inlineStr">
        <is>
          <t>Lunglav</t>
        </is>
      </c>
      <c r="S852">
        <f>HYPERLINK("https://klasma.github.io/Logging_2462/artfynd/A 33913-2024 artfynd.xlsx", "A 33913-2024")</f>
        <v/>
      </c>
      <c r="T852">
        <f>HYPERLINK("https://klasma.github.io/Logging_2462/kartor/A 33913-2024 karta.png", "A 33913-2024")</f>
        <v/>
      </c>
      <c r="V852">
        <f>HYPERLINK("https://klasma.github.io/Logging_2462/klagomål/A 33913-2024 FSC-klagomål.docx", "A 33913-2024")</f>
        <v/>
      </c>
      <c r="W852">
        <f>HYPERLINK("https://klasma.github.io/Logging_2462/klagomålsmail/A 33913-2024 FSC-klagomål mail.docx", "A 33913-2024")</f>
        <v/>
      </c>
      <c r="X852">
        <f>HYPERLINK("https://klasma.github.io/Logging_2462/tillsyn/A 33913-2024 tillsynsbegäran.docx", "A 33913-2024")</f>
        <v/>
      </c>
      <c r="Y852">
        <f>HYPERLINK("https://klasma.github.io/Logging_2462/tillsynsmail/A 33913-2024 tillsynsbegäran mail.docx", "A 33913-2024")</f>
        <v/>
      </c>
    </row>
    <row r="853" ht="15" customHeight="1">
      <c r="A853" t="inlineStr">
        <is>
          <t>A 17091-2025</t>
        </is>
      </c>
      <c r="B853" s="1" t="n">
        <v>45755.64905092592</v>
      </c>
      <c r="C853" s="1" t="n">
        <v>45971</v>
      </c>
      <c r="D853" t="inlineStr">
        <is>
          <t>VÄSTERBOTTENS LÄN</t>
        </is>
      </c>
      <c r="E853" t="inlineStr">
        <is>
          <t>UMEÅ</t>
        </is>
      </c>
      <c r="G853" t="n">
        <v>2.2</v>
      </c>
      <c r="H853" t="n">
        <v>0</v>
      </c>
      <c r="I853" t="n">
        <v>0</v>
      </c>
      <c r="J853" t="n">
        <v>1</v>
      </c>
      <c r="K853" t="n">
        <v>0</v>
      </c>
      <c r="L853" t="n">
        <v>0</v>
      </c>
      <c r="M853" t="n">
        <v>0</v>
      </c>
      <c r="N853" t="n">
        <v>0</v>
      </c>
      <c r="O853" t="n">
        <v>1</v>
      </c>
      <c r="P853" t="n">
        <v>0</v>
      </c>
      <c r="Q853" t="n">
        <v>1</v>
      </c>
      <c r="R853" s="2" t="inlineStr">
        <is>
          <t>Motaggsvamp</t>
        </is>
      </c>
      <c r="S853">
        <f>HYPERLINK("https://klasma.github.io/Logging_2480/artfynd/A 17091-2025 artfynd.xlsx", "A 17091-2025")</f>
        <v/>
      </c>
      <c r="T853">
        <f>HYPERLINK("https://klasma.github.io/Logging_2480/kartor/A 17091-2025 karta.png", "A 17091-2025")</f>
        <v/>
      </c>
      <c r="V853">
        <f>HYPERLINK("https://klasma.github.io/Logging_2480/klagomål/A 17091-2025 FSC-klagomål.docx", "A 17091-2025")</f>
        <v/>
      </c>
      <c r="W853">
        <f>HYPERLINK("https://klasma.github.io/Logging_2480/klagomålsmail/A 17091-2025 FSC-klagomål mail.docx", "A 17091-2025")</f>
        <v/>
      </c>
      <c r="X853">
        <f>HYPERLINK("https://klasma.github.io/Logging_2480/tillsyn/A 17091-2025 tillsynsbegäran.docx", "A 17091-2025")</f>
        <v/>
      </c>
      <c r="Y853">
        <f>HYPERLINK("https://klasma.github.io/Logging_2480/tillsynsmail/A 17091-2025 tillsynsbegäran mail.docx", "A 17091-2025")</f>
        <v/>
      </c>
    </row>
    <row r="854" ht="15" customHeight="1">
      <c r="A854" t="inlineStr">
        <is>
          <t>A 32023-2024</t>
        </is>
      </c>
      <c r="B854" s="1" t="n">
        <v>45510</v>
      </c>
      <c r="C854" s="1" t="n">
        <v>45971</v>
      </c>
      <c r="D854" t="inlineStr">
        <is>
          <t>VÄSTERBOTTENS LÄN</t>
        </is>
      </c>
      <c r="E854" t="inlineStr">
        <is>
          <t>ROBERTSFORS</t>
        </is>
      </c>
      <c r="F854" t="inlineStr">
        <is>
          <t>Holmen skog AB</t>
        </is>
      </c>
      <c r="G854" t="n">
        <v>1.8</v>
      </c>
      <c r="H854" t="n">
        <v>0</v>
      </c>
      <c r="I854" t="n">
        <v>1</v>
      </c>
      <c r="J854" t="n">
        <v>0</v>
      </c>
      <c r="K854" t="n">
        <v>0</v>
      </c>
      <c r="L854" t="n">
        <v>0</v>
      </c>
      <c r="M854" t="n">
        <v>0</v>
      </c>
      <c r="N854" t="n">
        <v>0</v>
      </c>
      <c r="O854" t="n">
        <v>0</v>
      </c>
      <c r="P854" t="n">
        <v>0</v>
      </c>
      <c r="Q854" t="n">
        <v>1</v>
      </c>
      <c r="R854" s="2" t="inlineStr">
        <is>
          <t>Dropptaggsvamp</t>
        </is>
      </c>
      <c r="S854">
        <f>HYPERLINK("https://klasma.github.io/Logging_2409/artfynd/A 32023-2024 artfynd.xlsx", "A 32023-2024")</f>
        <v/>
      </c>
      <c r="T854">
        <f>HYPERLINK("https://klasma.github.io/Logging_2409/kartor/A 32023-2024 karta.png", "A 32023-2024")</f>
        <v/>
      </c>
      <c r="V854">
        <f>HYPERLINK("https://klasma.github.io/Logging_2409/klagomål/A 32023-2024 FSC-klagomål.docx", "A 32023-2024")</f>
        <v/>
      </c>
      <c r="W854">
        <f>HYPERLINK("https://klasma.github.io/Logging_2409/klagomålsmail/A 32023-2024 FSC-klagomål mail.docx", "A 32023-2024")</f>
        <v/>
      </c>
      <c r="X854">
        <f>HYPERLINK("https://klasma.github.io/Logging_2409/tillsyn/A 32023-2024 tillsynsbegäran.docx", "A 32023-2024")</f>
        <v/>
      </c>
      <c r="Y854">
        <f>HYPERLINK("https://klasma.github.io/Logging_2409/tillsynsmail/A 32023-2024 tillsynsbegäran mail.docx", "A 32023-2024")</f>
        <v/>
      </c>
    </row>
    <row r="855" ht="15" customHeight="1">
      <c r="A855" t="inlineStr">
        <is>
          <t>A 737-2025</t>
        </is>
      </c>
      <c r="B855" s="1" t="n">
        <v>45665</v>
      </c>
      <c r="C855" s="1" t="n">
        <v>45971</v>
      </c>
      <c r="D855" t="inlineStr">
        <is>
          <t>VÄSTERBOTTENS LÄN</t>
        </is>
      </c>
      <c r="E855" t="inlineStr">
        <is>
          <t>SKELLEFTEÅ</t>
        </is>
      </c>
      <c r="G855" t="n">
        <v>14.8</v>
      </c>
      <c r="H855" t="n">
        <v>0</v>
      </c>
      <c r="I855" t="n">
        <v>0</v>
      </c>
      <c r="J855" t="n">
        <v>0</v>
      </c>
      <c r="K855" t="n">
        <v>1</v>
      </c>
      <c r="L855" t="n">
        <v>0</v>
      </c>
      <c r="M855" t="n">
        <v>0</v>
      </c>
      <c r="N855" t="n">
        <v>0</v>
      </c>
      <c r="O855" t="n">
        <v>1</v>
      </c>
      <c r="P855" t="n">
        <v>1</v>
      </c>
      <c r="Q855" t="n">
        <v>1</v>
      </c>
      <c r="R855" s="2" t="inlineStr">
        <is>
          <t>Goliatmusseron</t>
        </is>
      </c>
      <c r="S855">
        <f>HYPERLINK("https://klasma.github.io/Logging_2482/artfynd/A 737-2025 artfynd.xlsx", "A 737-2025")</f>
        <v/>
      </c>
      <c r="T855">
        <f>HYPERLINK("https://klasma.github.io/Logging_2482/kartor/A 737-2025 karta.png", "A 737-2025")</f>
        <v/>
      </c>
      <c r="V855">
        <f>HYPERLINK("https://klasma.github.io/Logging_2482/klagomål/A 737-2025 FSC-klagomål.docx", "A 737-2025")</f>
        <v/>
      </c>
      <c r="W855">
        <f>HYPERLINK("https://klasma.github.io/Logging_2482/klagomålsmail/A 737-2025 FSC-klagomål mail.docx", "A 737-2025")</f>
        <v/>
      </c>
      <c r="X855">
        <f>HYPERLINK("https://klasma.github.io/Logging_2482/tillsyn/A 737-2025 tillsynsbegäran.docx", "A 737-2025")</f>
        <v/>
      </c>
      <c r="Y855">
        <f>HYPERLINK("https://klasma.github.io/Logging_2482/tillsynsmail/A 737-2025 tillsynsbegäran mail.docx", "A 737-2025")</f>
        <v/>
      </c>
    </row>
    <row r="856" ht="15" customHeight="1">
      <c r="A856" t="inlineStr">
        <is>
          <t>A 38929-2025</t>
        </is>
      </c>
      <c r="B856" s="1" t="n">
        <v>45887</v>
      </c>
      <c r="C856" s="1" t="n">
        <v>45971</v>
      </c>
      <c r="D856" t="inlineStr">
        <is>
          <t>VÄSTERBOTTENS LÄN</t>
        </is>
      </c>
      <c r="E856" t="inlineStr">
        <is>
          <t>VILHELMINA</t>
        </is>
      </c>
      <c r="F856" t="inlineStr">
        <is>
          <t>SCA</t>
        </is>
      </c>
      <c r="G856" t="n">
        <v>3.5</v>
      </c>
      <c r="H856" t="n">
        <v>0</v>
      </c>
      <c r="I856" t="n">
        <v>1</v>
      </c>
      <c r="J856" t="n">
        <v>0</v>
      </c>
      <c r="K856" t="n">
        <v>0</v>
      </c>
      <c r="L856" t="n">
        <v>0</v>
      </c>
      <c r="M856" t="n">
        <v>0</v>
      </c>
      <c r="N856" t="n">
        <v>0</v>
      </c>
      <c r="O856" t="n">
        <v>0</v>
      </c>
      <c r="P856" t="n">
        <v>0</v>
      </c>
      <c r="Q856" t="n">
        <v>1</v>
      </c>
      <c r="R856" s="2" t="inlineStr">
        <is>
          <t>Blodticka</t>
        </is>
      </c>
      <c r="S856">
        <f>HYPERLINK("https://klasma.github.io/Logging_2462/artfynd/A 38929-2025 artfynd.xlsx", "A 38929-2025")</f>
        <v/>
      </c>
      <c r="T856">
        <f>HYPERLINK("https://klasma.github.io/Logging_2462/kartor/A 38929-2025 karta.png", "A 38929-2025")</f>
        <v/>
      </c>
      <c r="V856">
        <f>HYPERLINK("https://klasma.github.io/Logging_2462/klagomål/A 38929-2025 FSC-klagomål.docx", "A 38929-2025")</f>
        <v/>
      </c>
      <c r="W856">
        <f>HYPERLINK("https://klasma.github.io/Logging_2462/klagomålsmail/A 38929-2025 FSC-klagomål mail.docx", "A 38929-2025")</f>
        <v/>
      </c>
      <c r="X856">
        <f>HYPERLINK("https://klasma.github.io/Logging_2462/tillsyn/A 38929-2025 tillsynsbegäran.docx", "A 38929-2025")</f>
        <v/>
      </c>
      <c r="Y856">
        <f>HYPERLINK("https://klasma.github.io/Logging_2462/tillsynsmail/A 38929-2025 tillsynsbegäran mail.docx", "A 38929-2025")</f>
        <v/>
      </c>
    </row>
    <row r="857" ht="15" customHeight="1">
      <c r="A857" t="inlineStr">
        <is>
          <t>A 47354-2025</t>
        </is>
      </c>
      <c r="B857" s="1" t="n">
        <v>45930.57769675926</v>
      </c>
      <c r="C857" s="1" t="n">
        <v>45971</v>
      </c>
      <c r="D857" t="inlineStr">
        <is>
          <t>VÄSTERBOTTENS LÄN</t>
        </is>
      </c>
      <c r="E857" t="inlineStr">
        <is>
          <t>SKELLEFTEÅ</t>
        </is>
      </c>
      <c r="G857" t="n">
        <v>0.5</v>
      </c>
      <c r="H857" t="n">
        <v>1</v>
      </c>
      <c r="I857" t="n">
        <v>0</v>
      </c>
      <c r="J857" t="n">
        <v>0</v>
      </c>
      <c r="K857" t="n">
        <v>0</v>
      </c>
      <c r="L857" t="n">
        <v>0</v>
      </c>
      <c r="M857" t="n">
        <v>0</v>
      </c>
      <c r="N857" t="n">
        <v>0</v>
      </c>
      <c r="O857" t="n">
        <v>0</v>
      </c>
      <c r="P857" t="n">
        <v>0</v>
      </c>
      <c r="Q857" t="n">
        <v>1</v>
      </c>
      <c r="R857" s="2" t="inlineStr">
        <is>
          <t>Mindre vattensalamander</t>
        </is>
      </c>
      <c r="S857">
        <f>HYPERLINK("https://klasma.github.io/Logging_2482/artfynd/A 47354-2025 artfynd.xlsx", "A 47354-2025")</f>
        <v/>
      </c>
      <c r="T857">
        <f>HYPERLINK("https://klasma.github.io/Logging_2482/kartor/A 47354-2025 karta.png", "A 47354-2025")</f>
        <v/>
      </c>
      <c r="V857">
        <f>HYPERLINK("https://klasma.github.io/Logging_2482/klagomål/A 47354-2025 FSC-klagomål.docx", "A 47354-2025")</f>
        <v/>
      </c>
      <c r="W857">
        <f>HYPERLINK("https://klasma.github.io/Logging_2482/klagomålsmail/A 47354-2025 FSC-klagomål mail.docx", "A 47354-2025")</f>
        <v/>
      </c>
      <c r="X857">
        <f>HYPERLINK("https://klasma.github.io/Logging_2482/tillsyn/A 47354-2025 tillsynsbegäran.docx", "A 47354-2025")</f>
        <v/>
      </c>
      <c r="Y857">
        <f>HYPERLINK("https://klasma.github.io/Logging_2482/tillsynsmail/A 47354-2025 tillsynsbegäran mail.docx", "A 47354-2025")</f>
        <v/>
      </c>
    </row>
    <row r="858" ht="15" customHeight="1">
      <c r="A858" t="inlineStr">
        <is>
          <t>A 10945-2025</t>
        </is>
      </c>
      <c r="B858" s="1" t="n">
        <v>45723.33811342593</v>
      </c>
      <c r="C858" s="1" t="n">
        <v>45971</v>
      </c>
      <c r="D858" t="inlineStr">
        <is>
          <t>VÄSTERBOTTENS LÄN</t>
        </is>
      </c>
      <c r="E858" t="inlineStr">
        <is>
          <t>UMEÅ</t>
        </is>
      </c>
      <c r="G858" t="n">
        <v>1.6</v>
      </c>
      <c r="H858" t="n">
        <v>0</v>
      </c>
      <c r="I858" t="n">
        <v>0</v>
      </c>
      <c r="J858" t="n">
        <v>1</v>
      </c>
      <c r="K858" t="n">
        <v>0</v>
      </c>
      <c r="L858" t="n">
        <v>0</v>
      </c>
      <c r="M858" t="n">
        <v>0</v>
      </c>
      <c r="N858" t="n">
        <v>0</v>
      </c>
      <c r="O858" t="n">
        <v>1</v>
      </c>
      <c r="P858" t="n">
        <v>0</v>
      </c>
      <c r="Q858" t="n">
        <v>1</v>
      </c>
      <c r="R858" s="2" t="inlineStr">
        <is>
          <t>Garnlav</t>
        </is>
      </c>
      <c r="S858">
        <f>HYPERLINK("https://klasma.github.io/Logging_2480/artfynd/A 10945-2025 artfynd.xlsx", "A 10945-2025")</f>
        <v/>
      </c>
      <c r="T858">
        <f>HYPERLINK("https://klasma.github.io/Logging_2480/kartor/A 10945-2025 karta.png", "A 10945-2025")</f>
        <v/>
      </c>
      <c r="V858">
        <f>HYPERLINK("https://klasma.github.io/Logging_2480/klagomål/A 10945-2025 FSC-klagomål.docx", "A 10945-2025")</f>
        <v/>
      </c>
      <c r="W858">
        <f>HYPERLINK("https://klasma.github.io/Logging_2480/klagomålsmail/A 10945-2025 FSC-klagomål mail.docx", "A 10945-2025")</f>
        <v/>
      </c>
      <c r="X858">
        <f>HYPERLINK("https://klasma.github.io/Logging_2480/tillsyn/A 10945-2025 tillsynsbegäran.docx", "A 10945-2025")</f>
        <v/>
      </c>
      <c r="Y858">
        <f>HYPERLINK("https://klasma.github.io/Logging_2480/tillsynsmail/A 10945-2025 tillsynsbegäran mail.docx", "A 10945-2025")</f>
        <v/>
      </c>
    </row>
    <row r="859" ht="15" customHeight="1">
      <c r="A859" t="inlineStr">
        <is>
          <t>A 18248-2021</t>
        </is>
      </c>
      <c r="B859" s="1" t="n">
        <v>44305</v>
      </c>
      <c r="C859" s="1" t="n">
        <v>45971</v>
      </c>
      <c r="D859" t="inlineStr">
        <is>
          <t>VÄSTERBOTTENS LÄN</t>
        </is>
      </c>
      <c r="E859" t="inlineStr">
        <is>
          <t>UMEÅ</t>
        </is>
      </c>
      <c r="G859" t="n">
        <v>22</v>
      </c>
      <c r="H859" t="n">
        <v>1</v>
      </c>
      <c r="I859" t="n">
        <v>0</v>
      </c>
      <c r="J859" t="n">
        <v>0</v>
      </c>
      <c r="K859" t="n">
        <v>0</v>
      </c>
      <c r="L859" t="n">
        <v>0</v>
      </c>
      <c r="M859" t="n">
        <v>0</v>
      </c>
      <c r="N859" t="n">
        <v>0</v>
      </c>
      <c r="O859" t="n">
        <v>0</v>
      </c>
      <c r="P859" t="n">
        <v>0</v>
      </c>
      <c r="Q859" t="n">
        <v>1</v>
      </c>
      <c r="R859" s="2" t="inlineStr">
        <is>
          <t>Bivråk</t>
        </is>
      </c>
      <c r="S859">
        <f>HYPERLINK("https://klasma.github.io/Logging_2480/artfynd/A 18248-2021 artfynd.xlsx", "A 18248-2021")</f>
        <v/>
      </c>
      <c r="T859">
        <f>HYPERLINK("https://klasma.github.io/Logging_2480/kartor/A 18248-2021 karta.png", "A 18248-2021")</f>
        <v/>
      </c>
      <c r="V859">
        <f>HYPERLINK("https://klasma.github.io/Logging_2480/klagomål/A 18248-2021 FSC-klagomål.docx", "A 18248-2021")</f>
        <v/>
      </c>
      <c r="W859">
        <f>HYPERLINK("https://klasma.github.io/Logging_2480/klagomålsmail/A 18248-2021 FSC-klagomål mail.docx", "A 18248-2021")</f>
        <v/>
      </c>
      <c r="X859">
        <f>HYPERLINK("https://klasma.github.io/Logging_2480/tillsyn/A 18248-2021 tillsynsbegäran.docx", "A 18248-2021")</f>
        <v/>
      </c>
      <c r="Y859">
        <f>HYPERLINK("https://klasma.github.io/Logging_2480/tillsynsmail/A 18248-2021 tillsynsbegäran mail.docx", "A 18248-2021")</f>
        <v/>
      </c>
      <c r="Z859">
        <f>HYPERLINK("https://klasma.github.io/Logging_2480/fåglar/A 18248-2021 prioriterade fågelarter.docx", "A 18248-2021")</f>
        <v/>
      </c>
    </row>
    <row r="860" ht="15" customHeight="1">
      <c r="A860" t="inlineStr">
        <is>
          <t>A 23330-2023</t>
        </is>
      </c>
      <c r="B860" s="1" t="n">
        <v>45071</v>
      </c>
      <c r="C860" s="1" t="n">
        <v>45971</v>
      </c>
      <c r="D860" t="inlineStr">
        <is>
          <t>VÄSTERBOTTENS LÄN</t>
        </is>
      </c>
      <c r="E860" t="inlineStr">
        <is>
          <t>SORSELE</t>
        </is>
      </c>
      <c r="G860" t="n">
        <v>3.2</v>
      </c>
      <c r="H860" t="n">
        <v>0</v>
      </c>
      <c r="I860" t="n">
        <v>1</v>
      </c>
      <c r="J860" t="n">
        <v>0</v>
      </c>
      <c r="K860" t="n">
        <v>0</v>
      </c>
      <c r="L860" t="n">
        <v>0</v>
      </c>
      <c r="M860" t="n">
        <v>0</v>
      </c>
      <c r="N860" t="n">
        <v>0</v>
      </c>
      <c r="O860" t="n">
        <v>0</v>
      </c>
      <c r="P860" t="n">
        <v>0</v>
      </c>
      <c r="Q860" t="n">
        <v>1</v>
      </c>
      <c r="R860" s="2" t="inlineStr">
        <is>
          <t>Vedticka</t>
        </is>
      </c>
      <c r="S860">
        <f>HYPERLINK("https://klasma.github.io/Logging_2422/artfynd/A 23330-2023 artfynd.xlsx", "A 23330-2023")</f>
        <v/>
      </c>
      <c r="T860">
        <f>HYPERLINK("https://klasma.github.io/Logging_2422/kartor/A 23330-2023 karta.png", "A 23330-2023")</f>
        <v/>
      </c>
      <c r="V860">
        <f>HYPERLINK("https://klasma.github.io/Logging_2422/klagomål/A 23330-2023 FSC-klagomål.docx", "A 23330-2023")</f>
        <v/>
      </c>
      <c r="W860">
        <f>HYPERLINK("https://klasma.github.io/Logging_2422/klagomålsmail/A 23330-2023 FSC-klagomål mail.docx", "A 23330-2023")</f>
        <v/>
      </c>
      <c r="X860">
        <f>HYPERLINK("https://klasma.github.io/Logging_2422/tillsyn/A 23330-2023 tillsynsbegäran.docx", "A 23330-2023")</f>
        <v/>
      </c>
      <c r="Y860">
        <f>HYPERLINK("https://klasma.github.io/Logging_2422/tillsynsmail/A 23330-2023 tillsynsbegäran mail.docx", "A 23330-2023")</f>
        <v/>
      </c>
    </row>
    <row r="861" ht="15" customHeight="1">
      <c r="A861" t="inlineStr">
        <is>
          <t>A 36318-2024</t>
        </is>
      </c>
      <c r="B861" s="1" t="n">
        <v>45534</v>
      </c>
      <c r="C861" s="1" t="n">
        <v>45971</v>
      </c>
      <c r="D861" t="inlineStr">
        <is>
          <t>VÄSTERBOTTENS LÄN</t>
        </is>
      </c>
      <c r="E861" t="inlineStr">
        <is>
          <t>DOROTEA</t>
        </is>
      </c>
      <c r="F861" t="inlineStr">
        <is>
          <t>SCA</t>
        </is>
      </c>
      <c r="G861" t="n">
        <v>2.5</v>
      </c>
      <c r="H861" t="n">
        <v>0</v>
      </c>
      <c r="I861" t="n">
        <v>0</v>
      </c>
      <c r="J861" t="n">
        <v>1</v>
      </c>
      <c r="K861" t="n">
        <v>0</v>
      </c>
      <c r="L861" t="n">
        <v>0</v>
      </c>
      <c r="M861" t="n">
        <v>0</v>
      </c>
      <c r="N861" t="n">
        <v>0</v>
      </c>
      <c r="O861" t="n">
        <v>1</v>
      </c>
      <c r="P861" t="n">
        <v>0</v>
      </c>
      <c r="Q861" t="n">
        <v>1</v>
      </c>
      <c r="R861" s="2" t="inlineStr">
        <is>
          <t>Garnlav</t>
        </is>
      </c>
      <c r="S861">
        <f>HYPERLINK("https://klasma.github.io/Logging_2425/artfynd/A 36318-2024 artfynd.xlsx", "A 36318-2024")</f>
        <v/>
      </c>
      <c r="T861">
        <f>HYPERLINK("https://klasma.github.io/Logging_2425/kartor/A 36318-2024 karta.png", "A 36318-2024")</f>
        <v/>
      </c>
      <c r="V861">
        <f>HYPERLINK("https://klasma.github.io/Logging_2425/klagomål/A 36318-2024 FSC-klagomål.docx", "A 36318-2024")</f>
        <v/>
      </c>
      <c r="W861">
        <f>HYPERLINK("https://klasma.github.io/Logging_2425/klagomålsmail/A 36318-2024 FSC-klagomål mail.docx", "A 36318-2024")</f>
        <v/>
      </c>
      <c r="X861">
        <f>HYPERLINK("https://klasma.github.io/Logging_2425/tillsyn/A 36318-2024 tillsynsbegäran.docx", "A 36318-2024")</f>
        <v/>
      </c>
      <c r="Y861">
        <f>HYPERLINK("https://klasma.github.io/Logging_2425/tillsynsmail/A 36318-2024 tillsynsbegäran mail.docx", "A 36318-2024")</f>
        <v/>
      </c>
    </row>
    <row r="862" ht="15" customHeight="1">
      <c r="A862" t="inlineStr">
        <is>
          <t>A 32566-2023</t>
        </is>
      </c>
      <c r="B862" s="1" t="n">
        <v>45121</v>
      </c>
      <c r="C862" s="1" t="n">
        <v>45971</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28448-2023</t>
        </is>
      </c>
      <c r="B863" s="1" t="n">
        <v>45103</v>
      </c>
      <c r="C863" s="1" t="n">
        <v>45971</v>
      </c>
      <c r="D863" t="inlineStr">
        <is>
          <t>VÄSTERBOTTENS LÄN</t>
        </is>
      </c>
      <c r="E863" t="inlineStr">
        <is>
          <t>SKELLEFTEÅ</t>
        </is>
      </c>
      <c r="F863" t="inlineStr">
        <is>
          <t>Kyrkan</t>
        </is>
      </c>
      <c r="G863" t="n">
        <v>9.4</v>
      </c>
      <c r="H863" t="n">
        <v>0</v>
      </c>
      <c r="I863" t="n">
        <v>0</v>
      </c>
      <c r="J863" t="n">
        <v>1</v>
      </c>
      <c r="K863" t="n">
        <v>0</v>
      </c>
      <c r="L863" t="n">
        <v>0</v>
      </c>
      <c r="M863" t="n">
        <v>0</v>
      </c>
      <c r="N863" t="n">
        <v>0</v>
      </c>
      <c r="O863" t="n">
        <v>1</v>
      </c>
      <c r="P863" t="n">
        <v>0</v>
      </c>
      <c r="Q863" t="n">
        <v>1</v>
      </c>
      <c r="R863" s="2" t="inlineStr">
        <is>
          <t>Tallriska</t>
        </is>
      </c>
      <c r="S863">
        <f>HYPERLINK("https://klasma.github.io/Logging_2482/artfynd/A 28448-2023 artfynd.xlsx", "A 28448-2023")</f>
        <v/>
      </c>
      <c r="T863">
        <f>HYPERLINK("https://klasma.github.io/Logging_2482/kartor/A 28448-2023 karta.png", "A 28448-2023")</f>
        <v/>
      </c>
      <c r="V863">
        <f>HYPERLINK("https://klasma.github.io/Logging_2482/klagomål/A 28448-2023 FSC-klagomål.docx", "A 28448-2023")</f>
        <v/>
      </c>
      <c r="W863">
        <f>HYPERLINK("https://klasma.github.io/Logging_2482/klagomålsmail/A 28448-2023 FSC-klagomål mail.docx", "A 28448-2023")</f>
        <v/>
      </c>
      <c r="X863">
        <f>HYPERLINK("https://klasma.github.io/Logging_2482/tillsyn/A 28448-2023 tillsynsbegäran.docx", "A 28448-2023")</f>
        <v/>
      </c>
      <c r="Y863">
        <f>HYPERLINK("https://klasma.github.io/Logging_2482/tillsynsmail/A 28448-2023 tillsynsbegäran mail.docx", "A 28448-2023")</f>
        <v/>
      </c>
    </row>
    <row r="864" ht="15" customHeight="1">
      <c r="A864" t="inlineStr">
        <is>
          <t>A 52129-2024</t>
        </is>
      </c>
      <c r="B864" s="1" t="n">
        <v>45608.47541666667</v>
      </c>
      <c r="C864" s="1" t="n">
        <v>45971</v>
      </c>
      <c r="D864" t="inlineStr">
        <is>
          <t>VÄSTERBOTTENS LÄN</t>
        </is>
      </c>
      <c r="E864" t="inlineStr">
        <is>
          <t>MALÅ</t>
        </is>
      </c>
      <c r="F864" t="inlineStr">
        <is>
          <t>Sveaskog</t>
        </is>
      </c>
      <c r="G864" t="n">
        <v>5.2</v>
      </c>
      <c r="H864" t="n">
        <v>0</v>
      </c>
      <c r="I864" t="n">
        <v>0</v>
      </c>
      <c r="J864" t="n">
        <v>1</v>
      </c>
      <c r="K864" t="n">
        <v>0</v>
      </c>
      <c r="L864" t="n">
        <v>0</v>
      </c>
      <c r="M864" t="n">
        <v>0</v>
      </c>
      <c r="N864" t="n">
        <v>0</v>
      </c>
      <c r="O864" t="n">
        <v>1</v>
      </c>
      <c r="P864" t="n">
        <v>0</v>
      </c>
      <c r="Q864" t="n">
        <v>1</v>
      </c>
      <c r="R864" s="2" t="inlineStr">
        <is>
          <t>Gammelgransskål</t>
        </is>
      </c>
      <c r="S864">
        <f>HYPERLINK("https://klasma.github.io/Logging_2418/artfynd/A 52129-2024 artfynd.xlsx", "A 52129-2024")</f>
        <v/>
      </c>
      <c r="T864">
        <f>HYPERLINK("https://klasma.github.io/Logging_2418/kartor/A 52129-2024 karta.png", "A 52129-2024")</f>
        <v/>
      </c>
      <c r="V864">
        <f>HYPERLINK("https://klasma.github.io/Logging_2418/klagomål/A 52129-2024 FSC-klagomål.docx", "A 52129-2024")</f>
        <v/>
      </c>
      <c r="W864">
        <f>HYPERLINK("https://klasma.github.io/Logging_2418/klagomålsmail/A 52129-2024 FSC-klagomål mail.docx", "A 52129-2024")</f>
        <v/>
      </c>
      <c r="X864">
        <f>HYPERLINK("https://klasma.github.io/Logging_2418/tillsyn/A 52129-2024 tillsynsbegäran.docx", "A 52129-2024")</f>
        <v/>
      </c>
      <c r="Y864">
        <f>HYPERLINK("https://klasma.github.io/Logging_2418/tillsynsmail/A 52129-2024 tillsynsbegäran mail.docx", "A 52129-2024")</f>
        <v/>
      </c>
    </row>
    <row r="865" ht="15" customHeight="1">
      <c r="A865" t="inlineStr">
        <is>
          <t>A 39231-2025</t>
        </is>
      </c>
      <c r="B865" s="1" t="n">
        <v>45889.29927083333</v>
      </c>
      <c r="C865" s="1" t="n">
        <v>45971</v>
      </c>
      <c r="D865" t="inlineStr">
        <is>
          <t>VÄSTERBOTTENS LÄN</t>
        </is>
      </c>
      <c r="E865" t="inlineStr">
        <is>
          <t>LYCKSELE</t>
        </is>
      </c>
      <c r="F865" t="inlineStr">
        <is>
          <t>Sveaskog</t>
        </is>
      </c>
      <c r="G865" t="n">
        <v>16.3</v>
      </c>
      <c r="H865" t="n">
        <v>0</v>
      </c>
      <c r="I865" t="n">
        <v>0</v>
      </c>
      <c r="J865" t="n">
        <v>1</v>
      </c>
      <c r="K865" t="n">
        <v>0</v>
      </c>
      <c r="L865" t="n">
        <v>0</v>
      </c>
      <c r="M865" t="n">
        <v>0</v>
      </c>
      <c r="N865" t="n">
        <v>0</v>
      </c>
      <c r="O865" t="n">
        <v>1</v>
      </c>
      <c r="P865" t="n">
        <v>0</v>
      </c>
      <c r="Q865" t="n">
        <v>1</v>
      </c>
      <c r="R865" s="2" t="inlineStr">
        <is>
          <t>Mörk kolflarnlav</t>
        </is>
      </c>
      <c r="S865">
        <f>HYPERLINK("https://klasma.github.io/Logging_2481/artfynd/A 39231-2025 artfynd.xlsx", "A 39231-2025")</f>
        <v/>
      </c>
      <c r="T865">
        <f>HYPERLINK("https://klasma.github.io/Logging_2481/kartor/A 39231-2025 karta.png", "A 39231-2025")</f>
        <v/>
      </c>
      <c r="V865">
        <f>HYPERLINK("https://klasma.github.io/Logging_2481/klagomål/A 39231-2025 FSC-klagomål.docx", "A 39231-2025")</f>
        <v/>
      </c>
      <c r="W865">
        <f>HYPERLINK("https://klasma.github.io/Logging_2481/klagomålsmail/A 39231-2025 FSC-klagomål mail.docx", "A 39231-2025")</f>
        <v/>
      </c>
      <c r="X865">
        <f>HYPERLINK("https://klasma.github.io/Logging_2481/tillsyn/A 39231-2025 tillsynsbegäran.docx", "A 39231-2025")</f>
        <v/>
      </c>
      <c r="Y865">
        <f>HYPERLINK("https://klasma.github.io/Logging_2481/tillsynsmail/A 39231-2025 tillsynsbegäran mail.docx", "A 39231-2025")</f>
        <v/>
      </c>
    </row>
    <row r="866" ht="15" customHeight="1">
      <c r="A866" t="inlineStr">
        <is>
          <t>A 36628-2023</t>
        </is>
      </c>
      <c r="B866" s="1" t="n">
        <v>45153</v>
      </c>
      <c r="C866" s="1" t="n">
        <v>45971</v>
      </c>
      <c r="D866" t="inlineStr">
        <is>
          <t>VÄSTERBOTTENS LÄN</t>
        </is>
      </c>
      <c r="E866" t="inlineStr">
        <is>
          <t>SKELLEFTEÅ</t>
        </is>
      </c>
      <c r="F866" t="inlineStr">
        <is>
          <t>Holmen skog AB</t>
        </is>
      </c>
      <c r="G866" t="n">
        <v>4.6</v>
      </c>
      <c r="H866" t="n">
        <v>0</v>
      </c>
      <c r="I866" t="n">
        <v>0</v>
      </c>
      <c r="J866" t="n">
        <v>1</v>
      </c>
      <c r="K866" t="n">
        <v>0</v>
      </c>
      <c r="L866" t="n">
        <v>0</v>
      </c>
      <c r="M866" t="n">
        <v>0</v>
      </c>
      <c r="N866" t="n">
        <v>0</v>
      </c>
      <c r="O866" t="n">
        <v>1</v>
      </c>
      <c r="P866" t="n">
        <v>0</v>
      </c>
      <c r="Q866" t="n">
        <v>1</v>
      </c>
      <c r="R866" s="2" t="inlineStr">
        <is>
          <t>Gultoppig fingersvamp</t>
        </is>
      </c>
      <c r="S866">
        <f>HYPERLINK("https://klasma.github.io/Logging_2482/artfynd/A 36628-2023 artfynd.xlsx", "A 36628-2023")</f>
        <v/>
      </c>
      <c r="T866">
        <f>HYPERLINK("https://klasma.github.io/Logging_2482/kartor/A 36628-2023 karta.png", "A 36628-2023")</f>
        <v/>
      </c>
      <c r="V866">
        <f>HYPERLINK("https://klasma.github.io/Logging_2482/klagomål/A 36628-2023 FSC-klagomål.docx", "A 36628-2023")</f>
        <v/>
      </c>
      <c r="W866">
        <f>HYPERLINK("https://klasma.github.io/Logging_2482/klagomålsmail/A 36628-2023 FSC-klagomål mail.docx", "A 36628-2023")</f>
        <v/>
      </c>
      <c r="X866">
        <f>HYPERLINK("https://klasma.github.io/Logging_2482/tillsyn/A 36628-2023 tillsynsbegäran.docx", "A 36628-2023")</f>
        <v/>
      </c>
      <c r="Y866">
        <f>HYPERLINK("https://klasma.github.io/Logging_2482/tillsynsmail/A 36628-2023 tillsynsbegäran mail.docx", "A 36628-2023")</f>
        <v/>
      </c>
    </row>
    <row r="867" ht="15" customHeight="1">
      <c r="A867" t="inlineStr">
        <is>
          <t>A 46666-2024</t>
        </is>
      </c>
      <c r="B867" s="1" t="n">
        <v>45583.37048611111</v>
      </c>
      <c r="C867" s="1" t="n">
        <v>45971</v>
      </c>
      <c r="D867" t="inlineStr">
        <is>
          <t>VÄSTERBOTTENS LÄN</t>
        </is>
      </c>
      <c r="E867" t="inlineStr">
        <is>
          <t>NORSJÖ</t>
        </is>
      </c>
      <c r="F867" t="inlineStr">
        <is>
          <t>Sveaskog</t>
        </is>
      </c>
      <c r="G867" t="n">
        <v>6.7</v>
      </c>
      <c r="H867" t="n">
        <v>0</v>
      </c>
      <c r="I867" t="n">
        <v>1</v>
      </c>
      <c r="J867" t="n">
        <v>0</v>
      </c>
      <c r="K867" t="n">
        <v>0</v>
      </c>
      <c r="L867" t="n">
        <v>0</v>
      </c>
      <c r="M867" t="n">
        <v>0</v>
      </c>
      <c r="N867" t="n">
        <v>0</v>
      </c>
      <c r="O867" t="n">
        <v>0</v>
      </c>
      <c r="P867" t="n">
        <v>0</v>
      </c>
      <c r="Q867" t="n">
        <v>1</v>
      </c>
      <c r="R867" s="2" t="inlineStr">
        <is>
          <t>Dropptaggsvamp</t>
        </is>
      </c>
      <c r="S867">
        <f>HYPERLINK("https://klasma.github.io/Logging_2417/artfynd/A 46666-2024 artfynd.xlsx", "A 46666-2024")</f>
        <v/>
      </c>
      <c r="T867">
        <f>HYPERLINK("https://klasma.github.io/Logging_2417/kartor/A 46666-2024 karta.png", "A 46666-2024")</f>
        <v/>
      </c>
      <c r="V867">
        <f>HYPERLINK("https://klasma.github.io/Logging_2417/klagomål/A 46666-2024 FSC-klagomål.docx", "A 46666-2024")</f>
        <v/>
      </c>
      <c r="W867">
        <f>HYPERLINK("https://klasma.github.io/Logging_2417/klagomålsmail/A 46666-2024 FSC-klagomål mail.docx", "A 46666-2024")</f>
        <v/>
      </c>
      <c r="X867">
        <f>HYPERLINK("https://klasma.github.io/Logging_2417/tillsyn/A 46666-2024 tillsynsbegäran.docx", "A 46666-2024")</f>
        <v/>
      </c>
      <c r="Y867">
        <f>HYPERLINK("https://klasma.github.io/Logging_2417/tillsynsmail/A 46666-2024 tillsynsbegäran mail.docx", "A 46666-2024")</f>
        <v/>
      </c>
    </row>
    <row r="868" ht="15" customHeight="1">
      <c r="A868" t="inlineStr">
        <is>
          <t>A 54044-2024</t>
        </is>
      </c>
      <c r="B868" s="1" t="n">
        <v>45616.4488425926</v>
      </c>
      <c r="C868" s="1" t="n">
        <v>45971</v>
      </c>
      <c r="D868" t="inlineStr">
        <is>
          <t>VÄSTERBOTTENS LÄN</t>
        </is>
      </c>
      <c r="E868" t="inlineStr">
        <is>
          <t>NORSJÖ</t>
        </is>
      </c>
      <c r="G868" t="n">
        <v>5.7</v>
      </c>
      <c r="H868" t="n">
        <v>0</v>
      </c>
      <c r="I868" t="n">
        <v>0</v>
      </c>
      <c r="J868" t="n">
        <v>1</v>
      </c>
      <c r="K868" t="n">
        <v>0</v>
      </c>
      <c r="L868" t="n">
        <v>0</v>
      </c>
      <c r="M868" t="n">
        <v>0</v>
      </c>
      <c r="N868" t="n">
        <v>0</v>
      </c>
      <c r="O868" t="n">
        <v>1</v>
      </c>
      <c r="P868" t="n">
        <v>0</v>
      </c>
      <c r="Q868" t="n">
        <v>1</v>
      </c>
      <c r="R868" s="2" t="inlineStr">
        <is>
          <t>Nordtagging</t>
        </is>
      </c>
      <c r="S868">
        <f>HYPERLINK("https://klasma.github.io/Logging_2417/artfynd/A 54044-2024 artfynd.xlsx", "A 54044-2024")</f>
        <v/>
      </c>
      <c r="T868">
        <f>HYPERLINK("https://klasma.github.io/Logging_2417/kartor/A 54044-2024 karta.png", "A 54044-2024")</f>
        <v/>
      </c>
      <c r="V868">
        <f>HYPERLINK("https://klasma.github.io/Logging_2417/klagomål/A 54044-2024 FSC-klagomål.docx", "A 54044-2024")</f>
        <v/>
      </c>
      <c r="W868">
        <f>HYPERLINK("https://klasma.github.io/Logging_2417/klagomålsmail/A 54044-2024 FSC-klagomål mail.docx", "A 54044-2024")</f>
        <v/>
      </c>
      <c r="X868">
        <f>HYPERLINK("https://klasma.github.io/Logging_2417/tillsyn/A 54044-2024 tillsynsbegäran.docx", "A 54044-2024")</f>
        <v/>
      </c>
      <c r="Y868">
        <f>HYPERLINK("https://klasma.github.io/Logging_2417/tillsynsmail/A 54044-2024 tillsynsbegäran mail.docx", "A 54044-2024")</f>
        <v/>
      </c>
    </row>
    <row r="869" ht="15" customHeight="1">
      <c r="A869" t="inlineStr">
        <is>
          <t>A 39280-2025</t>
        </is>
      </c>
      <c r="B869" s="1" t="n">
        <v>45889.40121527778</v>
      </c>
      <c r="C869" s="1" t="n">
        <v>45971</v>
      </c>
      <c r="D869" t="inlineStr">
        <is>
          <t>VÄSTERBOTTENS LÄN</t>
        </is>
      </c>
      <c r="E869" t="inlineStr">
        <is>
          <t>LYCKSELE</t>
        </is>
      </c>
      <c r="F869" t="inlineStr">
        <is>
          <t>Sveaskog</t>
        </is>
      </c>
      <c r="G869" t="n">
        <v>9.199999999999999</v>
      </c>
      <c r="H869" t="n">
        <v>0</v>
      </c>
      <c r="I869" t="n">
        <v>0</v>
      </c>
      <c r="J869" t="n">
        <v>1</v>
      </c>
      <c r="K869" t="n">
        <v>0</v>
      </c>
      <c r="L869" t="n">
        <v>0</v>
      </c>
      <c r="M869" t="n">
        <v>0</v>
      </c>
      <c r="N869" t="n">
        <v>0</v>
      </c>
      <c r="O869" t="n">
        <v>1</v>
      </c>
      <c r="P869" t="n">
        <v>0</v>
      </c>
      <c r="Q869" t="n">
        <v>1</v>
      </c>
      <c r="R869" s="2" t="inlineStr">
        <is>
          <t>Lunglav</t>
        </is>
      </c>
      <c r="S869">
        <f>HYPERLINK("https://klasma.github.io/Logging_2481/artfynd/A 39280-2025 artfynd.xlsx", "A 39280-2025")</f>
        <v/>
      </c>
      <c r="T869">
        <f>HYPERLINK("https://klasma.github.io/Logging_2481/kartor/A 39280-2025 karta.png", "A 39280-2025")</f>
        <v/>
      </c>
      <c r="V869">
        <f>HYPERLINK("https://klasma.github.io/Logging_2481/klagomål/A 39280-2025 FSC-klagomål.docx", "A 39280-2025")</f>
        <v/>
      </c>
      <c r="W869">
        <f>HYPERLINK("https://klasma.github.io/Logging_2481/klagomålsmail/A 39280-2025 FSC-klagomål mail.docx", "A 39280-2025")</f>
        <v/>
      </c>
      <c r="X869">
        <f>HYPERLINK("https://klasma.github.io/Logging_2481/tillsyn/A 39280-2025 tillsynsbegäran.docx", "A 39280-2025")</f>
        <v/>
      </c>
      <c r="Y869">
        <f>HYPERLINK("https://klasma.github.io/Logging_2481/tillsynsmail/A 39280-2025 tillsynsbegäran mail.docx", "A 39280-2025")</f>
        <v/>
      </c>
    </row>
    <row r="870" ht="15" customHeight="1">
      <c r="A870" t="inlineStr">
        <is>
          <t>A 39289-2025</t>
        </is>
      </c>
      <c r="B870" s="1" t="n">
        <v>45889.40774305556</v>
      </c>
      <c r="C870" s="1" t="n">
        <v>45971</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46004-2024</t>
        </is>
      </c>
      <c r="B871" s="1" t="n">
        <v>45580.65900462963</v>
      </c>
      <c r="C871" s="1" t="n">
        <v>45971</v>
      </c>
      <c r="D871" t="inlineStr">
        <is>
          <t>VÄSTERBOTTENS LÄN</t>
        </is>
      </c>
      <c r="E871" t="inlineStr">
        <is>
          <t>LYCKSELE</t>
        </is>
      </c>
      <c r="F871" t="inlineStr">
        <is>
          <t>Sveaskog</t>
        </is>
      </c>
      <c r="G871" t="n">
        <v>7.2</v>
      </c>
      <c r="H871" t="n">
        <v>0</v>
      </c>
      <c r="I871" t="n">
        <v>0</v>
      </c>
      <c r="J871" t="n">
        <v>1</v>
      </c>
      <c r="K871" t="n">
        <v>0</v>
      </c>
      <c r="L871" t="n">
        <v>0</v>
      </c>
      <c r="M871" t="n">
        <v>0</v>
      </c>
      <c r="N871" t="n">
        <v>0</v>
      </c>
      <c r="O871" t="n">
        <v>1</v>
      </c>
      <c r="P871" t="n">
        <v>0</v>
      </c>
      <c r="Q871" t="n">
        <v>1</v>
      </c>
      <c r="R871" s="2" t="inlineStr">
        <is>
          <t>Lunglav</t>
        </is>
      </c>
      <c r="S871">
        <f>HYPERLINK("https://klasma.github.io/Logging_2481/artfynd/A 46004-2024 artfynd.xlsx", "A 46004-2024")</f>
        <v/>
      </c>
      <c r="T871">
        <f>HYPERLINK("https://klasma.github.io/Logging_2481/kartor/A 46004-2024 karta.png", "A 46004-2024")</f>
        <v/>
      </c>
      <c r="V871">
        <f>HYPERLINK("https://klasma.github.io/Logging_2481/klagomål/A 46004-2024 FSC-klagomål.docx", "A 46004-2024")</f>
        <v/>
      </c>
      <c r="W871">
        <f>HYPERLINK("https://klasma.github.io/Logging_2481/klagomålsmail/A 46004-2024 FSC-klagomål mail.docx", "A 46004-2024")</f>
        <v/>
      </c>
      <c r="X871">
        <f>HYPERLINK("https://klasma.github.io/Logging_2481/tillsyn/A 46004-2024 tillsynsbegäran.docx", "A 46004-2024")</f>
        <v/>
      </c>
      <c r="Y871">
        <f>HYPERLINK("https://klasma.github.io/Logging_2481/tillsynsmail/A 46004-2024 tillsynsbegäran mail.docx", "A 46004-2024")</f>
        <v/>
      </c>
    </row>
    <row r="872" ht="15" customHeight="1">
      <c r="A872" t="inlineStr">
        <is>
          <t>A 30373-2024</t>
        </is>
      </c>
      <c r="B872" s="1" t="n">
        <v>45491.39454861111</v>
      </c>
      <c r="C872" s="1" t="n">
        <v>45971</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32724-2024</t>
        </is>
      </c>
      <c r="B873" s="1" t="n">
        <v>45516.40765046296</v>
      </c>
      <c r="C873" s="1" t="n">
        <v>45971</v>
      </c>
      <c r="D873" t="inlineStr">
        <is>
          <t>VÄSTERBOTTENS LÄN</t>
        </is>
      </c>
      <c r="E873" t="inlineStr">
        <is>
          <t>SKELLEFTEÅ</t>
        </is>
      </c>
      <c r="F873" t="inlineStr">
        <is>
          <t>Holmen skog AB</t>
        </is>
      </c>
      <c r="G873" t="n">
        <v>4.4</v>
      </c>
      <c r="H873" t="n">
        <v>0</v>
      </c>
      <c r="I873" t="n">
        <v>0</v>
      </c>
      <c r="J873" t="n">
        <v>1</v>
      </c>
      <c r="K873" t="n">
        <v>0</v>
      </c>
      <c r="L873" t="n">
        <v>0</v>
      </c>
      <c r="M873" t="n">
        <v>0</v>
      </c>
      <c r="N873" t="n">
        <v>0</v>
      </c>
      <c r="O873" t="n">
        <v>1</v>
      </c>
      <c r="P873" t="n">
        <v>0</v>
      </c>
      <c r="Q873" t="n">
        <v>1</v>
      </c>
      <c r="R873" s="2" t="inlineStr">
        <is>
          <t>Lunglav</t>
        </is>
      </c>
      <c r="S873">
        <f>HYPERLINK("https://klasma.github.io/Logging_2482/artfynd/A 32724-2024 artfynd.xlsx", "A 32724-2024")</f>
        <v/>
      </c>
      <c r="T873">
        <f>HYPERLINK("https://klasma.github.io/Logging_2482/kartor/A 32724-2024 karta.png", "A 32724-2024")</f>
        <v/>
      </c>
      <c r="V873">
        <f>HYPERLINK("https://klasma.github.io/Logging_2482/klagomål/A 32724-2024 FSC-klagomål.docx", "A 32724-2024")</f>
        <v/>
      </c>
      <c r="W873">
        <f>HYPERLINK("https://klasma.github.io/Logging_2482/klagomålsmail/A 32724-2024 FSC-klagomål mail.docx", "A 32724-2024")</f>
        <v/>
      </c>
      <c r="X873">
        <f>HYPERLINK("https://klasma.github.io/Logging_2482/tillsyn/A 32724-2024 tillsynsbegäran.docx", "A 32724-2024")</f>
        <v/>
      </c>
      <c r="Y873">
        <f>HYPERLINK("https://klasma.github.io/Logging_2482/tillsynsmail/A 32724-2024 tillsynsbegäran mail.docx", "A 32724-2024")</f>
        <v/>
      </c>
    </row>
    <row r="874" ht="15" customHeight="1">
      <c r="A874" t="inlineStr">
        <is>
          <t>A 44195-2024</t>
        </is>
      </c>
      <c r="B874" s="1" t="n">
        <v>45573</v>
      </c>
      <c r="C874" s="1" t="n">
        <v>45971</v>
      </c>
      <c r="D874" t="inlineStr">
        <is>
          <t>VÄSTERBOTTENS LÄN</t>
        </is>
      </c>
      <c r="E874" t="inlineStr">
        <is>
          <t>NORDMALING</t>
        </is>
      </c>
      <c r="G874" t="n">
        <v>8.4</v>
      </c>
      <c r="H874" t="n">
        <v>0</v>
      </c>
      <c r="I874" t="n">
        <v>0</v>
      </c>
      <c r="J874" t="n">
        <v>1</v>
      </c>
      <c r="K874" t="n">
        <v>0</v>
      </c>
      <c r="L874" t="n">
        <v>0</v>
      </c>
      <c r="M874" t="n">
        <v>0</v>
      </c>
      <c r="N874" t="n">
        <v>0</v>
      </c>
      <c r="O874" t="n">
        <v>1</v>
      </c>
      <c r="P874" t="n">
        <v>0</v>
      </c>
      <c r="Q874" t="n">
        <v>1</v>
      </c>
      <c r="R874" s="2" t="inlineStr">
        <is>
          <t>Lunglav</t>
        </is>
      </c>
      <c r="S874">
        <f>HYPERLINK("https://klasma.github.io/Logging_2401/artfynd/A 44195-2024 artfynd.xlsx", "A 44195-2024")</f>
        <v/>
      </c>
      <c r="T874">
        <f>HYPERLINK("https://klasma.github.io/Logging_2401/kartor/A 44195-2024 karta.png", "A 44195-2024")</f>
        <v/>
      </c>
      <c r="V874">
        <f>HYPERLINK("https://klasma.github.io/Logging_2401/klagomål/A 44195-2024 FSC-klagomål.docx", "A 44195-2024")</f>
        <v/>
      </c>
      <c r="W874">
        <f>HYPERLINK("https://klasma.github.io/Logging_2401/klagomålsmail/A 44195-2024 FSC-klagomål mail.docx", "A 44195-2024")</f>
        <v/>
      </c>
      <c r="X874">
        <f>HYPERLINK("https://klasma.github.io/Logging_2401/tillsyn/A 44195-2024 tillsynsbegäran.docx", "A 44195-2024")</f>
        <v/>
      </c>
      <c r="Y874">
        <f>HYPERLINK("https://klasma.github.io/Logging_2401/tillsynsmail/A 44195-2024 tillsynsbegäran mail.docx", "A 44195-2024")</f>
        <v/>
      </c>
    </row>
    <row r="875" ht="15" customHeight="1">
      <c r="A875" t="inlineStr">
        <is>
          <t>A 61867-2024</t>
        </is>
      </c>
      <c r="B875" s="1" t="n">
        <v>45651.46909722222</v>
      </c>
      <c r="C875" s="1" t="n">
        <v>45971</v>
      </c>
      <c r="D875" t="inlineStr">
        <is>
          <t>VÄSTERBOTTENS LÄN</t>
        </is>
      </c>
      <c r="E875" t="inlineStr">
        <is>
          <t>NORDMALING</t>
        </is>
      </c>
      <c r="F875" t="inlineStr">
        <is>
          <t>SCA</t>
        </is>
      </c>
      <c r="G875" t="n">
        <v>4.5</v>
      </c>
      <c r="H875" t="n">
        <v>0</v>
      </c>
      <c r="I875" t="n">
        <v>0</v>
      </c>
      <c r="J875" t="n">
        <v>1</v>
      </c>
      <c r="K875" t="n">
        <v>0</v>
      </c>
      <c r="L875" t="n">
        <v>0</v>
      </c>
      <c r="M875" t="n">
        <v>0</v>
      </c>
      <c r="N875" t="n">
        <v>0</v>
      </c>
      <c r="O875" t="n">
        <v>1</v>
      </c>
      <c r="P875" t="n">
        <v>0</v>
      </c>
      <c r="Q875" t="n">
        <v>1</v>
      </c>
      <c r="R875" s="2" t="inlineStr">
        <is>
          <t>Tallticka</t>
        </is>
      </c>
      <c r="S875">
        <f>HYPERLINK("https://klasma.github.io/Logging_2401/artfynd/A 61867-2024 artfynd.xlsx", "A 61867-2024")</f>
        <v/>
      </c>
      <c r="T875">
        <f>HYPERLINK("https://klasma.github.io/Logging_2401/kartor/A 61867-2024 karta.png", "A 61867-2024")</f>
        <v/>
      </c>
      <c r="V875">
        <f>HYPERLINK("https://klasma.github.io/Logging_2401/klagomål/A 61867-2024 FSC-klagomål.docx", "A 61867-2024")</f>
        <v/>
      </c>
      <c r="W875">
        <f>HYPERLINK("https://klasma.github.io/Logging_2401/klagomålsmail/A 61867-2024 FSC-klagomål mail.docx", "A 61867-2024")</f>
        <v/>
      </c>
      <c r="X875">
        <f>HYPERLINK("https://klasma.github.io/Logging_2401/tillsyn/A 61867-2024 tillsynsbegäran.docx", "A 61867-2024")</f>
        <v/>
      </c>
      <c r="Y875">
        <f>HYPERLINK("https://klasma.github.io/Logging_2401/tillsynsmail/A 61867-2024 tillsynsbegäran mail.docx", "A 61867-2024")</f>
        <v/>
      </c>
    </row>
    <row r="876" ht="15" customHeight="1">
      <c r="A876" t="inlineStr">
        <is>
          <t>A 15557-2025</t>
        </is>
      </c>
      <c r="B876" s="1" t="n">
        <v>45747.68127314815</v>
      </c>
      <c r="C876" s="1" t="n">
        <v>45971</v>
      </c>
      <c r="D876" t="inlineStr">
        <is>
          <t>VÄSTERBOTTENS LÄN</t>
        </is>
      </c>
      <c r="E876" t="inlineStr">
        <is>
          <t>BJURHOLM</t>
        </is>
      </c>
      <c r="G876" t="n">
        <v>11.3</v>
      </c>
      <c r="H876" t="n">
        <v>1</v>
      </c>
      <c r="I876" t="n">
        <v>0</v>
      </c>
      <c r="J876" t="n">
        <v>1</v>
      </c>
      <c r="K876" t="n">
        <v>0</v>
      </c>
      <c r="L876" t="n">
        <v>0</v>
      </c>
      <c r="M876" t="n">
        <v>0</v>
      </c>
      <c r="N876" t="n">
        <v>0</v>
      </c>
      <c r="O876" t="n">
        <v>1</v>
      </c>
      <c r="P876" t="n">
        <v>0</v>
      </c>
      <c r="Q876" t="n">
        <v>1</v>
      </c>
      <c r="R876" s="2" t="inlineStr">
        <is>
          <t>Talltita</t>
        </is>
      </c>
      <c r="S876">
        <f>HYPERLINK("https://klasma.github.io/Logging_2403/artfynd/A 15557-2025 artfynd.xlsx", "A 15557-2025")</f>
        <v/>
      </c>
      <c r="T876">
        <f>HYPERLINK("https://klasma.github.io/Logging_2403/kartor/A 15557-2025 karta.png", "A 15557-2025")</f>
        <v/>
      </c>
      <c r="V876">
        <f>HYPERLINK("https://klasma.github.io/Logging_2403/klagomål/A 15557-2025 FSC-klagomål.docx", "A 15557-2025")</f>
        <v/>
      </c>
      <c r="W876">
        <f>HYPERLINK("https://klasma.github.io/Logging_2403/klagomålsmail/A 15557-2025 FSC-klagomål mail.docx", "A 15557-2025")</f>
        <v/>
      </c>
      <c r="X876">
        <f>HYPERLINK("https://klasma.github.io/Logging_2403/tillsyn/A 15557-2025 tillsynsbegäran.docx", "A 15557-2025")</f>
        <v/>
      </c>
      <c r="Y876">
        <f>HYPERLINK("https://klasma.github.io/Logging_2403/tillsynsmail/A 15557-2025 tillsynsbegäran mail.docx", "A 15557-2025")</f>
        <v/>
      </c>
      <c r="Z876">
        <f>HYPERLINK("https://klasma.github.io/Logging_2403/fåglar/A 15557-2025 prioriterade fågelarter.docx", "A 15557-2025")</f>
        <v/>
      </c>
    </row>
    <row r="877" ht="15" customHeight="1">
      <c r="A877" t="inlineStr">
        <is>
          <t>A 42891-2023</t>
        </is>
      </c>
      <c r="B877" s="1" t="n">
        <v>45182</v>
      </c>
      <c r="C877" s="1" t="n">
        <v>45971</v>
      </c>
      <c r="D877" t="inlineStr">
        <is>
          <t>VÄSTERBOTTENS LÄN</t>
        </is>
      </c>
      <c r="E877" t="inlineStr">
        <is>
          <t>ROBERTSFORS</t>
        </is>
      </c>
      <c r="F877" t="inlineStr">
        <is>
          <t>Holmen skog AB</t>
        </is>
      </c>
      <c r="G877" t="n">
        <v>3.8</v>
      </c>
      <c r="H877" t="n">
        <v>0</v>
      </c>
      <c r="I877" t="n">
        <v>0</v>
      </c>
      <c r="J877" t="n">
        <v>1</v>
      </c>
      <c r="K877" t="n">
        <v>0</v>
      </c>
      <c r="L877" t="n">
        <v>0</v>
      </c>
      <c r="M877" t="n">
        <v>0</v>
      </c>
      <c r="N877" t="n">
        <v>0</v>
      </c>
      <c r="O877" t="n">
        <v>1</v>
      </c>
      <c r="P877" t="n">
        <v>0</v>
      </c>
      <c r="Q877" t="n">
        <v>1</v>
      </c>
      <c r="R877" s="2" t="inlineStr">
        <is>
          <t>Garnlav</t>
        </is>
      </c>
      <c r="S877">
        <f>HYPERLINK("https://klasma.github.io/Logging_2409/artfynd/A 42891-2023 artfynd.xlsx", "A 42891-2023")</f>
        <v/>
      </c>
      <c r="T877">
        <f>HYPERLINK("https://klasma.github.io/Logging_2409/kartor/A 42891-2023 karta.png", "A 42891-2023")</f>
        <v/>
      </c>
      <c r="V877">
        <f>HYPERLINK("https://klasma.github.io/Logging_2409/klagomål/A 42891-2023 FSC-klagomål.docx", "A 42891-2023")</f>
        <v/>
      </c>
      <c r="W877">
        <f>HYPERLINK("https://klasma.github.io/Logging_2409/klagomålsmail/A 42891-2023 FSC-klagomål mail.docx", "A 42891-2023")</f>
        <v/>
      </c>
      <c r="X877">
        <f>HYPERLINK("https://klasma.github.io/Logging_2409/tillsyn/A 42891-2023 tillsynsbegäran.docx", "A 42891-2023")</f>
        <v/>
      </c>
      <c r="Y877">
        <f>HYPERLINK("https://klasma.github.io/Logging_2409/tillsynsmail/A 42891-2023 tillsynsbegäran mail.docx", "A 42891-2023")</f>
        <v/>
      </c>
    </row>
    <row r="878" ht="15" customHeight="1">
      <c r="A878" t="inlineStr">
        <is>
          <t>A 59001-2024</t>
        </is>
      </c>
      <c r="B878" s="1" t="n">
        <v>45636</v>
      </c>
      <c r="C878" s="1" t="n">
        <v>45971</v>
      </c>
      <c r="D878" t="inlineStr">
        <is>
          <t>VÄSTERBOTTENS LÄN</t>
        </is>
      </c>
      <c r="E878" t="inlineStr">
        <is>
          <t>VILHELMINA</t>
        </is>
      </c>
      <c r="F878" t="inlineStr">
        <is>
          <t>Allmännings- och besparingsskogar</t>
        </is>
      </c>
      <c r="G878" t="n">
        <v>32.5</v>
      </c>
      <c r="H878" t="n">
        <v>0</v>
      </c>
      <c r="I878" t="n">
        <v>0</v>
      </c>
      <c r="J878" t="n">
        <v>1</v>
      </c>
      <c r="K878" t="n">
        <v>0</v>
      </c>
      <c r="L878" t="n">
        <v>0</v>
      </c>
      <c r="M878" t="n">
        <v>0</v>
      </c>
      <c r="N878" t="n">
        <v>0</v>
      </c>
      <c r="O878" t="n">
        <v>1</v>
      </c>
      <c r="P878" t="n">
        <v>0</v>
      </c>
      <c r="Q878" t="n">
        <v>1</v>
      </c>
      <c r="R878" s="2" t="inlineStr">
        <is>
          <t>Gammelgransskål</t>
        </is>
      </c>
      <c r="S878">
        <f>HYPERLINK("https://klasma.github.io/Logging_2462/artfynd/A 59001-2024 artfynd.xlsx", "A 59001-2024")</f>
        <v/>
      </c>
      <c r="T878">
        <f>HYPERLINK("https://klasma.github.io/Logging_2462/kartor/A 59001-2024 karta.png", "A 59001-2024")</f>
        <v/>
      </c>
      <c r="V878">
        <f>HYPERLINK("https://klasma.github.io/Logging_2462/klagomål/A 59001-2024 FSC-klagomål.docx", "A 59001-2024")</f>
        <v/>
      </c>
      <c r="W878">
        <f>HYPERLINK("https://klasma.github.io/Logging_2462/klagomålsmail/A 59001-2024 FSC-klagomål mail.docx", "A 59001-2024")</f>
        <v/>
      </c>
      <c r="X878">
        <f>HYPERLINK("https://klasma.github.io/Logging_2462/tillsyn/A 59001-2024 tillsynsbegäran.docx", "A 59001-2024")</f>
        <v/>
      </c>
      <c r="Y878">
        <f>HYPERLINK("https://klasma.github.io/Logging_2462/tillsynsmail/A 59001-2024 tillsynsbegäran mail.docx", "A 59001-2024")</f>
        <v/>
      </c>
    </row>
    <row r="879" ht="15" customHeight="1">
      <c r="A879" t="inlineStr">
        <is>
          <t>A 742-2025</t>
        </is>
      </c>
      <c r="B879" s="1" t="n">
        <v>45665.42216435185</v>
      </c>
      <c r="C879" s="1" t="n">
        <v>45971</v>
      </c>
      <c r="D879" t="inlineStr">
        <is>
          <t>VÄSTERBOTTENS LÄN</t>
        </is>
      </c>
      <c r="E879" t="inlineStr">
        <is>
          <t>LYCKSELE</t>
        </is>
      </c>
      <c r="F879" t="inlineStr">
        <is>
          <t>Holmen skog AB</t>
        </is>
      </c>
      <c r="G879" t="n">
        <v>5.6</v>
      </c>
      <c r="H879" t="n">
        <v>1</v>
      </c>
      <c r="I879" t="n">
        <v>0</v>
      </c>
      <c r="J879" t="n">
        <v>0</v>
      </c>
      <c r="K879" t="n">
        <v>0</v>
      </c>
      <c r="L879" t="n">
        <v>0</v>
      </c>
      <c r="M879" t="n">
        <v>0</v>
      </c>
      <c r="N879" t="n">
        <v>0</v>
      </c>
      <c r="O879" t="n">
        <v>0</v>
      </c>
      <c r="P879" t="n">
        <v>0</v>
      </c>
      <c r="Q879" t="n">
        <v>1</v>
      </c>
      <c r="R879" s="2" t="inlineStr">
        <is>
          <t>Fläcknycklar</t>
        </is>
      </c>
      <c r="S879">
        <f>HYPERLINK("https://klasma.github.io/Logging_2481/artfynd/A 742-2025 artfynd.xlsx", "A 742-2025")</f>
        <v/>
      </c>
      <c r="T879">
        <f>HYPERLINK("https://klasma.github.io/Logging_2481/kartor/A 742-2025 karta.png", "A 742-2025")</f>
        <v/>
      </c>
      <c r="V879">
        <f>HYPERLINK("https://klasma.github.io/Logging_2481/klagomål/A 742-2025 FSC-klagomål.docx", "A 742-2025")</f>
        <v/>
      </c>
      <c r="W879">
        <f>HYPERLINK("https://klasma.github.io/Logging_2481/klagomålsmail/A 742-2025 FSC-klagomål mail.docx", "A 742-2025")</f>
        <v/>
      </c>
      <c r="X879">
        <f>HYPERLINK("https://klasma.github.io/Logging_2481/tillsyn/A 742-2025 tillsynsbegäran.docx", "A 742-2025")</f>
        <v/>
      </c>
      <c r="Y879">
        <f>HYPERLINK("https://klasma.github.io/Logging_2481/tillsynsmail/A 742-2025 tillsynsbegäran mail.docx", "A 742-2025")</f>
        <v/>
      </c>
    </row>
    <row r="880" ht="15" customHeight="1">
      <c r="A880" t="inlineStr">
        <is>
          <t>A 61392-2024</t>
        </is>
      </c>
      <c r="B880" s="1" t="n">
        <v>45646.42027777778</v>
      </c>
      <c r="C880" s="1" t="n">
        <v>45971</v>
      </c>
      <c r="D880" t="inlineStr">
        <is>
          <t>VÄSTERBOTTENS LÄN</t>
        </is>
      </c>
      <c r="E880" t="inlineStr">
        <is>
          <t>ROBERTSFORS</t>
        </is>
      </c>
      <c r="G880" t="n">
        <v>1.2</v>
      </c>
      <c r="H880" t="n">
        <v>0</v>
      </c>
      <c r="I880" t="n">
        <v>0</v>
      </c>
      <c r="J880" t="n">
        <v>1</v>
      </c>
      <c r="K880" t="n">
        <v>0</v>
      </c>
      <c r="L880" t="n">
        <v>0</v>
      </c>
      <c r="M880" t="n">
        <v>0</v>
      </c>
      <c r="N880" t="n">
        <v>0</v>
      </c>
      <c r="O880" t="n">
        <v>1</v>
      </c>
      <c r="P880" t="n">
        <v>0</v>
      </c>
      <c r="Q880" t="n">
        <v>1</v>
      </c>
      <c r="R880" s="2" t="inlineStr">
        <is>
          <t>Ullticka</t>
        </is>
      </c>
      <c r="S880">
        <f>HYPERLINK("https://klasma.github.io/Logging_2409/artfynd/A 61392-2024 artfynd.xlsx", "A 61392-2024")</f>
        <v/>
      </c>
      <c r="T880">
        <f>HYPERLINK("https://klasma.github.io/Logging_2409/kartor/A 61392-2024 karta.png", "A 61392-2024")</f>
        <v/>
      </c>
      <c r="V880">
        <f>HYPERLINK("https://klasma.github.io/Logging_2409/klagomål/A 61392-2024 FSC-klagomål.docx", "A 61392-2024")</f>
        <v/>
      </c>
      <c r="W880">
        <f>HYPERLINK("https://klasma.github.io/Logging_2409/klagomålsmail/A 61392-2024 FSC-klagomål mail.docx", "A 61392-2024")</f>
        <v/>
      </c>
      <c r="X880">
        <f>HYPERLINK("https://klasma.github.io/Logging_2409/tillsyn/A 61392-2024 tillsynsbegäran.docx", "A 61392-2024")</f>
        <v/>
      </c>
      <c r="Y880">
        <f>HYPERLINK("https://klasma.github.io/Logging_2409/tillsynsmail/A 61392-2024 tillsynsbegäran mail.docx", "A 61392-2024")</f>
        <v/>
      </c>
    </row>
    <row r="881" ht="15" customHeight="1">
      <c r="A881" t="inlineStr">
        <is>
          <t>A 16145-2022</t>
        </is>
      </c>
      <c r="B881" s="1" t="n">
        <v>44665</v>
      </c>
      <c r="C881" s="1" t="n">
        <v>45971</v>
      </c>
      <c r="D881" t="inlineStr">
        <is>
          <t>VÄSTERBOTTENS LÄN</t>
        </is>
      </c>
      <c r="E881" t="inlineStr">
        <is>
          <t>BJURHOLM</t>
        </is>
      </c>
      <c r="F881" t="inlineStr">
        <is>
          <t>SCA</t>
        </is>
      </c>
      <c r="G881" t="n">
        <v>5.9</v>
      </c>
      <c r="H881" t="n">
        <v>0</v>
      </c>
      <c r="I881" t="n">
        <v>1</v>
      </c>
      <c r="J881" t="n">
        <v>0</v>
      </c>
      <c r="K881" t="n">
        <v>0</v>
      </c>
      <c r="L881" t="n">
        <v>0</v>
      </c>
      <c r="M881" t="n">
        <v>0</v>
      </c>
      <c r="N881" t="n">
        <v>0</v>
      </c>
      <c r="O881" t="n">
        <v>0</v>
      </c>
      <c r="P881" t="n">
        <v>0</v>
      </c>
      <c r="Q881" t="n">
        <v>1</v>
      </c>
      <c r="R881" s="2" t="inlineStr">
        <is>
          <t>Stor aspticka</t>
        </is>
      </c>
      <c r="S881">
        <f>HYPERLINK("https://klasma.github.io/Logging_2403/artfynd/A 16145-2022 artfynd.xlsx", "A 16145-2022")</f>
        <v/>
      </c>
      <c r="T881">
        <f>HYPERLINK("https://klasma.github.io/Logging_2403/kartor/A 16145-2022 karta.png", "A 16145-2022")</f>
        <v/>
      </c>
      <c r="V881">
        <f>HYPERLINK("https://klasma.github.io/Logging_2403/klagomål/A 16145-2022 FSC-klagomål.docx", "A 16145-2022")</f>
        <v/>
      </c>
      <c r="W881">
        <f>HYPERLINK("https://klasma.github.io/Logging_2403/klagomålsmail/A 16145-2022 FSC-klagomål mail.docx", "A 16145-2022")</f>
        <v/>
      </c>
      <c r="X881">
        <f>HYPERLINK("https://klasma.github.io/Logging_2403/tillsyn/A 16145-2022 tillsynsbegäran.docx", "A 16145-2022")</f>
        <v/>
      </c>
      <c r="Y881">
        <f>HYPERLINK("https://klasma.github.io/Logging_2403/tillsynsmail/A 16145-2022 tillsynsbegäran mail.docx", "A 16145-2022")</f>
        <v/>
      </c>
    </row>
    <row r="882" ht="15" customHeight="1">
      <c r="A882" t="inlineStr">
        <is>
          <t>A 28262-2023</t>
        </is>
      </c>
      <c r="B882" s="1" t="n">
        <v>45099</v>
      </c>
      <c r="C882" s="1" t="n">
        <v>45971</v>
      </c>
      <c r="D882" t="inlineStr">
        <is>
          <t>VÄSTERBOTTENS LÄN</t>
        </is>
      </c>
      <c r="E882" t="inlineStr">
        <is>
          <t>UMEÅ</t>
        </is>
      </c>
      <c r="F882" t="inlineStr">
        <is>
          <t>Holmen skog AB</t>
        </is>
      </c>
      <c r="G882" t="n">
        <v>2.6</v>
      </c>
      <c r="H882" t="n">
        <v>0</v>
      </c>
      <c r="I882" t="n">
        <v>1</v>
      </c>
      <c r="J882" t="n">
        <v>0</v>
      </c>
      <c r="K882" t="n">
        <v>0</v>
      </c>
      <c r="L882" t="n">
        <v>0</v>
      </c>
      <c r="M882" t="n">
        <v>0</v>
      </c>
      <c r="N882" t="n">
        <v>0</v>
      </c>
      <c r="O882" t="n">
        <v>0</v>
      </c>
      <c r="P882" t="n">
        <v>0</v>
      </c>
      <c r="Q882" t="n">
        <v>1</v>
      </c>
      <c r="R882" s="2" t="inlineStr">
        <is>
          <t>Gulskölding</t>
        </is>
      </c>
      <c r="S882">
        <f>HYPERLINK("https://klasma.github.io/Logging_2480/artfynd/A 28262-2023 artfynd.xlsx", "A 28262-2023")</f>
        <v/>
      </c>
      <c r="T882">
        <f>HYPERLINK("https://klasma.github.io/Logging_2480/kartor/A 28262-2023 karta.png", "A 28262-2023")</f>
        <v/>
      </c>
      <c r="V882">
        <f>HYPERLINK("https://klasma.github.io/Logging_2480/klagomål/A 28262-2023 FSC-klagomål.docx", "A 28262-2023")</f>
        <v/>
      </c>
      <c r="W882">
        <f>HYPERLINK("https://klasma.github.io/Logging_2480/klagomålsmail/A 28262-2023 FSC-klagomål mail.docx", "A 28262-2023")</f>
        <v/>
      </c>
      <c r="X882">
        <f>HYPERLINK("https://klasma.github.io/Logging_2480/tillsyn/A 28262-2023 tillsynsbegäran.docx", "A 28262-2023")</f>
        <v/>
      </c>
      <c r="Y882">
        <f>HYPERLINK("https://klasma.github.io/Logging_2480/tillsynsmail/A 28262-2023 tillsynsbegäran mail.docx", "A 28262-2023")</f>
        <v/>
      </c>
    </row>
    <row r="883" ht="15" customHeight="1">
      <c r="A883" t="inlineStr">
        <is>
          <t>A 32506-2024</t>
        </is>
      </c>
      <c r="B883" s="1" t="n">
        <v>45513</v>
      </c>
      <c r="C883" s="1" t="n">
        <v>45971</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45971</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61826-2022</t>
        </is>
      </c>
      <c r="B885" s="1" t="n">
        <v>44917</v>
      </c>
      <c r="C885" s="1" t="n">
        <v>45971</v>
      </c>
      <c r="D885" t="inlineStr">
        <is>
          <t>VÄSTERBOTTENS LÄN</t>
        </is>
      </c>
      <c r="E885" t="inlineStr">
        <is>
          <t>VINDELN</t>
        </is>
      </c>
      <c r="G885" t="n">
        <v>3.1</v>
      </c>
      <c r="H885" t="n">
        <v>0</v>
      </c>
      <c r="I885" t="n">
        <v>1</v>
      </c>
      <c r="J885" t="n">
        <v>0</v>
      </c>
      <c r="K885" t="n">
        <v>0</v>
      </c>
      <c r="L885" t="n">
        <v>0</v>
      </c>
      <c r="M885" t="n">
        <v>0</v>
      </c>
      <c r="N885" t="n">
        <v>0</v>
      </c>
      <c r="O885" t="n">
        <v>0</v>
      </c>
      <c r="P885" t="n">
        <v>0</v>
      </c>
      <c r="Q885" t="n">
        <v>1</v>
      </c>
      <c r="R885" s="2" t="inlineStr">
        <is>
          <t>Mindre märgborre</t>
        </is>
      </c>
      <c r="S885">
        <f>HYPERLINK("https://klasma.github.io/Logging_2404/artfynd/A 61826-2022 artfynd.xlsx", "A 61826-2022")</f>
        <v/>
      </c>
      <c r="T885">
        <f>HYPERLINK("https://klasma.github.io/Logging_2404/kartor/A 61826-2022 karta.png", "A 61826-2022")</f>
        <v/>
      </c>
      <c r="V885">
        <f>HYPERLINK("https://klasma.github.io/Logging_2404/klagomål/A 61826-2022 FSC-klagomål.docx", "A 61826-2022")</f>
        <v/>
      </c>
      <c r="W885">
        <f>HYPERLINK("https://klasma.github.io/Logging_2404/klagomålsmail/A 61826-2022 FSC-klagomål mail.docx", "A 61826-2022")</f>
        <v/>
      </c>
      <c r="X885">
        <f>HYPERLINK("https://klasma.github.io/Logging_2404/tillsyn/A 61826-2022 tillsynsbegäran.docx", "A 61826-2022")</f>
        <v/>
      </c>
      <c r="Y885">
        <f>HYPERLINK("https://klasma.github.io/Logging_2404/tillsynsmail/A 61826-2022 tillsynsbegäran mail.docx", "A 61826-2022")</f>
        <v/>
      </c>
    </row>
    <row r="886" ht="15" customHeight="1">
      <c r="A886" t="inlineStr">
        <is>
          <t>A 39293-2025</t>
        </is>
      </c>
      <c r="B886" s="1" t="n">
        <v>45889.41836805556</v>
      </c>
      <c r="C886" s="1" t="n">
        <v>45971</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47835-2025</t>
        </is>
      </c>
      <c r="B887" s="1" t="n">
        <v>45932.36537037037</v>
      </c>
      <c r="C887" s="1" t="n">
        <v>45971</v>
      </c>
      <c r="D887" t="inlineStr">
        <is>
          <t>VÄSTERBOTTENS LÄN</t>
        </is>
      </c>
      <c r="E887" t="inlineStr">
        <is>
          <t>NORDMALING</t>
        </is>
      </c>
      <c r="F887" t="inlineStr">
        <is>
          <t>SCA</t>
        </is>
      </c>
      <c r="G887" t="n">
        <v>1.3</v>
      </c>
      <c r="H887" t="n">
        <v>0</v>
      </c>
      <c r="I887" t="n">
        <v>0</v>
      </c>
      <c r="J887" t="n">
        <v>1</v>
      </c>
      <c r="K887" t="n">
        <v>0</v>
      </c>
      <c r="L887" t="n">
        <v>0</v>
      </c>
      <c r="M887" t="n">
        <v>0</v>
      </c>
      <c r="N887" t="n">
        <v>0</v>
      </c>
      <c r="O887" t="n">
        <v>1</v>
      </c>
      <c r="P887" t="n">
        <v>0</v>
      </c>
      <c r="Q887" t="n">
        <v>1</v>
      </c>
      <c r="R887" s="2" t="inlineStr">
        <is>
          <t>Blå taggsvamp</t>
        </is>
      </c>
      <c r="S887">
        <f>HYPERLINK("https://klasma.github.io/Logging_2401/artfynd/A 47835-2025 artfynd.xlsx", "A 47835-2025")</f>
        <v/>
      </c>
      <c r="T887">
        <f>HYPERLINK("https://klasma.github.io/Logging_2401/kartor/A 47835-2025 karta.png", "A 47835-2025")</f>
        <v/>
      </c>
      <c r="V887">
        <f>HYPERLINK("https://klasma.github.io/Logging_2401/klagomål/A 47835-2025 FSC-klagomål.docx", "A 47835-2025")</f>
        <v/>
      </c>
      <c r="W887">
        <f>HYPERLINK("https://klasma.github.io/Logging_2401/klagomålsmail/A 47835-2025 FSC-klagomål mail.docx", "A 47835-2025")</f>
        <v/>
      </c>
      <c r="X887">
        <f>HYPERLINK("https://klasma.github.io/Logging_2401/tillsyn/A 47835-2025 tillsynsbegäran.docx", "A 47835-2025")</f>
        <v/>
      </c>
      <c r="Y887">
        <f>HYPERLINK("https://klasma.github.io/Logging_2401/tillsynsmail/A 47835-2025 tillsynsbegäran mail.docx", "A 47835-2025")</f>
        <v/>
      </c>
    </row>
    <row r="888" ht="15" customHeight="1">
      <c r="A888" t="inlineStr">
        <is>
          <t>A 39821-2025</t>
        </is>
      </c>
      <c r="B888" s="1" t="n">
        <v>45891.53680555556</v>
      </c>
      <c r="C888" s="1" t="n">
        <v>45971</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61910-2024</t>
        </is>
      </c>
      <c r="B889" s="1" t="n">
        <v>45653.36229166666</v>
      </c>
      <c r="C889" s="1" t="n">
        <v>45971</v>
      </c>
      <c r="D889" t="inlineStr">
        <is>
          <t>VÄSTERBOTTENS LÄN</t>
        </is>
      </c>
      <c r="E889" t="inlineStr">
        <is>
          <t>LYCKSELE</t>
        </is>
      </c>
      <c r="G889" t="n">
        <v>5.8</v>
      </c>
      <c r="H889" t="n">
        <v>1</v>
      </c>
      <c r="I889" t="n">
        <v>0</v>
      </c>
      <c r="J889" t="n">
        <v>0</v>
      </c>
      <c r="K889" t="n">
        <v>1</v>
      </c>
      <c r="L889" t="n">
        <v>0</v>
      </c>
      <c r="M889" t="n">
        <v>0</v>
      </c>
      <c r="N889" t="n">
        <v>0</v>
      </c>
      <c r="O889" t="n">
        <v>1</v>
      </c>
      <c r="P889" t="n">
        <v>1</v>
      </c>
      <c r="Q889" t="n">
        <v>1</v>
      </c>
      <c r="R889" s="2" t="inlineStr">
        <is>
          <t>Norna</t>
        </is>
      </c>
      <c r="S889">
        <f>HYPERLINK("https://klasma.github.io/Logging_2481/artfynd/A 61910-2024 artfynd.xlsx", "A 61910-2024")</f>
        <v/>
      </c>
      <c r="T889">
        <f>HYPERLINK("https://klasma.github.io/Logging_2481/kartor/A 61910-2024 karta.png", "A 61910-2024")</f>
        <v/>
      </c>
      <c r="V889">
        <f>HYPERLINK("https://klasma.github.io/Logging_2481/klagomål/A 61910-2024 FSC-klagomål.docx", "A 61910-2024")</f>
        <v/>
      </c>
      <c r="W889">
        <f>HYPERLINK("https://klasma.github.io/Logging_2481/klagomålsmail/A 61910-2024 FSC-klagomål mail.docx", "A 61910-2024")</f>
        <v/>
      </c>
      <c r="X889">
        <f>HYPERLINK("https://klasma.github.io/Logging_2481/tillsyn/A 61910-2024 tillsynsbegäran.docx", "A 61910-2024")</f>
        <v/>
      </c>
      <c r="Y889">
        <f>HYPERLINK("https://klasma.github.io/Logging_2481/tillsynsmail/A 61910-2024 tillsynsbegäran mail.docx", "A 61910-2024")</f>
        <v/>
      </c>
    </row>
    <row r="890" ht="15" customHeight="1">
      <c r="A890" t="inlineStr">
        <is>
          <t>A 7138-2025</t>
        </is>
      </c>
      <c r="B890" s="1" t="n">
        <v>45702.36715277778</v>
      </c>
      <c r="C890" s="1" t="n">
        <v>45971</v>
      </c>
      <c r="D890" t="inlineStr">
        <is>
          <t>VÄSTERBOTTENS LÄN</t>
        </is>
      </c>
      <c r="E890" t="inlineStr">
        <is>
          <t>MALÅ</t>
        </is>
      </c>
      <c r="F890" t="inlineStr">
        <is>
          <t>Sveaskog</t>
        </is>
      </c>
      <c r="G890" t="n">
        <v>8.199999999999999</v>
      </c>
      <c r="H890" t="n">
        <v>0</v>
      </c>
      <c r="I890" t="n">
        <v>1</v>
      </c>
      <c r="J890" t="n">
        <v>0</v>
      </c>
      <c r="K890" t="n">
        <v>0</v>
      </c>
      <c r="L890" t="n">
        <v>0</v>
      </c>
      <c r="M890" t="n">
        <v>0</v>
      </c>
      <c r="N890" t="n">
        <v>0</v>
      </c>
      <c r="O890" t="n">
        <v>0</v>
      </c>
      <c r="P890" t="n">
        <v>0</v>
      </c>
      <c r="Q890" t="n">
        <v>1</v>
      </c>
      <c r="R890" s="2" t="inlineStr">
        <is>
          <t>Dropptaggsvamp</t>
        </is>
      </c>
      <c r="S890">
        <f>HYPERLINK("https://klasma.github.io/Logging_2418/artfynd/A 7138-2025 artfynd.xlsx", "A 7138-2025")</f>
        <v/>
      </c>
      <c r="T890">
        <f>HYPERLINK("https://klasma.github.io/Logging_2418/kartor/A 7138-2025 karta.png", "A 7138-2025")</f>
        <v/>
      </c>
      <c r="V890">
        <f>HYPERLINK("https://klasma.github.io/Logging_2418/klagomål/A 7138-2025 FSC-klagomål.docx", "A 7138-2025")</f>
        <v/>
      </c>
      <c r="W890">
        <f>HYPERLINK("https://klasma.github.io/Logging_2418/klagomålsmail/A 7138-2025 FSC-klagomål mail.docx", "A 7138-2025")</f>
        <v/>
      </c>
      <c r="X890">
        <f>HYPERLINK("https://klasma.github.io/Logging_2418/tillsyn/A 7138-2025 tillsynsbegäran.docx", "A 7138-2025")</f>
        <v/>
      </c>
      <c r="Y890">
        <f>HYPERLINK("https://klasma.github.io/Logging_2418/tillsynsmail/A 7138-2025 tillsynsbegäran mail.docx", "A 7138-2025")</f>
        <v/>
      </c>
    </row>
    <row r="891" ht="15" customHeight="1">
      <c r="A891" t="inlineStr">
        <is>
          <t>A 65617-2020</t>
        </is>
      </c>
      <c r="B891" s="1" t="n">
        <v>44173</v>
      </c>
      <c r="C891" s="1" t="n">
        <v>45971</v>
      </c>
      <c r="D891" t="inlineStr">
        <is>
          <t>VÄSTERBOTTENS LÄN</t>
        </is>
      </c>
      <c r="E891" t="inlineStr">
        <is>
          <t>NORDMALING</t>
        </is>
      </c>
      <c r="F891" t="inlineStr">
        <is>
          <t>SCA</t>
        </is>
      </c>
      <c r="G891" t="n">
        <v>4.3</v>
      </c>
      <c r="H891" t="n">
        <v>0</v>
      </c>
      <c r="I891" t="n">
        <v>0</v>
      </c>
      <c r="J891" t="n">
        <v>1</v>
      </c>
      <c r="K891" t="n">
        <v>0</v>
      </c>
      <c r="L891" t="n">
        <v>0</v>
      </c>
      <c r="M891" t="n">
        <v>0</v>
      </c>
      <c r="N891" t="n">
        <v>0</v>
      </c>
      <c r="O891" t="n">
        <v>1</v>
      </c>
      <c r="P891" t="n">
        <v>0</v>
      </c>
      <c r="Q891" t="n">
        <v>1</v>
      </c>
      <c r="R891" s="2" t="inlineStr">
        <is>
          <t>Lunglav</t>
        </is>
      </c>
      <c r="S891">
        <f>HYPERLINK("https://klasma.github.io/Logging_2401/artfynd/A 65617-2020 artfynd.xlsx", "A 65617-2020")</f>
        <v/>
      </c>
      <c r="T891">
        <f>HYPERLINK("https://klasma.github.io/Logging_2401/kartor/A 65617-2020 karta.png", "A 65617-2020")</f>
        <v/>
      </c>
      <c r="V891">
        <f>HYPERLINK("https://klasma.github.io/Logging_2401/klagomål/A 65617-2020 FSC-klagomål.docx", "A 65617-2020")</f>
        <v/>
      </c>
      <c r="W891">
        <f>HYPERLINK("https://klasma.github.io/Logging_2401/klagomålsmail/A 65617-2020 FSC-klagomål mail.docx", "A 65617-2020")</f>
        <v/>
      </c>
      <c r="X891">
        <f>HYPERLINK("https://klasma.github.io/Logging_2401/tillsyn/A 65617-2020 tillsynsbegäran.docx", "A 65617-2020")</f>
        <v/>
      </c>
      <c r="Y891">
        <f>HYPERLINK("https://klasma.github.io/Logging_2401/tillsynsmail/A 65617-2020 tillsynsbegäran mail.docx", "A 65617-2020")</f>
        <v/>
      </c>
    </row>
    <row r="892" ht="15" customHeight="1">
      <c r="A892" t="inlineStr">
        <is>
          <t>A 45404-2024</t>
        </is>
      </c>
      <c r="B892" s="1" t="n">
        <v>45576.57828703704</v>
      </c>
      <c r="C892" s="1" t="n">
        <v>45971</v>
      </c>
      <c r="D892" t="inlineStr">
        <is>
          <t>VÄSTERBOTTENS LÄN</t>
        </is>
      </c>
      <c r="E892" t="inlineStr">
        <is>
          <t>STORUMAN</t>
        </is>
      </c>
      <c r="F892" t="inlineStr">
        <is>
          <t>Sveaskog</t>
        </is>
      </c>
      <c r="G892" t="n">
        <v>3.3</v>
      </c>
      <c r="H892" t="n">
        <v>0</v>
      </c>
      <c r="I892" t="n">
        <v>0</v>
      </c>
      <c r="J892" t="n">
        <v>1</v>
      </c>
      <c r="K892" t="n">
        <v>0</v>
      </c>
      <c r="L892" t="n">
        <v>0</v>
      </c>
      <c r="M892" t="n">
        <v>0</v>
      </c>
      <c r="N892" t="n">
        <v>0</v>
      </c>
      <c r="O892" t="n">
        <v>1</v>
      </c>
      <c r="P892" t="n">
        <v>0</v>
      </c>
      <c r="Q892" t="n">
        <v>1</v>
      </c>
      <c r="R892" s="2" t="inlineStr">
        <is>
          <t>Lunglav</t>
        </is>
      </c>
      <c r="S892">
        <f>HYPERLINK("https://klasma.github.io/Logging_2421/artfynd/A 45404-2024 artfynd.xlsx", "A 45404-2024")</f>
        <v/>
      </c>
      <c r="T892">
        <f>HYPERLINK("https://klasma.github.io/Logging_2421/kartor/A 45404-2024 karta.png", "A 45404-2024")</f>
        <v/>
      </c>
      <c r="V892">
        <f>HYPERLINK("https://klasma.github.io/Logging_2421/klagomål/A 45404-2024 FSC-klagomål.docx", "A 45404-2024")</f>
        <v/>
      </c>
      <c r="W892">
        <f>HYPERLINK("https://klasma.github.io/Logging_2421/klagomålsmail/A 45404-2024 FSC-klagomål mail.docx", "A 45404-2024")</f>
        <v/>
      </c>
      <c r="X892">
        <f>HYPERLINK("https://klasma.github.io/Logging_2421/tillsyn/A 45404-2024 tillsynsbegäran.docx", "A 45404-2024")</f>
        <v/>
      </c>
      <c r="Y892">
        <f>HYPERLINK("https://klasma.github.io/Logging_2421/tillsynsmail/A 45404-2024 tillsynsbegäran mail.docx", "A 45404-2024")</f>
        <v/>
      </c>
    </row>
    <row r="893" ht="15" customHeight="1">
      <c r="A893" t="inlineStr">
        <is>
          <t>A 49394-2024</t>
        </is>
      </c>
      <c r="B893" s="1" t="n">
        <v>45595</v>
      </c>
      <c r="C893" s="1" t="n">
        <v>45971</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47118-2024</t>
        </is>
      </c>
      <c r="B894" s="1" t="n">
        <v>45586.56363425926</v>
      </c>
      <c r="C894" s="1" t="n">
        <v>45971</v>
      </c>
      <c r="D894" t="inlineStr">
        <is>
          <t>VÄSTERBOTTENS LÄN</t>
        </is>
      </c>
      <c r="E894" t="inlineStr">
        <is>
          <t>MALÅ</t>
        </is>
      </c>
      <c r="F894" t="inlineStr">
        <is>
          <t>Sveaskog</t>
        </is>
      </c>
      <c r="G894" t="n">
        <v>10.6</v>
      </c>
      <c r="H894" t="n">
        <v>0</v>
      </c>
      <c r="I894" t="n">
        <v>0</v>
      </c>
      <c r="J894" t="n">
        <v>1</v>
      </c>
      <c r="K894" t="n">
        <v>0</v>
      </c>
      <c r="L894" t="n">
        <v>0</v>
      </c>
      <c r="M894" t="n">
        <v>0</v>
      </c>
      <c r="N894" t="n">
        <v>0</v>
      </c>
      <c r="O894" t="n">
        <v>1</v>
      </c>
      <c r="P894" t="n">
        <v>0</v>
      </c>
      <c r="Q894" t="n">
        <v>1</v>
      </c>
      <c r="R894" s="2" t="inlineStr">
        <is>
          <t>Orange taggsvamp</t>
        </is>
      </c>
      <c r="S894">
        <f>HYPERLINK("https://klasma.github.io/Logging_2418/artfynd/A 47118-2024 artfynd.xlsx", "A 47118-2024")</f>
        <v/>
      </c>
      <c r="T894">
        <f>HYPERLINK("https://klasma.github.io/Logging_2418/kartor/A 47118-2024 karta.png", "A 47118-2024")</f>
        <v/>
      </c>
      <c r="V894">
        <f>HYPERLINK("https://klasma.github.io/Logging_2418/klagomål/A 47118-2024 FSC-klagomål.docx", "A 47118-2024")</f>
        <v/>
      </c>
      <c r="W894">
        <f>HYPERLINK("https://klasma.github.io/Logging_2418/klagomålsmail/A 47118-2024 FSC-klagomål mail.docx", "A 47118-2024")</f>
        <v/>
      </c>
      <c r="X894">
        <f>HYPERLINK("https://klasma.github.io/Logging_2418/tillsyn/A 47118-2024 tillsynsbegäran.docx", "A 47118-2024")</f>
        <v/>
      </c>
      <c r="Y894">
        <f>HYPERLINK("https://klasma.github.io/Logging_2418/tillsynsmail/A 47118-2024 tillsynsbegäran mail.docx", "A 47118-2024")</f>
        <v/>
      </c>
    </row>
    <row r="895" ht="15" customHeight="1">
      <c r="A895" t="inlineStr">
        <is>
          <t>A 57865-2021</t>
        </is>
      </c>
      <c r="B895" s="1" t="n">
        <v>44484</v>
      </c>
      <c r="C895" s="1" t="n">
        <v>45971</v>
      </c>
      <c r="D895" t="inlineStr">
        <is>
          <t>VÄSTERBOTTENS LÄN</t>
        </is>
      </c>
      <c r="E895" t="inlineStr">
        <is>
          <t>BJURHOLM</t>
        </is>
      </c>
      <c r="F895" t="inlineStr">
        <is>
          <t>SCA</t>
        </is>
      </c>
      <c r="G895" t="n">
        <v>2.6</v>
      </c>
      <c r="H895" t="n">
        <v>0</v>
      </c>
      <c r="I895" t="n">
        <v>1</v>
      </c>
      <c r="J895" t="n">
        <v>0</v>
      </c>
      <c r="K895" t="n">
        <v>0</v>
      </c>
      <c r="L895" t="n">
        <v>0</v>
      </c>
      <c r="M895" t="n">
        <v>0</v>
      </c>
      <c r="N895" t="n">
        <v>0</v>
      </c>
      <c r="O895" t="n">
        <v>0</v>
      </c>
      <c r="P895" t="n">
        <v>0</v>
      </c>
      <c r="Q895" t="n">
        <v>1</v>
      </c>
      <c r="R895" s="2" t="inlineStr">
        <is>
          <t>Stor aspticka</t>
        </is>
      </c>
      <c r="S895">
        <f>HYPERLINK("https://klasma.github.io/Logging_2403/artfynd/A 57865-2021 artfynd.xlsx", "A 57865-2021")</f>
        <v/>
      </c>
      <c r="T895">
        <f>HYPERLINK("https://klasma.github.io/Logging_2403/kartor/A 57865-2021 karta.png", "A 57865-2021")</f>
        <v/>
      </c>
      <c r="V895">
        <f>HYPERLINK("https://klasma.github.io/Logging_2403/klagomål/A 57865-2021 FSC-klagomål.docx", "A 57865-2021")</f>
        <v/>
      </c>
      <c r="W895">
        <f>HYPERLINK("https://klasma.github.io/Logging_2403/klagomålsmail/A 57865-2021 FSC-klagomål mail.docx", "A 57865-2021")</f>
        <v/>
      </c>
      <c r="X895">
        <f>HYPERLINK("https://klasma.github.io/Logging_2403/tillsyn/A 57865-2021 tillsynsbegäran.docx", "A 57865-2021")</f>
        <v/>
      </c>
      <c r="Y895">
        <f>HYPERLINK("https://klasma.github.io/Logging_2403/tillsynsmail/A 57865-2021 tillsynsbegäran mail.docx", "A 57865-2021")</f>
        <v/>
      </c>
    </row>
    <row r="896" ht="15" customHeight="1">
      <c r="A896" t="inlineStr">
        <is>
          <t>A 44987-2024</t>
        </is>
      </c>
      <c r="B896" s="1" t="n">
        <v>45575</v>
      </c>
      <c r="C896" s="1" t="n">
        <v>45971</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11502-2022</t>
        </is>
      </c>
      <c r="B897" s="1" t="n">
        <v>44631</v>
      </c>
      <c r="C897" s="1" t="n">
        <v>45971</v>
      </c>
      <c r="D897" t="inlineStr">
        <is>
          <t>VÄSTERBOTTENS LÄN</t>
        </is>
      </c>
      <c r="E897" t="inlineStr">
        <is>
          <t>UMEÅ</t>
        </is>
      </c>
      <c r="F897" t="inlineStr">
        <is>
          <t>Kommuner</t>
        </is>
      </c>
      <c r="G897" t="n">
        <v>1.8</v>
      </c>
      <c r="H897" t="n">
        <v>0</v>
      </c>
      <c r="I897" t="n">
        <v>0</v>
      </c>
      <c r="J897" t="n">
        <v>1</v>
      </c>
      <c r="K897" t="n">
        <v>0</v>
      </c>
      <c r="L897" t="n">
        <v>0</v>
      </c>
      <c r="M897" t="n">
        <v>0</v>
      </c>
      <c r="N897" t="n">
        <v>0</v>
      </c>
      <c r="O897" t="n">
        <v>1</v>
      </c>
      <c r="P897" t="n">
        <v>0</v>
      </c>
      <c r="Q897" t="n">
        <v>1</v>
      </c>
      <c r="R897" s="2" t="inlineStr">
        <is>
          <t>Violettgrå tagellav</t>
        </is>
      </c>
      <c r="S897">
        <f>HYPERLINK("https://klasma.github.io/Logging_2480/artfynd/A 11502-2022 artfynd.xlsx", "A 11502-2022")</f>
        <v/>
      </c>
      <c r="T897">
        <f>HYPERLINK("https://klasma.github.io/Logging_2480/kartor/A 11502-2022 karta.png", "A 11502-2022")</f>
        <v/>
      </c>
      <c r="V897">
        <f>HYPERLINK("https://klasma.github.io/Logging_2480/klagomål/A 11502-2022 FSC-klagomål.docx", "A 11502-2022")</f>
        <v/>
      </c>
      <c r="W897">
        <f>HYPERLINK("https://klasma.github.io/Logging_2480/klagomålsmail/A 11502-2022 FSC-klagomål mail.docx", "A 11502-2022")</f>
        <v/>
      </c>
      <c r="X897">
        <f>HYPERLINK("https://klasma.github.io/Logging_2480/tillsyn/A 11502-2022 tillsynsbegäran.docx", "A 11502-2022")</f>
        <v/>
      </c>
      <c r="Y897">
        <f>HYPERLINK("https://klasma.github.io/Logging_2480/tillsynsmail/A 11502-2022 tillsynsbegäran mail.docx", "A 11502-2022")</f>
        <v/>
      </c>
    </row>
    <row r="898" ht="15" customHeight="1">
      <c r="A898" t="inlineStr">
        <is>
          <t>A 53351-2024</t>
        </is>
      </c>
      <c r="B898" s="1" t="n">
        <v>45614.44894675926</v>
      </c>
      <c r="C898" s="1" t="n">
        <v>45971</v>
      </c>
      <c r="D898" t="inlineStr">
        <is>
          <t>VÄSTERBOTTENS LÄN</t>
        </is>
      </c>
      <c r="E898" t="inlineStr">
        <is>
          <t>VINDELN</t>
        </is>
      </c>
      <c r="F898" t="inlineStr">
        <is>
          <t>SCA</t>
        </is>
      </c>
      <c r="G898" t="n">
        <v>6.6</v>
      </c>
      <c r="H898" t="n">
        <v>0</v>
      </c>
      <c r="I898" t="n">
        <v>1</v>
      </c>
      <c r="J898" t="n">
        <v>0</v>
      </c>
      <c r="K898" t="n">
        <v>0</v>
      </c>
      <c r="L898" t="n">
        <v>0</v>
      </c>
      <c r="M898" t="n">
        <v>0</v>
      </c>
      <c r="N898" t="n">
        <v>0</v>
      </c>
      <c r="O898" t="n">
        <v>0</v>
      </c>
      <c r="P898" t="n">
        <v>0</v>
      </c>
      <c r="Q898" t="n">
        <v>1</v>
      </c>
      <c r="R898" s="2" t="inlineStr">
        <is>
          <t>Dropptaggsvamp</t>
        </is>
      </c>
      <c r="S898">
        <f>HYPERLINK("https://klasma.github.io/Logging_2404/artfynd/A 53351-2024 artfynd.xlsx", "A 53351-2024")</f>
        <v/>
      </c>
      <c r="T898">
        <f>HYPERLINK("https://klasma.github.io/Logging_2404/kartor/A 53351-2024 karta.png", "A 53351-2024")</f>
        <v/>
      </c>
      <c r="V898">
        <f>HYPERLINK("https://klasma.github.io/Logging_2404/klagomål/A 53351-2024 FSC-klagomål.docx", "A 53351-2024")</f>
        <v/>
      </c>
      <c r="W898">
        <f>HYPERLINK("https://klasma.github.io/Logging_2404/klagomålsmail/A 53351-2024 FSC-klagomål mail.docx", "A 53351-2024")</f>
        <v/>
      </c>
      <c r="X898">
        <f>HYPERLINK("https://klasma.github.io/Logging_2404/tillsyn/A 53351-2024 tillsynsbegäran.docx", "A 53351-2024")</f>
        <v/>
      </c>
      <c r="Y898">
        <f>HYPERLINK("https://klasma.github.io/Logging_2404/tillsynsmail/A 53351-2024 tillsynsbegäran mail.docx", "A 53351-2024")</f>
        <v/>
      </c>
    </row>
    <row r="899" ht="15" customHeight="1">
      <c r="A899" t="inlineStr">
        <is>
          <t>A 37669-2024</t>
        </is>
      </c>
      <c r="B899" s="1" t="n">
        <v>45541.57616898148</v>
      </c>
      <c r="C899" s="1" t="n">
        <v>45971</v>
      </c>
      <c r="D899" t="inlineStr">
        <is>
          <t>VÄSTERBOTTENS LÄN</t>
        </is>
      </c>
      <c r="E899" t="inlineStr">
        <is>
          <t>LYCKSELE</t>
        </is>
      </c>
      <c r="F899" t="inlineStr">
        <is>
          <t>Sveaskog</t>
        </is>
      </c>
      <c r="G899" t="n">
        <v>5.5</v>
      </c>
      <c r="H899" t="n">
        <v>0</v>
      </c>
      <c r="I899" t="n">
        <v>1</v>
      </c>
      <c r="J899" t="n">
        <v>0</v>
      </c>
      <c r="K899" t="n">
        <v>0</v>
      </c>
      <c r="L899" t="n">
        <v>0</v>
      </c>
      <c r="M899" t="n">
        <v>0</v>
      </c>
      <c r="N899" t="n">
        <v>0</v>
      </c>
      <c r="O899" t="n">
        <v>0</v>
      </c>
      <c r="P899" t="n">
        <v>0</v>
      </c>
      <c r="Q899" t="n">
        <v>1</v>
      </c>
      <c r="R899" s="2" t="inlineStr">
        <is>
          <t>Dropptaggsvamp</t>
        </is>
      </c>
      <c r="S899">
        <f>HYPERLINK("https://klasma.github.io/Logging_2481/artfynd/A 37669-2024 artfynd.xlsx", "A 37669-2024")</f>
        <v/>
      </c>
      <c r="T899">
        <f>HYPERLINK("https://klasma.github.io/Logging_2481/kartor/A 37669-2024 karta.png", "A 37669-2024")</f>
        <v/>
      </c>
      <c r="V899">
        <f>HYPERLINK("https://klasma.github.io/Logging_2481/klagomål/A 37669-2024 FSC-klagomål.docx", "A 37669-2024")</f>
        <v/>
      </c>
      <c r="W899">
        <f>HYPERLINK("https://klasma.github.io/Logging_2481/klagomålsmail/A 37669-2024 FSC-klagomål mail.docx", "A 37669-2024")</f>
        <v/>
      </c>
      <c r="X899">
        <f>HYPERLINK("https://klasma.github.io/Logging_2481/tillsyn/A 37669-2024 tillsynsbegäran.docx", "A 37669-2024")</f>
        <v/>
      </c>
      <c r="Y899">
        <f>HYPERLINK("https://klasma.github.io/Logging_2481/tillsynsmail/A 37669-2024 tillsynsbegäran mail.docx", "A 37669-2024")</f>
        <v/>
      </c>
    </row>
    <row r="900" ht="15" customHeight="1">
      <c r="A900" t="inlineStr">
        <is>
          <t>A 56247-2023</t>
        </is>
      </c>
      <c r="B900" s="1" t="n">
        <v>45240</v>
      </c>
      <c r="C900" s="1" t="n">
        <v>45971</v>
      </c>
      <c r="D900" t="inlineStr">
        <is>
          <t>VÄSTERBOTTENS LÄN</t>
        </is>
      </c>
      <c r="E900" t="inlineStr">
        <is>
          <t>VILHELMINA</t>
        </is>
      </c>
      <c r="F900" t="inlineStr">
        <is>
          <t>SCA</t>
        </is>
      </c>
      <c r="G900" t="n">
        <v>1.3</v>
      </c>
      <c r="H900" t="n">
        <v>0</v>
      </c>
      <c r="I900" t="n">
        <v>0</v>
      </c>
      <c r="J900" t="n">
        <v>1</v>
      </c>
      <c r="K900" t="n">
        <v>0</v>
      </c>
      <c r="L900" t="n">
        <v>0</v>
      </c>
      <c r="M900" t="n">
        <v>0</v>
      </c>
      <c r="N900" t="n">
        <v>0</v>
      </c>
      <c r="O900" t="n">
        <v>1</v>
      </c>
      <c r="P900" t="n">
        <v>0</v>
      </c>
      <c r="Q900" t="n">
        <v>1</v>
      </c>
      <c r="R900" s="2" t="inlineStr">
        <is>
          <t>Harticka</t>
        </is>
      </c>
      <c r="S900">
        <f>HYPERLINK("https://klasma.github.io/Logging_2462/artfynd/A 56247-2023 artfynd.xlsx", "A 56247-2023")</f>
        <v/>
      </c>
      <c r="T900">
        <f>HYPERLINK("https://klasma.github.io/Logging_2462/kartor/A 56247-2023 karta.png", "A 56247-2023")</f>
        <v/>
      </c>
      <c r="V900">
        <f>HYPERLINK("https://klasma.github.io/Logging_2462/klagomål/A 56247-2023 FSC-klagomål.docx", "A 56247-2023")</f>
        <v/>
      </c>
      <c r="W900">
        <f>HYPERLINK("https://klasma.github.io/Logging_2462/klagomålsmail/A 56247-2023 FSC-klagomål mail.docx", "A 56247-2023")</f>
        <v/>
      </c>
      <c r="X900">
        <f>HYPERLINK("https://klasma.github.io/Logging_2462/tillsyn/A 56247-2023 tillsynsbegäran.docx", "A 56247-2023")</f>
        <v/>
      </c>
      <c r="Y900">
        <f>HYPERLINK("https://klasma.github.io/Logging_2462/tillsynsmail/A 56247-2023 tillsynsbegäran mail.docx", "A 56247-2023")</f>
        <v/>
      </c>
    </row>
    <row r="901" ht="15" customHeight="1">
      <c r="A901" t="inlineStr">
        <is>
          <t>A 49125-2024</t>
        </is>
      </c>
      <c r="B901" s="1" t="n">
        <v>45594</v>
      </c>
      <c r="C901" s="1" t="n">
        <v>45971</v>
      </c>
      <c r="D901" t="inlineStr">
        <is>
          <t>VÄSTERBOTTENS LÄN</t>
        </is>
      </c>
      <c r="E901" t="inlineStr">
        <is>
          <t>LYCKSELE</t>
        </is>
      </c>
      <c r="F901" t="inlineStr">
        <is>
          <t>Sveaskog</t>
        </is>
      </c>
      <c r="G901" t="n">
        <v>6.7</v>
      </c>
      <c r="H901" t="n">
        <v>1</v>
      </c>
      <c r="I901" t="n">
        <v>0</v>
      </c>
      <c r="J901" t="n">
        <v>0</v>
      </c>
      <c r="K901" t="n">
        <v>1</v>
      </c>
      <c r="L901" t="n">
        <v>0</v>
      </c>
      <c r="M901" t="n">
        <v>0</v>
      </c>
      <c r="N901" t="n">
        <v>0</v>
      </c>
      <c r="O901" t="n">
        <v>1</v>
      </c>
      <c r="P901" t="n">
        <v>1</v>
      </c>
      <c r="Q901" t="n">
        <v>1</v>
      </c>
      <c r="R901" s="2" t="inlineStr">
        <is>
          <t>Knärot</t>
        </is>
      </c>
      <c r="S901">
        <f>HYPERLINK("https://klasma.github.io/Logging_2481/artfynd/A 49125-2024 artfynd.xlsx", "A 49125-2024")</f>
        <v/>
      </c>
      <c r="T901">
        <f>HYPERLINK("https://klasma.github.io/Logging_2481/kartor/A 49125-2024 karta.png", "A 49125-2024")</f>
        <v/>
      </c>
      <c r="U901">
        <f>HYPERLINK("https://klasma.github.io/Logging_2481/knärot/A 49125-2024 karta knärot.png", "A 49125-2024")</f>
        <v/>
      </c>
      <c r="V901">
        <f>HYPERLINK("https://klasma.github.io/Logging_2481/klagomål/A 49125-2024 FSC-klagomål.docx", "A 49125-2024")</f>
        <v/>
      </c>
      <c r="W901">
        <f>HYPERLINK("https://klasma.github.io/Logging_2481/klagomålsmail/A 49125-2024 FSC-klagomål mail.docx", "A 49125-2024")</f>
        <v/>
      </c>
      <c r="X901">
        <f>HYPERLINK("https://klasma.github.io/Logging_2481/tillsyn/A 49125-2024 tillsynsbegäran.docx", "A 49125-2024")</f>
        <v/>
      </c>
      <c r="Y901">
        <f>HYPERLINK("https://klasma.github.io/Logging_2481/tillsynsmail/A 49125-2024 tillsynsbegäran mail.docx", "A 49125-2024")</f>
        <v/>
      </c>
    </row>
    <row r="902" ht="15" customHeight="1">
      <c r="A902" t="inlineStr">
        <is>
          <t>A 17253-2025</t>
        </is>
      </c>
      <c r="B902" s="1" t="n">
        <v>45756</v>
      </c>
      <c r="C902" s="1" t="n">
        <v>45971</v>
      </c>
      <c r="D902" t="inlineStr">
        <is>
          <t>VÄSTERBOTTENS LÄN</t>
        </is>
      </c>
      <c r="E902" t="inlineStr">
        <is>
          <t>VILHELMINA</t>
        </is>
      </c>
      <c r="F902" t="inlineStr">
        <is>
          <t>SCA</t>
        </is>
      </c>
      <c r="G902" t="n">
        <v>6.5</v>
      </c>
      <c r="H902" t="n">
        <v>0</v>
      </c>
      <c r="I902" t="n">
        <v>0</v>
      </c>
      <c r="J902" t="n">
        <v>1</v>
      </c>
      <c r="K902" t="n">
        <v>0</v>
      </c>
      <c r="L902" t="n">
        <v>0</v>
      </c>
      <c r="M902" t="n">
        <v>0</v>
      </c>
      <c r="N902" t="n">
        <v>0</v>
      </c>
      <c r="O902" t="n">
        <v>1</v>
      </c>
      <c r="P902" t="n">
        <v>0</v>
      </c>
      <c r="Q902" t="n">
        <v>1</v>
      </c>
      <c r="R902" s="2" t="inlineStr">
        <is>
          <t>Granticka</t>
        </is>
      </c>
      <c r="S902">
        <f>HYPERLINK("https://klasma.github.io/Logging_2462/artfynd/A 17253-2025 artfynd.xlsx", "A 17253-2025")</f>
        <v/>
      </c>
      <c r="T902">
        <f>HYPERLINK("https://klasma.github.io/Logging_2462/kartor/A 17253-2025 karta.png", "A 17253-2025")</f>
        <v/>
      </c>
      <c r="V902">
        <f>HYPERLINK("https://klasma.github.io/Logging_2462/klagomål/A 17253-2025 FSC-klagomål.docx", "A 17253-2025")</f>
        <v/>
      </c>
      <c r="W902">
        <f>HYPERLINK("https://klasma.github.io/Logging_2462/klagomålsmail/A 17253-2025 FSC-klagomål mail.docx", "A 17253-2025")</f>
        <v/>
      </c>
      <c r="X902">
        <f>HYPERLINK("https://klasma.github.io/Logging_2462/tillsyn/A 17253-2025 tillsynsbegäran.docx", "A 17253-2025")</f>
        <v/>
      </c>
      <c r="Y902">
        <f>HYPERLINK("https://klasma.github.io/Logging_2462/tillsynsmail/A 17253-2025 tillsynsbegäran mail.docx", "A 17253-2025")</f>
        <v/>
      </c>
    </row>
    <row r="903" ht="15" customHeight="1">
      <c r="A903" t="inlineStr">
        <is>
          <t>A 51640-2021</t>
        </is>
      </c>
      <c r="B903" s="1" t="n">
        <v>44462</v>
      </c>
      <c r="C903" s="1" t="n">
        <v>45971</v>
      </c>
      <c r="D903" t="inlineStr">
        <is>
          <t>VÄSTERBOTTENS LÄN</t>
        </is>
      </c>
      <c r="E903" t="inlineStr">
        <is>
          <t>NORSJÖ</t>
        </is>
      </c>
      <c r="F903" t="inlineStr">
        <is>
          <t>Sveaskog</t>
        </is>
      </c>
      <c r="G903" t="n">
        <v>7.5</v>
      </c>
      <c r="H903" t="n">
        <v>0</v>
      </c>
      <c r="I903" t="n">
        <v>1</v>
      </c>
      <c r="J903" t="n">
        <v>0</v>
      </c>
      <c r="K903" t="n">
        <v>0</v>
      </c>
      <c r="L903" t="n">
        <v>0</v>
      </c>
      <c r="M903" t="n">
        <v>0</v>
      </c>
      <c r="N903" t="n">
        <v>0</v>
      </c>
      <c r="O903" t="n">
        <v>0</v>
      </c>
      <c r="P903" t="n">
        <v>0</v>
      </c>
      <c r="Q903" t="n">
        <v>1</v>
      </c>
      <c r="R903" s="2" t="inlineStr">
        <is>
          <t>Dropptaggsvamp</t>
        </is>
      </c>
      <c r="S903">
        <f>HYPERLINK("https://klasma.github.io/Logging_2417/artfynd/A 51640-2021 artfynd.xlsx", "A 51640-2021")</f>
        <v/>
      </c>
      <c r="T903">
        <f>HYPERLINK("https://klasma.github.io/Logging_2417/kartor/A 51640-2021 karta.png", "A 51640-2021")</f>
        <v/>
      </c>
      <c r="V903">
        <f>HYPERLINK("https://klasma.github.io/Logging_2417/klagomål/A 51640-2021 FSC-klagomål.docx", "A 51640-2021")</f>
        <v/>
      </c>
      <c r="W903">
        <f>HYPERLINK("https://klasma.github.io/Logging_2417/klagomålsmail/A 51640-2021 FSC-klagomål mail.docx", "A 51640-2021")</f>
        <v/>
      </c>
      <c r="X903">
        <f>HYPERLINK("https://klasma.github.io/Logging_2417/tillsyn/A 51640-2021 tillsynsbegäran.docx", "A 51640-2021")</f>
        <v/>
      </c>
      <c r="Y903">
        <f>HYPERLINK("https://klasma.github.io/Logging_2417/tillsynsmail/A 51640-2021 tillsynsbegäran mail.docx", "A 51640-2021")</f>
        <v/>
      </c>
    </row>
    <row r="904" ht="15" customHeight="1">
      <c r="A904" t="inlineStr">
        <is>
          <t>A 61896-2024</t>
        </is>
      </c>
      <c r="B904" s="1" t="n">
        <v>45652.74872685185</v>
      </c>
      <c r="C904" s="1" t="n">
        <v>45971</v>
      </c>
      <c r="D904" t="inlineStr">
        <is>
          <t>VÄSTERBOTTENS LÄN</t>
        </is>
      </c>
      <c r="E904" t="inlineStr">
        <is>
          <t>LYCKSELE</t>
        </is>
      </c>
      <c r="G904" t="n">
        <v>6.6</v>
      </c>
      <c r="H904" t="n">
        <v>0</v>
      </c>
      <c r="I904" t="n">
        <v>0</v>
      </c>
      <c r="J904" t="n">
        <v>1</v>
      </c>
      <c r="K904" t="n">
        <v>0</v>
      </c>
      <c r="L904" t="n">
        <v>0</v>
      </c>
      <c r="M904" t="n">
        <v>0</v>
      </c>
      <c r="N904" t="n">
        <v>0</v>
      </c>
      <c r="O904" t="n">
        <v>1</v>
      </c>
      <c r="P904" t="n">
        <v>0</v>
      </c>
      <c r="Q904" t="n">
        <v>1</v>
      </c>
      <c r="R904" s="2" t="inlineStr">
        <is>
          <t>Harticka</t>
        </is>
      </c>
      <c r="S904">
        <f>HYPERLINK("https://klasma.github.io/Logging_2481/artfynd/A 61896-2024 artfynd.xlsx", "A 61896-2024")</f>
        <v/>
      </c>
      <c r="T904">
        <f>HYPERLINK("https://klasma.github.io/Logging_2481/kartor/A 61896-2024 karta.png", "A 61896-2024")</f>
        <v/>
      </c>
      <c r="V904">
        <f>HYPERLINK("https://klasma.github.io/Logging_2481/klagomål/A 61896-2024 FSC-klagomål.docx", "A 61896-2024")</f>
        <v/>
      </c>
      <c r="W904">
        <f>HYPERLINK("https://klasma.github.io/Logging_2481/klagomålsmail/A 61896-2024 FSC-klagomål mail.docx", "A 61896-2024")</f>
        <v/>
      </c>
      <c r="X904">
        <f>HYPERLINK("https://klasma.github.io/Logging_2481/tillsyn/A 61896-2024 tillsynsbegäran.docx", "A 61896-2024")</f>
        <v/>
      </c>
      <c r="Y904">
        <f>HYPERLINK("https://klasma.github.io/Logging_2481/tillsynsmail/A 61896-2024 tillsynsbegäran mail.docx", "A 61896-2024")</f>
        <v/>
      </c>
    </row>
    <row r="905" ht="15" customHeight="1">
      <c r="A905" t="inlineStr">
        <is>
          <t>A 36517-2024</t>
        </is>
      </c>
      <c r="B905" s="1" t="n">
        <v>45537.42907407408</v>
      </c>
      <c r="C905" s="1" t="n">
        <v>45971</v>
      </c>
      <c r="D905" t="inlineStr">
        <is>
          <t>VÄSTERBOTTENS LÄN</t>
        </is>
      </c>
      <c r="E905" t="inlineStr">
        <is>
          <t>VINDELN</t>
        </is>
      </c>
      <c r="F905" t="inlineStr">
        <is>
          <t>Sveaskog</t>
        </is>
      </c>
      <c r="G905" t="n">
        <v>11.8</v>
      </c>
      <c r="H905" t="n">
        <v>0</v>
      </c>
      <c r="I905" t="n">
        <v>0</v>
      </c>
      <c r="J905" t="n">
        <v>1</v>
      </c>
      <c r="K905" t="n">
        <v>0</v>
      </c>
      <c r="L905" t="n">
        <v>0</v>
      </c>
      <c r="M905" t="n">
        <v>0</v>
      </c>
      <c r="N905" t="n">
        <v>0</v>
      </c>
      <c r="O905" t="n">
        <v>1</v>
      </c>
      <c r="P905" t="n">
        <v>0</v>
      </c>
      <c r="Q905" t="n">
        <v>1</v>
      </c>
      <c r="R905" s="2" t="inlineStr">
        <is>
          <t>Granticka</t>
        </is>
      </c>
      <c r="S905">
        <f>HYPERLINK("https://klasma.github.io/Logging_2404/artfynd/A 36517-2024 artfynd.xlsx", "A 36517-2024")</f>
        <v/>
      </c>
      <c r="T905">
        <f>HYPERLINK("https://klasma.github.io/Logging_2404/kartor/A 36517-2024 karta.png", "A 36517-2024")</f>
        <v/>
      </c>
      <c r="V905">
        <f>HYPERLINK("https://klasma.github.io/Logging_2404/klagomål/A 36517-2024 FSC-klagomål.docx", "A 36517-2024")</f>
        <v/>
      </c>
      <c r="W905">
        <f>HYPERLINK("https://klasma.github.io/Logging_2404/klagomålsmail/A 36517-2024 FSC-klagomål mail.docx", "A 36517-2024")</f>
        <v/>
      </c>
      <c r="X905">
        <f>HYPERLINK("https://klasma.github.io/Logging_2404/tillsyn/A 36517-2024 tillsynsbegäran.docx", "A 36517-2024")</f>
        <v/>
      </c>
      <c r="Y905">
        <f>HYPERLINK("https://klasma.github.io/Logging_2404/tillsynsmail/A 36517-2024 tillsynsbegäran mail.docx", "A 36517-2024")</f>
        <v/>
      </c>
    </row>
    <row r="906" ht="15" customHeight="1">
      <c r="A906" t="inlineStr">
        <is>
          <t>A 73357-2021</t>
        </is>
      </c>
      <c r="B906" s="1" t="n">
        <v>44551.40773148148</v>
      </c>
      <c r="C906" s="1" t="n">
        <v>45971</v>
      </c>
      <c r="D906" t="inlineStr">
        <is>
          <t>VÄSTERBOTTENS LÄN</t>
        </is>
      </c>
      <c r="E906" t="inlineStr">
        <is>
          <t>LYCKSELE</t>
        </is>
      </c>
      <c r="G906" t="n">
        <v>11.3</v>
      </c>
      <c r="H906" t="n">
        <v>0</v>
      </c>
      <c r="I906" t="n">
        <v>0</v>
      </c>
      <c r="J906" t="n">
        <v>1</v>
      </c>
      <c r="K906" t="n">
        <v>0</v>
      </c>
      <c r="L906" t="n">
        <v>0</v>
      </c>
      <c r="M906" t="n">
        <v>0</v>
      </c>
      <c r="N906" t="n">
        <v>0</v>
      </c>
      <c r="O906" t="n">
        <v>1</v>
      </c>
      <c r="P906" t="n">
        <v>0</v>
      </c>
      <c r="Q906" t="n">
        <v>1</v>
      </c>
      <c r="R906" s="2" t="inlineStr">
        <is>
          <t>Garnlav</t>
        </is>
      </c>
      <c r="S906">
        <f>HYPERLINK("https://klasma.github.io/Logging_2481/artfynd/A 73357-2021 artfynd.xlsx", "A 73357-2021")</f>
        <v/>
      </c>
      <c r="T906">
        <f>HYPERLINK("https://klasma.github.io/Logging_2481/kartor/A 73357-2021 karta.png", "A 73357-2021")</f>
        <v/>
      </c>
      <c r="V906">
        <f>HYPERLINK("https://klasma.github.io/Logging_2481/klagomål/A 73357-2021 FSC-klagomål.docx", "A 73357-2021")</f>
        <v/>
      </c>
      <c r="W906">
        <f>HYPERLINK("https://klasma.github.io/Logging_2481/klagomålsmail/A 73357-2021 FSC-klagomål mail.docx", "A 73357-2021")</f>
        <v/>
      </c>
      <c r="X906">
        <f>HYPERLINK("https://klasma.github.io/Logging_2481/tillsyn/A 73357-2021 tillsynsbegäran.docx", "A 73357-2021")</f>
        <v/>
      </c>
      <c r="Y906">
        <f>HYPERLINK("https://klasma.github.io/Logging_2481/tillsynsmail/A 73357-2021 tillsynsbegäran mail.docx", "A 73357-2021")</f>
        <v/>
      </c>
    </row>
    <row r="907" ht="15" customHeight="1">
      <c r="A907" t="inlineStr">
        <is>
          <t>A 32830-2024</t>
        </is>
      </c>
      <c r="B907" s="1" t="n">
        <v>45516.59490740741</v>
      </c>
      <c r="C907" s="1" t="n">
        <v>45971</v>
      </c>
      <c r="D907" t="inlineStr">
        <is>
          <t>VÄSTERBOTTENS LÄN</t>
        </is>
      </c>
      <c r="E907" t="inlineStr">
        <is>
          <t>VINDELN</t>
        </is>
      </c>
      <c r="F907" t="inlineStr">
        <is>
          <t>Holmen skog AB</t>
        </is>
      </c>
      <c r="G907" t="n">
        <v>0.4</v>
      </c>
      <c r="H907" t="n">
        <v>0</v>
      </c>
      <c r="I907" t="n">
        <v>0</v>
      </c>
      <c r="J907" t="n">
        <v>1</v>
      </c>
      <c r="K907" t="n">
        <v>0</v>
      </c>
      <c r="L907" t="n">
        <v>0</v>
      </c>
      <c r="M907" t="n">
        <v>0</v>
      </c>
      <c r="N907" t="n">
        <v>0</v>
      </c>
      <c r="O907" t="n">
        <v>1</v>
      </c>
      <c r="P907" t="n">
        <v>0</v>
      </c>
      <c r="Q907" t="n">
        <v>1</v>
      </c>
      <c r="R907" s="2" t="inlineStr">
        <is>
          <t>Ullticka</t>
        </is>
      </c>
      <c r="S907">
        <f>HYPERLINK("https://klasma.github.io/Logging_2404/artfynd/A 32830-2024 artfynd.xlsx", "A 32830-2024")</f>
        <v/>
      </c>
      <c r="T907">
        <f>HYPERLINK("https://klasma.github.io/Logging_2404/kartor/A 32830-2024 karta.png", "A 32830-2024")</f>
        <v/>
      </c>
      <c r="V907">
        <f>HYPERLINK("https://klasma.github.io/Logging_2404/klagomål/A 32830-2024 FSC-klagomål.docx", "A 32830-2024")</f>
        <v/>
      </c>
      <c r="W907">
        <f>HYPERLINK("https://klasma.github.io/Logging_2404/klagomålsmail/A 32830-2024 FSC-klagomål mail.docx", "A 32830-2024")</f>
        <v/>
      </c>
      <c r="X907">
        <f>HYPERLINK("https://klasma.github.io/Logging_2404/tillsyn/A 32830-2024 tillsynsbegäran.docx", "A 32830-2024")</f>
        <v/>
      </c>
      <c r="Y907">
        <f>HYPERLINK("https://klasma.github.io/Logging_2404/tillsynsmail/A 32830-2024 tillsynsbegäran mail.docx", "A 32830-2024")</f>
        <v/>
      </c>
    </row>
    <row r="908" ht="15" customHeight="1">
      <c r="A908" t="inlineStr">
        <is>
          <t>A 8302-2025</t>
        </is>
      </c>
      <c r="B908" s="1" t="n">
        <v>45708</v>
      </c>
      <c r="C908" s="1" t="n">
        <v>45971</v>
      </c>
      <c r="D908" t="inlineStr">
        <is>
          <t>VÄSTERBOTTENS LÄN</t>
        </is>
      </c>
      <c r="E908" t="inlineStr">
        <is>
          <t>SKELLEFTEÅ</t>
        </is>
      </c>
      <c r="G908" t="n">
        <v>9.800000000000001</v>
      </c>
      <c r="H908" t="n">
        <v>1</v>
      </c>
      <c r="I908" t="n">
        <v>0</v>
      </c>
      <c r="J908" t="n">
        <v>0</v>
      </c>
      <c r="K908" t="n">
        <v>0</v>
      </c>
      <c r="L908" t="n">
        <v>0</v>
      </c>
      <c r="M908" t="n">
        <v>0</v>
      </c>
      <c r="N908" t="n">
        <v>0</v>
      </c>
      <c r="O908" t="n">
        <v>0</v>
      </c>
      <c r="P908" t="n">
        <v>0</v>
      </c>
      <c r="Q908" t="n">
        <v>1</v>
      </c>
      <c r="R908" s="2" t="inlineStr">
        <is>
          <t>Mattlummer</t>
        </is>
      </c>
      <c r="S908">
        <f>HYPERLINK("https://klasma.github.io/Logging_2482/artfynd/A 8302-2025 artfynd.xlsx", "A 8302-2025")</f>
        <v/>
      </c>
      <c r="T908">
        <f>HYPERLINK("https://klasma.github.io/Logging_2482/kartor/A 8302-2025 karta.png", "A 8302-2025")</f>
        <v/>
      </c>
      <c r="V908">
        <f>HYPERLINK("https://klasma.github.io/Logging_2482/klagomål/A 8302-2025 FSC-klagomål.docx", "A 8302-2025")</f>
        <v/>
      </c>
      <c r="W908">
        <f>HYPERLINK("https://klasma.github.io/Logging_2482/klagomålsmail/A 8302-2025 FSC-klagomål mail.docx", "A 8302-2025")</f>
        <v/>
      </c>
      <c r="X908">
        <f>HYPERLINK("https://klasma.github.io/Logging_2482/tillsyn/A 8302-2025 tillsynsbegäran.docx", "A 8302-2025")</f>
        <v/>
      </c>
      <c r="Y908">
        <f>HYPERLINK("https://klasma.github.io/Logging_2482/tillsynsmail/A 8302-2025 tillsynsbegäran mail.docx", "A 8302-2025")</f>
        <v/>
      </c>
    </row>
    <row r="909" ht="15" customHeight="1">
      <c r="A909" t="inlineStr">
        <is>
          <t>A 36467-2024</t>
        </is>
      </c>
      <c r="B909" s="1" t="n">
        <v>45537</v>
      </c>
      <c r="C909" s="1" t="n">
        <v>45971</v>
      </c>
      <c r="D909" t="inlineStr">
        <is>
          <t>VÄSTERBOTTENS LÄN</t>
        </is>
      </c>
      <c r="E909" t="inlineStr">
        <is>
          <t>NORDMALING</t>
        </is>
      </c>
      <c r="F909" t="inlineStr">
        <is>
          <t>SCA</t>
        </is>
      </c>
      <c r="G909" t="n">
        <v>4.1</v>
      </c>
      <c r="H909" t="n">
        <v>0</v>
      </c>
      <c r="I909" t="n">
        <v>0</v>
      </c>
      <c r="J909" t="n">
        <v>1</v>
      </c>
      <c r="K909" t="n">
        <v>0</v>
      </c>
      <c r="L909" t="n">
        <v>0</v>
      </c>
      <c r="M909" t="n">
        <v>0</v>
      </c>
      <c r="N909" t="n">
        <v>0</v>
      </c>
      <c r="O909" t="n">
        <v>1</v>
      </c>
      <c r="P909" t="n">
        <v>0</v>
      </c>
      <c r="Q909" t="n">
        <v>1</v>
      </c>
      <c r="R909" s="2" t="inlineStr">
        <is>
          <t>Lunglav</t>
        </is>
      </c>
      <c r="S909">
        <f>HYPERLINK("https://klasma.github.io/Logging_2401/artfynd/A 36467-2024 artfynd.xlsx", "A 36467-2024")</f>
        <v/>
      </c>
      <c r="T909">
        <f>HYPERLINK("https://klasma.github.io/Logging_2401/kartor/A 36467-2024 karta.png", "A 36467-2024")</f>
        <v/>
      </c>
      <c r="V909">
        <f>HYPERLINK("https://klasma.github.io/Logging_2401/klagomål/A 36467-2024 FSC-klagomål.docx", "A 36467-2024")</f>
        <v/>
      </c>
      <c r="W909">
        <f>HYPERLINK("https://klasma.github.io/Logging_2401/klagomålsmail/A 36467-2024 FSC-klagomål mail.docx", "A 36467-2024")</f>
        <v/>
      </c>
      <c r="X909">
        <f>HYPERLINK("https://klasma.github.io/Logging_2401/tillsyn/A 36467-2024 tillsynsbegäran.docx", "A 36467-2024")</f>
        <v/>
      </c>
      <c r="Y909">
        <f>HYPERLINK("https://klasma.github.io/Logging_2401/tillsynsmail/A 36467-2024 tillsynsbegäran mail.docx", "A 36467-2024")</f>
        <v/>
      </c>
    </row>
    <row r="910" ht="15" customHeight="1">
      <c r="A910" t="inlineStr">
        <is>
          <t>A 46836-2024</t>
        </is>
      </c>
      <c r="B910" s="1" t="n">
        <v>45583</v>
      </c>
      <c r="C910" s="1" t="n">
        <v>45971</v>
      </c>
      <c r="D910" t="inlineStr">
        <is>
          <t>VÄSTERBOTTENS LÄN</t>
        </is>
      </c>
      <c r="E910" t="inlineStr">
        <is>
          <t>DOROTEA</t>
        </is>
      </c>
      <c r="F910" t="inlineStr">
        <is>
          <t>SCA</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HYPERLINK("https://klasma.github.io/Logging_2425/artfynd/A 46836-2024 artfynd.xlsx", "A 46836-2024")</f>
        <v/>
      </c>
      <c r="T910">
        <f>HYPERLINK("https://klasma.github.io/Logging_2425/kartor/A 46836-2024 karta.png", "A 46836-2024")</f>
        <v/>
      </c>
      <c r="V910">
        <f>HYPERLINK("https://klasma.github.io/Logging_2425/klagomål/A 46836-2024 FSC-klagomål.docx", "A 46836-2024")</f>
        <v/>
      </c>
      <c r="W910">
        <f>HYPERLINK("https://klasma.github.io/Logging_2425/klagomålsmail/A 46836-2024 FSC-klagomål mail.docx", "A 46836-2024")</f>
        <v/>
      </c>
      <c r="X910">
        <f>HYPERLINK("https://klasma.github.io/Logging_2425/tillsyn/A 46836-2024 tillsynsbegäran.docx", "A 46836-2024")</f>
        <v/>
      </c>
      <c r="Y910">
        <f>HYPERLINK("https://klasma.github.io/Logging_2425/tillsynsmail/A 46836-2024 tillsynsbegäran mail.docx", "A 46836-2024")</f>
        <v/>
      </c>
    </row>
    <row r="911" ht="15" customHeight="1">
      <c r="A911" t="inlineStr">
        <is>
          <t>A 33852-2024</t>
        </is>
      </c>
      <c r="B911" s="1" t="n">
        <v>45520.63962962963</v>
      </c>
      <c r="C911" s="1" t="n">
        <v>45971</v>
      </c>
      <c r="D911" t="inlineStr">
        <is>
          <t>VÄSTERBOTTENS LÄN</t>
        </is>
      </c>
      <c r="E911" t="inlineStr">
        <is>
          <t>STORUMAN</t>
        </is>
      </c>
      <c r="F911" t="inlineStr">
        <is>
          <t>Sveaskog</t>
        </is>
      </c>
      <c r="G911" t="n">
        <v>1.9</v>
      </c>
      <c r="H911" t="n">
        <v>0</v>
      </c>
      <c r="I911" t="n">
        <v>0</v>
      </c>
      <c r="J911" t="n">
        <v>1</v>
      </c>
      <c r="K911" t="n">
        <v>0</v>
      </c>
      <c r="L911" t="n">
        <v>0</v>
      </c>
      <c r="M911" t="n">
        <v>0</v>
      </c>
      <c r="N911" t="n">
        <v>0</v>
      </c>
      <c r="O911" t="n">
        <v>1</v>
      </c>
      <c r="P911" t="n">
        <v>0</v>
      </c>
      <c r="Q911" t="n">
        <v>1</v>
      </c>
      <c r="R911" s="2" t="inlineStr">
        <is>
          <t>Lunglav</t>
        </is>
      </c>
      <c r="S911">
        <f>HYPERLINK("https://klasma.github.io/Logging_2421/artfynd/A 33852-2024 artfynd.xlsx", "A 33852-2024")</f>
        <v/>
      </c>
      <c r="T911">
        <f>HYPERLINK("https://klasma.github.io/Logging_2421/kartor/A 33852-2024 karta.png", "A 33852-2024")</f>
        <v/>
      </c>
      <c r="V911">
        <f>HYPERLINK("https://klasma.github.io/Logging_2421/klagomål/A 33852-2024 FSC-klagomål.docx", "A 33852-2024")</f>
        <v/>
      </c>
      <c r="W911">
        <f>HYPERLINK("https://klasma.github.io/Logging_2421/klagomålsmail/A 33852-2024 FSC-klagomål mail.docx", "A 33852-2024")</f>
        <v/>
      </c>
      <c r="X911">
        <f>HYPERLINK("https://klasma.github.io/Logging_2421/tillsyn/A 33852-2024 tillsynsbegäran.docx", "A 33852-2024")</f>
        <v/>
      </c>
      <c r="Y911">
        <f>HYPERLINK("https://klasma.github.io/Logging_2421/tillsynsmail/A 33852-2024 tillsynsbegäran mail.docx", "A 33852-2024")</f>
        <v/>
      </c>
    </row>
    <row r="912" ht="15" customHeight="1">
      <c r="A912" t="inlineStr">
        <is>
          <t>A 26250-2023</t>
        </is>
      </c>
      <c r="B912" s="1" t="n">
        <v>45086</v>
      </c>
      <c r="C912" s="1" t="n">
        <v>45971</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45971</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59939-2023</t>
        </is>
      </c>
      <c r="B914" s="1" t="n">
        <v>45254</v>
      </c>
      <c r="C914" s="1" t="n">
        <v>45971</v>
      </c>
      <c r="D914" t="inlineStr">
        <is>
          <t>VÄSTERBOTTENS LÄN</t>
        </is>
      </c>
      <c r="E914" t="inlineStr">
        <is>
          <t>VINDELN</t>
        </is>
      </c>
      <c r="G914" t="n">
        <v>9.300000000000001</v>
      </c>
      <c r="H914" t="n">
        <v>0</v>
      </c>
      <c r="I914" t="n">
        <v>0</v>
      </c>
      <c r="J914" t="n">
        <v>1</v>
      </c>
      <c r="K914" t="n">
        <v>0</v>
      </c>
      <c r="L914" t="n">
        <v>0</v>
      </c>
      <c r="M914" t="n">
        <v>0</v>
      </c>
      <c r="N914" t="n">
        <v>0</v>
      </c>
      <c r="O914" t="n">
        <v>1</v>
      </c>
      <c r="P914" t="n">
        <v>0</v>
      </c>
      <c r="Q914" t="n">
        <v>1</v>
      </c>
      <c r="R914" s="2" t="inlineStr">
        <is>
          <t>Ullticka</t>
        </is>
      </c>
      <c r="S914">
        <f>HYPERLINK("https://klasma.github.io/Logging_2404/artfynd/A 59939-2023 artfynd.xlsx", "A 59939-2023")</f>
        <v/>
      </c>
      <c r="T914">
        <f>HYPERLINK("https://klasma.github.io/Logging_2404/kartor/A 59939-2023 karta.png", "A 59939-2023")</f>
        <v/>
      </c>
      <c r="V914">
        <f>HYPERLINK("https://klasma.github.io/Logging_2404/klagomål/A 59939-2023 FSC-klagomål.docx", "A 59939-2023")</f>
        <v/>
      </c>
      <c r="W914">
        <f>HYPERLINK("https://klasma.github.io/Logging_2404/klagomålsmail/A 59939-2023 FSC-klagomål mail.docx", "A 59939-2023")</f>
        <v/>
      </c>
      <c r="X914">
        <f>HYPERLINK("https://klasma.github.io/Logging_2404/tillsyn/A 59939-2023 tillsynsbegäran.docx", "A 59939-2023")</f>
        <v/>
      </c>
      <c r="Y914">
        <f>HYPERLINK("https://klasma.github.io/Logging_2404/tillsynsmail/A 59939-2023 tillsynsbegäran mail.docx", "A 59939-2023")</f>
        <v/>
      </c>
    </row>
    <row r="915" ht="15" customHeight="1">
      <c r="A915" t="inlineStr">
        <is>
          <t>A 39554-2023</t>
        </is>
      </c>
      <c r="B915" s="1" t="n">
        <v>45167</v>
      </c>
      <c r="C915" s="1" t="n">
        <v>45971</v>
      </c>
      <c r="D915" t="inlineStr">
        <is>
          <t>VÄSTERBOTTENS LÄN</t>
        </is>
      </c>
      <c r="E915" t="inlineStr">
        <is>
          <t>UMEÅ</t>
        </is>
      </c>
      <c r="F915" t="inlineStr">
        <is>
          <t>Holmen skog AB</t>
        </is>
      </c>
      <c r="G915" t="n">
        <v>3.5</v>
      </c>
      <c r="H915" t="n">
        <v>0</v>
      </c>
      <c r="I915" t="n">
        <v>0</v>
      </c>
      <c r="J915" t="n">
        <v>1</v>
      </c>
      <c r="K915" t="n">
        <v>0</v>
      </c>
      <c r="L915" t="n">
        <v>0</v>
      </c>
      <c r="M915" t="n">
        <v>0</v>
      </c>
      <c r="N915" t="n">
        <v>0</v>
      </c>
      <c r="O915" t="n">
        <v>1</v>
      </c>
      <c r="P915" t="n">
        <v>0</v>
      </c>
      <c r="Q915" t="n">
        <v>1</v>
      </c>
      <c r="R915" s="2" t="inlineStr">
        <is>
          <t>Blanksvart spiklav</t>
        </is>
      </c>
      <c r="S915">
        <f>HYPERLINK("https://klasma.github.io/Logging_2480/artfynd/A 39554-2023 artfynd.xlsx", "A 39554-2023")</f>
        <v/>
      </c>
      <c r="T915">
        <f>HYPERLINK("https://klasma.github.io/Logging_2480/kartor/A 39554-2023 karta.png", "A 39554-2023")</f>
        <v/>
      </c>
      <c r="V915">
        <f>HYPERLINK("https://klasma.github.io/Logging_2480/klagomål/A 39554-2023 FSC-klagomål.docx", "A 39554-2023")</f>
        <v/>
      </c>
      <c r="W915">
        <f>HYPERLINK("https://klasma.github.io/Logging_2480/klagomålsmail/A 39554-2023 FSC-klagomål mail.docx", "A 39554-2023")</f>
        <v/>
      </c>
      <c r="X915">
        <f>HYPERLINK("https://klasma.github.io/Logging_2480/tillsyn/A 39554-2023 tillsynsbegäran.docx", "A 39554-2023")</f>
        <v/>
      </c>
      <c r="Y915">
        <f>HYPERLINK("https://klasma.github.io/Logging_2480/tillsynsmail/A 39554-2023 tillsynsbegäran mail.docx", "A 39554-2023")</f>
        <v/>
      </c>
    </row>
    <row r="916" ht="15" customHeight="1">
      <c r="A916" t="inlineStr">
        <is>
          <t>A 43459-2024</t>
        </is>
      </c>
      <c r="B916" s="1" t="n">
        <v>45568</v>
      </c>
      <c r="C916" s="1" t="n">
        <v>45971</v>
      </c>
      <c r="D916" t="inlineStr">
        <is>
          <t>VÄSTERBOTTENS LÄN</t>
        </is>
      </c>
      <c r="E916" t="inlineStr">
        <is>
          <t>ÅSELE</t>
        </is>
      </c>
      <c r="F916" t="inlineStr">
        <is>
          <t>SCA</t>
        </is>
      </c>
      <c r="G916" t="n">
        <v>7.9</v>
      </c>
      <c r="H916" t="n">
        <v>0</v>
      </c>
      <c r="I916" t="n">
        <v>0</v>
      </c>
      <c r="J916" t="n">
        <v>1</v>
      </c>
      <c r="K916" t="n">
        <v>0</v>
      </c>
      <c r="L916" t="n">
        <v>0</v>
      </c>
      <c r="M916" t="n">
        <v>0</v>
      </c>
      <c r="N916" t="n">
        <v>0</v>
      </c>
      <c r="O916" t="n">
        <v>1</v>
      </c>
      <c r="P916" t="n">
        <v>0</v>
      </c>
      <c r="Q916" t="n">
        <v>1</v>
      </c>
      <c r="R916" s="2" t="inlineStr">
        <is>
          <t>Gammelgransskål</t>
        </is>
      </c>
      <c r="S916">
        <f>HYPERLINK("https://klasma.github.io/Logging_2463/artfynd/A 43459-2024 artfynd.xlsx", "A 43459-2024")</f>
        <v/>
      </c>
      <c r="T916">
        <f>HYPERLINK("https://klasma.github.io/Logging_2463/kartor/A 43459-2024 karta.png", "A 43459-2024")</f>
        <v/>
      </c>
      <c r="V916">
        <f>HYPERLINK("https://klasma.github.io/Logging_2463/klagomål/A 43459-2024 FSC-klagomål.docx", "A 43459-2024")</f>
        <v/>
      </c>
      <c r="W916">
        <f>HYPERLINK("https://klasma.github.io/Logging_2463/klagomålsmail/A 43459-2024 FSC-klagomål mail.docx", "A 43459-2024")</f>
        <v/>
      </c>
      <c r="X916">
        <f>HYPERLINK("https://klasma.github.io/Logging_2463/tillsyn/A 43459-2024 tillsynsbegäran.docx", "A 43459-2024")</f>
        <v/>
      </c>
      <c r="Y916">
        <f>HYPERLINK("https://klasma.github.io/Logging_2463/tillsynsmail/A 43459-2024 tillsynsbegäran mail.docx", "A 43459-2024")</f>
        <v/>
      </c>
    </row>
    <row r="917" ht="15" customHeight="1">
      <c r="A917" t="inlineStr">
        <is>
          <t>A 26897-2023</t>
        </is>
      </c>
      <c r="B917" s="1" t="n">
        <v>45093.60384259259</v>
      </c>
      <c r="C917" s="1" t="n">
        <v>45971</v>
      </c>
      <c r="D917" t="inlineStr">
        <is>
          <t>VÄSTERBOTTENS LÄN</t>
        </is>
      </c>
      <c r="E917" t="inlineStr">
        <is>
          <t>ÅSELE</t>
        </is>
      </c>
      <c r="F917" t="inlineStr">
        <is>
          <t>Sveaskog</t>
        </is>
      </c>
      <c r="G917" t="n">
        <v>15</v>
      </c>
      <c r="H917" t="n">
        <v>1</v>
      </c>
      <c r="I917" t="n">
        <v>0</v>
      </c>
      <c r="J917" t="n">
        <v>1</v>
      </c>
      <c r="K917" t="n">
        <v>0</v>
      </c>
      <c r="L917" t="n">
        <v>0</v>
      </c>
      <c r="M917" t="n">
        <v>0</v>
      </c>
      <c r="N917" t="n">
        <v>0</v>
      </c>
      <c r="O917" t="n">
        <v>1</v>
      </c>
      <c r="P917" t="n">
        <v>0</v>
      </c>
      <c r="Q917" t="n">
        <v>1</v>
      </c>
      <c r="R917" s="2" t="inlineStr">
        <is>
          <t>Talltita</t>
        </is>
      </c>
      <c r="S917">
        <f>HYPERLINK("https://klasma.github.io/Logging_2463/artfynd/A 26897-2023 artfynd.xlsx", "A 26897-2023")</f>
        <v/>
      </c>
      <c r="T917">
        <f>HYPERLINK("https://klasma.github.io/Logging_2463/kartor/A 26897-2023 karta.png", "A 26897-2023")</f>
        <v/>
      </c>
      <c r="V917">
        <f>HYPERLINK("https://klasma.github.io/Logging_2463/klagomål/A 26897-2023 FSC-klagomål.docx", "A 26897-2023")</f>
        <v/>
      </c>
      <c r="W917">
        <f>HYPERLINK("https://klasma.github.io/Logging_2463/klagomålsmail/A 26897-2023 FSC-klagomål mail.docx", "A 26897-2023")</f>
        <v/>
      </c>
      <c r="X917">
        <f>HYPERLINK("https://klasma.github.io/Logging_2463/tillsyn/A 26897-2023 tillsynsbegäran.docx", "A 26897-2023")</f>
        <v/>
      </c>
      <c r="Y917">
        <f>HYPERLINK("https://klasma.github.io/Logging_2463/tillsynsmail/A 26897-2023 tillsynsbegäran mail.docx", "A 26897-2023")</f>
        <v/>
      </c>
      <c r="Z917">
        <f>HYPERLINK("https://klasma.github.io/Logging_2463/fåglar/A 26897-2023 prioriterade fågelarter.docx", "A 26897-2023")</f>
        <v/>
      </c>
    </row>
    <row r="918" ht="15" customHeight="1">
      <c r="A918" t="inlineStr">
        <is>
          <t>A 57618-2022</t>
        </is>
      </c>
      <c r="B918" s="1" t="n">
        <v>44897</v>
      </c>
      <c r="C918" s="1" t="n">
        <v>45971</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23232-2022</t>
        </is>
      </c>
      <c r="B919" s="1" t="n">
        <v>44719</v>
      </c>
      <c r="C919" s="1" t="n">
        <v>45971</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44443-2024</t>
        </is>
      </c>
      <c r="B920" s="1" t="n">
        <v>45574</v>
      </c>
      <c r="C920" s="1" t="n">
        <v>45971</v>
      </c>
      <c r="D920" t="inlineStr">
        <is>
          <t>VÄSTERBOTTENS LÄN</t>
        </is>
      </c>
      <c r="E920" t="inlineStr">
        <is>
          <t>NORDMALING</t>
        </is>
      </c>
      <c r="F920" t="inlineStr">
        <is>
          <t>SCA</t>
        </is>
      </c>
      <c r="G920" t="n">
        <v>1.5</v>
      </c>
      <c r="H920" t="n">
        <v>0</v>
      </c>
      <c r="I920" t="n">
        <v>0</v>
      </c>
      <c r="J920" t="n">
        <v>1</v>
      </c>
      <c r="K920" t="n">
        <v>0</v>
      </c>
      <c r="L920" t="n">
        <v>0</v>
      </c>
      <c r="M920" t="n">
        <v>0</v>
      </c>
      <c r="N920" t="n">
        <v>0</v>
      </c>
      <c r="O920" t="n">
        <v>1</v>
      </c>
      <c r="P920" t="n">
        <v>0</v>
      </c>
      <c r="Q920" t="n">
        <v>1</v>
      </c>
      <c r="R920" s="2" t="inlineStr">
        <is>
          <t>Gammelgransskål</t>
        </is>
      </c>
      <c r="S920">
        <f>HYPERLINK("https://klasma.github.io/Logging_2401/artfynd/A 44443-2024 artfynd.xlsx", "A 44443-2024")</f>
        <v/>
      </c>
      <c r="T920">
        <f>HYPERLINK("https://klasma.github.io/Logging_2401/kartor/A 44443-2024 karta.png", "A 44443-2024")</f>
        <v/>
      </c>
      <c r="V920">
        <f>HYPERLINK("https://klasma.github.io/Logging_2401/klagomål/A 44443-2024 FSC-klagomål.docx", "A 44443-2024")</f>
        <v/>
      </c>
      <c r="W920">
        <f>HYPERLINK("https://klasma.github.io/Logging_2401/klagomålsmail/A 44443-2024 FSC-klagomål mail.docx", "A 44443-2024")</f>
        <v/>
      </c>
      <c r="X920">
        <f>HYPERLINK("https://klasma.github.io/Logging_2401/tillsyn/A 44443-2024 tillsynsbegäran.docx", "A 44443-2024")</f>
        <v/>
      </c>
      <c r="Y920">
        <f>HYPERLINK("https://klasma.github.io/Logging_2401/tillsynsmail/A 44443-2024 tillsynsbegäran mail.docx", "A 44443-2024")</f>
        <v/>
      </c>
    </row>
    <row r="921" ht="15" customHeight="1">
      <c r="A921" t="inlineStr">
        <is>
          <t>A 42489-2024</t>
        </is>
      </c>
      <c r="B921" s="1" t="n">
        <v>45565</v>
      </c>
      <c r="C921" s="1" t="n">
        <v>45971</v>
      </c>
      <c r="D921" t="inlineStr">
        <is>
          <t>VÄSTERBOTTENS LÄN</t>
        </is>
      </c>
      <c r="E921" t="inlineStr">
        <is>
          <t>VILHELMINA</t>
        </is>
      </c>
      <c r="F921" t="inlineStr">
        <is>
          <t>SCA</t>
        </is>
      </c>
      <c r="G921" t="n">
        <v>1.9</v>
      </c>
      <c r="H921" t="n">
        <v>0</v>
      </c>
      <c r="I921" t="n">
        <v>0</v>
      </c>
      <c r="J921" t="n">
        <v>1</v>
      </c>
      <c r="K921" t="n">
        <v>0</v>
      </c>
      <c r="L921" t="n">
        <v>0</v>
      </c>
      <c r="M921" t="n">
        <v>0</v>
      </c>
      <c r="N921" t="n">
        <v>0</v>
      </c>
      <c r="O921" t="n">
        <v>1</v>
      </c>
      <c r="P921" t="n">
        <v>0</v>
      </c>
      <c r="Q921" t="n">
        <v>1</v>
      </c>
      <c r="R921" s="2" t="inlineStr">
        <is>
          <t>Granticka</t>
        </is>
      </c>
      <c r="S921">
        <f>HYPERLINK("https://klasma.github.io/Logging_2462/artfynd/A 42489-2024 artfynd.xlsx", "A 42489-2024")</f>
        <v/>
      </c>
      <c r="T921">
        <f>HYPERLINK("https://klasma.github.io/Logging_2462/kartor/A 42489-2024 karta.png", "A 42489-2024")</f>
        <v/>
      </c>
      <c r="V921">
        <f>HYPERLINK("https://klasma.github.io/Logging_2462/klagomål/A 42489-2024 FSC-klagomål.docx", "A 42489-2024")</f>
        <v/>
      </c>
      <c r="W921">
        <f>HYPERLINK("https://klasma.github.io/Logging_2462/klagomålsmail/A 42489-2024 FSC-klagomål mail.docx", "A 42489-2024")</f>
        <v/>
      </c>
      <c r="X921">
        <f>HYPERLINK("https://klasma.github.io/Logging_2462/tillsyn/A 42489-2024 tillsynsbegäran.docx", "A 42489-2024")</f>
        <v/>
      </c>
      <c r="Y921">
        <f>HYPERLINK("https://klasma.github.io/Logging_2462/tillsynsmail/A 42489-2024 tillsynsbegäran mail.docx", "A 42489-2024")</f>
        <v/>
      </c>
    </row>
    <row r="922" ht="15" customHeight="1">
      <c r="A922" t="inlineStr">
        <is>
          <t>A 8729-2025</t>
        </is>
      </c>
      <c r="B922" s="1" t="n">
        <v>45712.53144675926</v>
      </c>
      <c r="C922" s="1" t="n">
        <v>45971</v>
      </c>
      <c r="D922" t="inlineStr">
        <is>
          <t>VÄSTERBOTTENS LÄN</t>
        </is>
      </c>
      <c r="E922" t="inlineStr">
        <is>
          <t>SKELLEFTEÅ</t>
        </is>
      </c>
      <c r="G922" t="n">
        <v>12.2</v>
      </c>
      <c r="H922" t="n">
        <v>0</v>
      </c>
      <c r="I922" t="n">
        <v>0</v>
      </c>
      <c r="J922" t="n">
        <v>1</v>
      </c>
      <c r="K922" t="n">
        <v>0</v>
      </c>
      <c r="L922" t="n">
        <v>0</v>
      </c>
      <c r="M922" t="n">
        <v>0</v>
      </c>
      <c r="N922" t="n">
        <v>0</v>
      </c>
      <c r="O922" t="n">
        <v>1</v>
      </c>
      <c r="P922" t="n">
        <v>0</v>
      </c>
      <c r="Q922" t="n">
        <v>1</v>
      </c>
      <c r="R922" s="2" t="inlineStr">
        <is>
          <t>Granticka</t>
        </is>
      </c>
      <c r="S922">
        <f>HYPERLINK("https://klasma.github.io/Logging_2482/artfynd/A 8729-2025 artfynd.xlsx", "A 8729-2025")</f>
        <v/>
      </c>
      <c r="T922">
        <f>HYPERLINK("https://klasma.github.io/Logging_2482/kartor/A 8729-2025 karta.png", "A 8729-2025")</f>
        <v/>
      </c>
      <c r="V922">
        <f>HYPERLINK("https://klasma.github.io/Logging_2482/klagomål/A 8729-2025 FSC-klagomål.docx", "A 8729-2025")</f>
        <v/>
      </c>
      <c r="W922">
        <f>HYPERLINK("https://klasma.github.io/Logging_2482/klagomålsmail/A 8729-2025 FSC-klagomål mail.docx", "A 8729-2025")</f>
        <v/>
      </c>
      <c r="X922">
        <f>HYPERLINK("https://klasma.github.io/Logging_2482/tillsyn/A 8729-2025 tillsynsbegäran.docx", "A 8729-2025")</f>
        <v/>
      </c>
      <c r="Y922">
        <f>HYPERLINK("https://klasma.github.io/Logging_2482/tillsynsmail/A 8729-2025 tillsynsbegäran mail.docx", "A 8729-2025")</f>
        <v/>
      </c>
    </row>
    <row r="923" ht="15" customHeight="1">
      <c r="A923" t="inlineStr">
        <is>
          <t>A 48594-2025</t>
        </is>
      </c>
      <c r="B923" s="1" t="n">
        <v>45936.46305555556</v>
      </c>
      <c r="C923" s="1" t="n">
        <v>45971</v>
      </c>
      <c r="D923" t="inlineStr">
        <is>
          <t>VÄSTERBOTTENS LÄN</t>
        </is>
      </c>
      <c r="E923" t="inlineStr">
        <is>
          <t>ÅSELE</t>
        </is>
      </c>
      <c r="F923" t="inlineStr">
        <is>
          <t>Kommuner</t>
        </is>
      </c>
      <c r="G923" t="n">
        <v>13.3</v>
      </c>
      <c r="H923" t="n">
        <v>0</v>
      </c>
      <c r="I923" t="n">
        <v>0</v>
      </c>
      <c r="J923" t="n">
        <v>1</v>
      </c>
      <c r="K923" t="n">
        <v>0</v>
      </c>
      <c r="L923" t="n">
        <v>0</v>
      </c>
      <c r="M923" t="n">
        <v>0</v>
      </c>
      <c r="N923" t="n">
        <v>0</v>
      </c>
      <c r="O923" t="n">
        <v>1</v>
      </c>
      <c r="P923" t="n">
        <v>0</v>
      </c>
      <c r="Q923" t="n">
        <v>1</v>
      </c>
      <c r="R923" s="2" t="inlineStr">
        <is>
          <t>Igelkott</t>
        </is>
      </c>
      <c r="S923">
        <f>HYPERLINK("https://klasma.github.io/Logging_2463/artfynd/A 48594-2025 artfynd.xlsx", "A 48594-2025")</f>
        <v/>
      </c>
      <c r="T923">
        <f>HYPERLINK("https://klasma.github.io/Logging_2463/kartor/A 48594-2025 karta.png", "A 48594-2025")</f>
        <v/>
      </c>
      <c r="V923">
        <f>HYPERLINK("https://klasma.github.io/Logging_2463/klagomål/A 48594-2025 FSC-klagomål.docx", "A 48594-2025")</f>
        <v/>
      </c>
      <c r="W923">
        <f>HYPERLINK("https://klasma.github.io/Logging_2463/klagomålsmail/A 48594-2025 FSC-klagomål mail.docx", "A 48594-2025")</f>
        <v/>
      </c>
      <c r="X923">
        <f>HYPERLINK("https://klasma.github.io/Logging_2463/tillsyn/A 48594-2025 tillsynsbegäran.docx", "A 48594-2025")</f>
        <v/>
      </c>
      <c r="Y923">
        <f>HYPERLINK("https://klasma.github.io/Logging_2463/tillsynsmail/A 48594-2025 tillsynsbegäran mail.docx", "A 48594-2025")</f>
        <v/>
      </c>
    </row>
    <row r="924" ht="15" customHeight="1">
      <c r="A924" t="inlineStr">
        <is>
          <t>A 11832-2023</t>
        </is>
      </c>
      <c r="B924" s="1" t="n">
        <v>44994</v>
      </c>
      <c r="C924" s="1" t="n">
        <v>45971</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49000-2025</t>
        </is>
      </c>
      <c r="B925" s="1" t="n">
        <v>45937.5946412037</v>
      </c>
      <c r="C925" s="1" t="n">
        <v>45971</v>
      </c>
      <c r="D925" t="inlineStr">
        <is>
          <t>VÄSTERBOTTENS LÄN</t>
        </is>
      </c>
      <c r="E925" t="inlineStr">
        <is>
          <t>UMEÅ</t>
        </is>
      </c>
      <c r="G925" t="n">
        <v>12.2</v>
      </c>
      <c r="H925" t="n">
        <v>1</v>
      </c>
      <c r="I925" t="n">
        <v>0</v>
      </c>
      <c r="J925" t="n">
        <v>0</v>
      </c>
      <c r="K925" t="n">
        <v>0</v>
      </c>
      <c r="L925" t="n">
        <v>0</v>
      </c>
      <c r="M925" t="n">
        <v>0</v>
      </c>
      <c r="N925" t="n">
        <v>0</v>
      </c>
      <c r="O925" t="n">
        <v>0</v>
      </c>
      <c r="P925" t="n">
        <v>0</v>
      </c>
      <c r="Q925" t="n">
        <v>1</v>
      </c>
      <c r="R925" s="2" t="inlineStr">
        <is>
          <t>Tjäder</t>
        </is>
      </c>
      <c r="S925">
        <f>HYPERLINK("https://klasma.github.io/Logging_2480/artfynd/A 49000-2025 artfynd.xlsx", "A 49000-2025")</f>
        <v/>
      </c>
      <c r="T925">
        <f>HYPERLINK("https://klasma.github.io/Logging_2480/kartor/A 49000-2025 karta.png", "A 49000-2025")</f>
        <v/>
      </c>
      <c r="V925">
        <f>HYPERLINK("https://klasma.github.io/Logging_2480/klagomål/A 49000-2025 FSC-klagomål.docx", "A 49000-2025")</f>
        <v/>
      </c>
      <c r="W925">
        <f>HYPERLINK("https://klasma.github.io/Logging_2480/klagomålsmail/A 49000-2025 FSC-klagomål mail.docx", "A 49000-2025")</f>
        <v/>
      </c>
      <c r="X925">
        <f>HYPERLINK("https://klasma.github.io/Logging_2480/tillsyn/A 49000-2025 tillsynsbegäran.docx", "A 49000-2025")</f>
        <v/>
      </c>
      <c r="Y925">
        <f>HYPERLINK("https://klasma.github.io/Logging_2480/tillsynsmail/A 49000-2025 tillsynsbegäran mail.docx", "A 49000-2025")</f>
        <v/>
      </c>
      <c r="Z925">
        <f>HYPERLINK("https://klasma.github.io/Logging_2480/fåglar/A 49000-2025 prioriterade fågelarter.docx", "A 49000-2025")</f>
        <v/>
      </c>
    </row>
    <row r="926" ht="15" customHeight="1">
      <c r="A926" t="inlineStr">
        <is>
          <t>A 49040-2025</t>
        </is>
      </c>
      <c r="B926" s="1" t="n">
        <v>45937.63402777778</v>
      </c>
      <c r="C926" s="1" t="n">
        <v>45971</v>
      </c>
      <c r="D926" t="inlineStr">
        <is>
          <t>VÄSTERBOTTENS LÄN</t>
        </is>
      </c>
      <c r="E926" t="inlineStr">
        <is>
          <t>MALÅ</t>
        </is>
      </c>
      <c r="F926" t="inlineStr">
        <is>
          <t>Sveaskog</t>
        </is>
      </c>
      <c r="G926" t="n">
        <v>5.5</v>
      </c>
      <c r="H926" t="n">
        <v>0</v>
      </c>
      <c r="I926" t="n">
        <v>0</v>
      </c>
      <c r="J926" t="n">
        <v>1</v>
      </c>
      <c r="K926" t="n">
        <v>0</v>
      </c>
      <c r="L926" t="n">
        <v>0</v>
      </c>
      <c r="M926" t="n">
        <v>0</v>
      </c>
      <c r="N926" t="n">
        <v>0</v>
      </c>
      <c r="O926" t="n">
        <v>1</v>
      </c>
      <c r="P926" t="n">
        <v>0</v>
      </c>
      <c r="Q926" t="n">
        <v>1</v>
      </c>
      <c r="R926" s="2" t="inlineStr">
        <is>
          <t>Orange taggsvamp</t>
        </is>
      </c>
      <c r="S926">
        <f>HYPERLINK("https://klasma.github.io/Logging_2418/artfynd/A 49040-2025 artfynd.xlsx", "A 49040-2025")</f>
        <v/>
      </c>
      <c r="T926">
        <f>HYPERLINK("https://klasma.github.io/Logging_2418/kartor/A 49040-2025 karta.png", "A 49040-2025")</f>
        <v/>
      </c>
      <c r="V926">
        <f>HYPERLINK("https://klasma.github.io/Logging_2418/klagomål/A 49040-2025 FSC-klagomål.docx", "A 49040-2025")</f>
        <v/>
      </c>
      <c r="W926">
        <f>HYPERLINK("https://klasma.github.io/Logging_2418/klagomålsmail/A 49040-2025 FSC-klagomål mail.docx", "A 49040-2025")</f>
        <v/>
      </c>
      <c r="X926">
        <f>HYPERLINK("https://klasma.github.io/Logging_2418/tillsyn/A 49040-2025 tillsynsbegäran.docx", "A 49040-2025")</f>
        <v/>
      </c>
      <c r="Y926">
        <f>HYPERLINK("https://klasma.github.io/Logging_2418/tillsynsmail/A 49040-2025 tillsynsbegäran mail.docx", "A 49040-2025")</f>
        <v/>
      </c>
    </row>
    <row r="927" ht="15" customHeight="1">
      <c r="A927" t="inlineStr">
        <is>
          <t>A 49050-2025</t>
        </is>
      </c>
      <c r="B927" s="1" t="n">
        <v>45937.63756944444</v>
      </c>
      <c r="C927" s="1" t="n">
        <v>45971</v>
      </c>
      <c r="D927" t="inlineStr">
        <is>
          <t>VÄSTERBOTTENS LÄN</t>
        </is>
      </c>
      <c r="E927" t="inlineStr">
        <is>
          <t>ÅSELE</t>
        </is>
      </c>
      <c r="F927" t="inlineStr">
        <is>
          <t>SCA</t>
        </is>
      </c>
      <c r="G927" t="n">
        <v>9.300000000000001</v>
      </c>
      <c r="H927" t="n">
        <v>1</v>
      </c>
      <c r="I927" t="n">
        <v>0</v>
      </c>
      <c r="J927" t="n">
        <v>0</v>
      </c>
      <c r="K927" t="n">
        <v>0</v>
      </c>
      <c r="L927" t="n">
        <v>0</v>
      </c>
      <c r="M927" t="n">
        <v>0</v>
      </c>
      <c r="N927" t="n">
        <v>0</v>
      </c>
      <c r="O927" t="n">
        <v>0</v>
      </c>
      <c r="P927" t="n">
        <v>0</v>
      </c>
      <c r="Q927" t="n">
        <v>1</v>
      </c>
      <c r="R927" s="2" t="inlineStr">
        <is>
          <t>Orre</t>
        </is>
      </c>
      <c r="S927">
        <f>HYPERLINK("https://klasma.github.io/Logging_2463/artfynd/A 49050-2025 artfynd.xlsx", "A 49050-2025")</f>
        <v/>
      </c>
      <c r="T927">
        <f>HYPERLINK("https://klasma.github.io/Logging_2463/kartor/A 49050-2025 karta.png", "A 49050-2025")</f>
        <v/>
      </c>
      <c r="V927">
        <f>HYPERLINK("https://klasma.github.io/Logging_2463/klagomål/A 49050-2025 FSC-klagomål.docx", "A 49050-2025")</f>
        <v/>
      </c>
      <c r="W927">
        <f>HYPERLINK("https://klasma.github.io/Logging_2463/klagomålsmail/A 49050-2025 FSC-klagomål mail.docx", "A 49050-2025")</f>
        <v/>
      </c>
      <c r="X927">
        <f>HYPERLINK("https://klasma.github.io/Logging_2463/tillsyn/A 49050-2025 tillsynsbegäran.docx", "A 49050-2025")</f>
        <v/>
      </c>
      <c r="Y927">
        <f>HYPERLINK("https://klasma.github.io/Logging_2463/tillsynsmail/A 49050-2025 tillsynsbegäran mail.docx", "A 49050-2025")</f>
        <v/>
      </c>
      <c r="Z927">
        <f>HYPERLINK("https://klasma.github.io/Logging_2463/fåglar/A 49050-2025 prioriterade fågelarter.docx", "A 49050-2025")</f>
        <v/>
      </c>
    </row>
    <row r="928" ht="15" customHeight="1">
      <c r="A928" t="inlineStr">
        <is>
          <t>A 18703-2024</t>
        </is>
      </c>
      <c r="B928" s="1" t="n">
        <v>45426</v>
      </c>
      <c r="C928" s="1" t="n">
        <v>45971</v>
      </c>
      <c r="D928" t="inlineStr">
        <is>
          <t>VÄSTERBOTTENS LÄN</t>
        </is>
      </c>
      <c r="E928" t="inlineStr">
        <is>
          <t>UMEÅ</t>
        </is>
      </c>
      <c r="F928" t="inlineStr">
        <is>
          <t>Holmen skog AB</t>
        </is>
      </c>
      <c r="G928" t="n">
        <v>2</v>
      </c>
      <c r="H928" t="n">
        <v>1</v>
      </c>
      <c r="I928" t="n">
        <v>0</v>
      </c>
      <c r="J928" t="n">
        <v>1</v>
      </c>
      <c r="K928" t="n">
        <v>0</v>
      </c>
      <c r="L928" t="n">
        <v>0</v>
      </c>
      <c r="M928" t="n">
        <v>0</v>
      </c>
      <c r="N928" t="n">
        <v>0</v>
      </c>
      <c r="O928" t="n">
        <v>1</v>
      </c>
      <c r="P928" t="n">
        <v>0</v>
      </c>
      <c r="Q928" t="n">
        <v>1</v>
      </c>
      <c r="R928" s="2" t="inlineStr">
        <is>
          <t>Spillkråka</t>
        </is>
      </c>
      <c r="S928">
        <f>HYPERLINK("https://klasma.github.io/Logging_2480/artfynd/A 18703-2024 artfynd.xlsx", "A 18703-2024")</f>
        <v/>
      </c>
      <c r="T928">
        <f>HYPERLINK("https://klasma.github.io/Logging_2480/kartor/A 18703-2024 karta.png", "A 18703-2024")</f>
        <v/>
      </c>
      <c r="V928">
        <f>HYPERLINK("https://klasma.github.io/Logging_2480/klagomål/A 18703-2024 FSC-klagomål.docx", "A 18703-2024")</f>
        <v/>
      </c>
      <c r="W928">
        <f>HYPERLINK("https://klasma.github.io/Logging_2480/klagomålsmail/A 18703-2024 FSC-klagomål mail.docx", "A 18703-2024")</f>
        <v/>
      </c>
      <c r="X928">
        <f>HYPERLINK("https://klasma.github.io/Logging_2480/tillsyn/A 18703-2024 tillsynsbegäran.docx", "A 18703-2024")</f>
        <v/>
      </c>
      <c r="Y928">
        <f>HYPERLINK("https://klasma.github.io/Logging_2480/tillsynsmail/A 18703-2024 tillsynsbegäran mail.docx", "A 18703-2024")</f>
        <v/>
      </c>
      <c r="Z928">
        <f>HYPERLINK("https://klasma.github.io/Logging_2480/fåglar/A 18703-2024 prioriterade fågelarter.docx", "A 18703-2024")</f>
        <v/>
      </c>
    </row>
    <row r="929" ht="15" customHeight="1">
      <c r="A929" t="inlineStr">
        <is>
          <t>A 49256-2025</t>
        </is>
      </c>
      <c r="B929" s="1" t="n">
        <v>45938.49196759259</v>
      </c>
      <c r="C929" s="1" t="n">
        <v>45971</v>
      </c>
      <c r="D929" t="inlineStr">
        <is>
          <t>VÄSTERBOTTENS LÄN</t>
        </is>
      </c>
      <c r="E929" t="inlineStr">
        <is>
          <t>DOROTEA</t>
        </is>
      </c>
      <c r="F929" t="inlineStr">
        <is>
          <t>SCA</t>
        </is>
      </c>
      <c r="G929" t="n">
        <v>15.7</v>
      </c>
      <c r="H929" t="n">
        <v>0</v>
      </c>
      <c r="I929" t="n">
        <v>1</v>
      </c>
      <c r="J929" t="n">
        <v>0</v>
      </c>
      <c r="K929" t="n">
        <v>0</v>
      </c>
      <c r="L929" t="n">
        <v>0</v>
      </c>
      <c r="M929" t="n">
        <v>0</v>
      </c>
      <c r="N929" t="n">
        <v>0</v>
      </c>
      <c r="O929" t="n">
        <v>0</v>
      </c>
      <c r="P929" t="n">
        <v>0</v>
      </c>
      <c r="Q929" t="n">
        <v>1</v>
      </c>
      <c r="R929" s="2" t="inlineStr">
        <is>
          <t>Skinnlav</t>
        </is>
      </c>
      <c r="S929">
        <f>HYPERLINK("https://klasma.github.io/Logging_2425/artfynd/A 49256-2025 artfynd.xlsx", "A 49256-2025")</f>
        <v/>
      </c>
      <c r="T929">
        <f>HYPERLINK("https://klasma.github.io/Logging_2425/kartor/A 49256-2025 karta.png", "A 49256-2025")</f>
        <v/>
      </c>
      <c r="V929">
        <f>HYPERLINK("https://klasma.github.io/Logging_2425/klagomål/A 49256-2025 FSC-klagomål.docx", "A 49256-2025")</f>
        <v/>
      </c>
      <c r="W929">
        <f>HYPERLINK("https://klasma.github.io/Logging_2425/klagomålsmail/A 49256-2025 FSC-klagomål mail.docx", "A 49256-2025")</f>
        <v/>
      </c>
      <c r="X929">
        <f>HYPERLINK("https://klasma.github.io/Logging_2425/tillsyn/A 49256-2025 tillsynsbegäran.docx", "A 49256-2025")</f>
        <v/>
      </c>
      <c r="Y929">
        <f>HYPERLINK("https://klasma.github.io/Logging_2425/tillsynsmail/A 49256-2025 tillsynsbegäran mail.docx", "A 49256-2025")</f>
        <v/>
      </c>
    </row>
    <row r="930" ht="15" customHeight="1">
      <c r="A930" t="inlineStr">
        <is>
          <t>A 219-2025</t>
        </is>
      </c>
      <c r="B930" s="1" t="n">
        <v>45660.34533564815</v>
      </c>
      <c r="C930" s="1" t="n">
        <v>45971</v>
      </c>
      <c r="D930" t="inlineStr">
        <is>
          <t>VÄSTERBOTTENS LÄN</t>
        </is>
      </c>
      <c r="E930" t="inlineStr">
        <is>
          <t>LYCKSELE</t>
        </is>
      </c>
      <c r="F930" t="inlineStr">
        <is>
          <t>Sveaskog</t>
        </is>
      </c>
      <c r="G930" t="n">
        <v>2</v>
      </c>
      <c r="H930" t="n">
        <v>0</v>
      </c>
      <c r="I930" t="n">
        <v>1</v>
      </c>
      <c r="J930" t="n">
        <v>0</v>
      </c>
      <c r="K930" t="n">
        <v>0</v>
      </c>
      <c r="L930" t="n">
        <v>0</v>
      </c>
      <c r="M930" t="n">
        <v>0</v>
      </c>
      <c r="N930" t="n">
        <v>0</v>
      </c>
      <c r="O930" t="n">
        <v>0</v>
      </c>
      <c r="P930" t="n">
        <v>0</v>
      </c>
      <c r="Q930" t="n">
        <v>1</v>
      </c>
      <c r="R930" s="2" t="inlineStr">
        <is>
          <t>Dropptaggsvamp</t>
        </is>
      </c>
      <c r="S930">
        <f>HYPERLINK("https://klasma.github.io/Logging_2481/artfynd/A 219-2025 artfynd.xlsx", "A 219-2025")</f>
        <v/>
      </c>
      <c r="T930">
        <f>HYPERLINK("https://klasma.github.io/Logging_2481/kartor/A 219-2025 karta.png", "A 219-2025")</f>
        <v/>
      </c>
      <c r="V930">
        <f>HYPERLINK("https://klasma.github.io/Logging_2481/klagomål/A 219-2025 FSC-klagomål.docx", "A 219-2025")</f>
        <v/>
      </c>
      <c r="W930">
        <f>HYPERLINK("https://klasma.github.io/Logging_2481/klagomålsmail/A 219-2025 FSC-klagomål mail.docx", "A 219-2025")</f>
        <v/>
      </c>
      <c r="X930">
        <f>HYPERLINK("https://klasma.github.io/Logging_2481/tillsyn/A 219-2025 tillsynsbegäran.docx", "A 219-2025")</f>
        <v/>
      </c>
      <c r="Y930">
        <f>HYPERLINK("https://klasma.github.io/Logging_2481/tillsynsmail/A 219-2025 tillsynsbegäran mail.docx", "A 219-2025")</f>
        <v/>
      </c>
    </row>
    <row r="931" ht="15" customHeight="1">
      <c r="A931" t="inlineStr">
        <is>
          <t>A 48895-2025</t>
        </is>
      </c>
      <c r="B931" s="1" t="n">
        <v>45937.47490740741</v>
      </c>
      <c r="C931" s="1" t="n">
        <v>45971</v>
      </c>
      <c r="D931" t="inlineStr">
        <is>
          <t>VÄSTERBOTTENS LÄN</t>
        </is>
      </c>
      <c r="E931" t="inlineStr">
        <is>
          <t>MALÅ</t>
        </is>
      </c>
      <c r="F931" t="inlineStr">
        <is>
          <t>Sveaskog</t>
        </is>
      </c>
      <c r="G931" t="n">
        <v>11.7</v>
      </c>
      <c r="H931" t="n">
        <v>0</v>
      </c>
      <c r="I931" t="n">
        <v>0</v>
      </c>
      <c r="J931" t="n">
        <v>1</v>
      </c>
      <c r="K931" t="n">
        <v>0</v>
      </c>
      <c r="L931" t="n">
        <v>0</v>
      </c>
      <c r="M931" t="n">
        <v>0</v>
      </c>
      <c r="N931" t="n">
        <v>0</v>
      </c>
      <c r="O931" t="n">
        <v>1</v>
      </c>
      <c r="P931" t="n">
        <v>0</v>
      </c>
      <c r="Q931" t="n">
        <v>1</v>
      </c>
      <c r="R931" s="2" t="inlineStr">
        <is>
          <t>Tallticka</t>
        </is>
      </c>
      <c r="S931">
        <f>HYPERLINK("https://klasma.github.io/Logging_2418/artfynd/A 48895-2025 artfynd.xlsx", "A 48895-2025")</f>
        <v/>
      </c>
      <c r="T931">
        <f>HYPERLINK("https://klasma.github.io/Logging_2418/kartor/A 48895-2025 karta.png", "A 48895-2025")</f>
        <v/>
      </c>
      <c r="V931">
        <f>HYPERLINK("https://klasma.github.io/Logging_2418/klagomål/A 48895-2025 FSC-klagomål.docx", "A 48895-2025")</f>
        <v/>
      </c>
      <c r="W931">
        <f>HYPERLINK("https://klasma.github.io/Logging_2418/klagomålsmail/A 48895-2025 FSC-klagomål mail.docx", "A 48895-2025")</f>
        <v/>
      </c>
      <c r="X931">
        <f>HYPERLINK("https://klasma.github.io/Logging_2418/tillsyn/A 48895-2025 tillsynsbegäran.docx", "A 48895-2025")</f>
        <v/>
      </c>
      <c r="Y931">
        <f>HYPERLINK("https://klasma.github.io/Logging_2418/tillsynsmail/A 48895-2025 tillsynsbegäran mail.docx", "A 48895-2025")</f>
        <v/>
      </c>
    </row>
    <row r="932" ht="15" customHeight="1">
      <c r="A932" t="inlineStr">
        <is>
          <t>A 72131-2021</t>
        </is>
      </c>
      <c r="B932" s="1" t="n">
        <v>44543</v>
      </c>
      <c r="C932" s="1" t="n">
        <v>45971</v>
      </c>
      <c r="D932" t="inlineStr">
        <is>
          <t>VÄSTERBOTTENS LÄN</t>
        </is>
      </c>
      <c r="E932" t="inlineStr">
        <is>
          <t>LYCKSELE</t>
        </is>
      </c>
      <c r="G932" t="n">
        <v>19.1</v>
      </c>
      <c r="H932" t="n">
        <v>1</v>
      </c>
      <c r="I932" t="n">
        <v>0</v>
      </c>
      <c r="J932" t="n">
        <v>1</v>
      </c>
      <c r="K932" t="n">
        <v>0</v>
      </c>
      <c r="L932" t="n">
        <v>0</v>
      </c>
      <c r="M932" t="n">
        <v>0</v>
      </c>
      <c r="N932" t="n">
        <v>0</v>
      </c>
      <c r="O932" t="n">
        <v>1</v>
      </c>
      <c r="P932" t="n">
        <v>0</v>
      </c>
      <c r="Q932" t="n">
        <v>1</v>
      </c>
      <c r="R932" s="2" t="inlineStr">
        <is>
          <t>Tretåig hackspett</t>
        </is>
      </c>
      <c r="S932">
        <f>HYPERLINK("https://klasma.github.io/Logging_2481/artfynd/A 72131-2021 artfynd.xlsx", "A 72131-2021")</f>
        <v/>
      </c>
      <c r="T932">
        <f>HYPERLINK("https://klasma.github.io/Logging_2481/kartor/A 72131-2021 karta.png", "A 72131-2021")</f>
        <v/>
      </c>
      <c r="V932">
        <f>HYPERLINK("https://klasma.github.io/Logging_2481/klagomål/A 72131-2021 FSC-klagomål.docx", "A 72131-2021")</f>
        <v/>
      </c>
      <c r="W932">
        <f>HYPERLINK("https://klasma.github.io/Logging_2481/klagomålsmail/A 72131-2021 FSC-klagomål mail.docx", "A 72131-2021")</f>
        <v/>
      </c>
      <c r="X932">
        <f>HYPERLINK("https://klasma.github.io/Logging_2481/tillsyn/A 72131-2021 tillsynsbegäran.docx", "A 72131-2021")</f>
        <v/>
      </c>
      <c r="Y932">
        <f>HYPERLINK("https://klasma.github.io/Logging_2481/tillsynsmail/A 72131-2021 tillsynsbegäran mail.docx", "A 72131-2021")</f>
        <v/>
      </c>
      <c r="Z932">
        <f>HYPERLINK("https://klasma.github.io/Logging_2481/fåglar/A 72131-2021 prioriterade fågelarter.docx", "A 72131-2021")</f>
        <v/>
      </c>
    </row>
    <row r="933" ht="15" customHeight="1">
      <c r="A933" t="inlineStr">
        <is>
          <t>A 59664-2023</t>
        </is>
      </c>
      <c r="B933" s="1" t="n">
        <v>45254</v>
      </c>
      <c r="C933" s="1" t="n">
        <v>45971</v>
      </c>
      <c r="D933" t="inlineStr">
        <is>
          <t>VÄSTERBOTTENS LÄN</t>
        </is>
      </c>
      <c r="E933" t="inlineStr">
        <is>
          <t>VILHELMINA</t>
        </is>
      </c>
      <c r="F933" t="inlineStr">
        <is>
          <t>SCA</t>
        </is>
      </c>
      <c r="G933" t="n">
        <v>3.3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59664-2023 artfynd.xlsx", "A 59664-2023")</f>
        <v/>
      </c>
      <c r="T933">
        <f>HYPERLINK("https://klasma.github.io/Logging_2462/kartor/A 59664-2023 karta.png", "A 59664-2023")</f>
        <v/>
      </c>
      <c r="V933">
        <f>HYPERLINK("https://klasma.github.io/Logging_2462/klagomål/A 59664-2023 FSC-klagomål.docx", "A 59664-2023")</f>
        <v/>
      </c>
      <c r="W933">
        <f>HYPERLINK("https://klasma.github.io/Logging_2462/klagomålsmail/A 59664-2023 FSC-klagomål mail.docx", "A 59664-2023")</f>
        <v/>
      </c>
      <c r="X933">
        <f>HYPERLINK("https://klasma.github.io/Logging_2462/tillsyn/A 59664-2023 tillsynsbegäran.docx", "A 59664-2023")</f>
        <v/>
      </c>
      <c r="Y933">
        <f>HYPERLINK("https://klasma.github.io/Logging_2462/tillsynsmail/A 59664-2023 tillsynsbegäran mail.docx", "A 59664-2023")</f>
        <v/>
      </c>
      <c r="Z933">
        <f>HYPERLINK("https://klasma.github.io/Logging_2462/fåglar/A 59664-2023 prioriterade fågelarter.docx", "A 59664-2023")</f>
        <v/>
      </c>
    </row>
    <row r="934" ht="15" customHeight="1">
      <c r="A934" t="inlineStr">
        <is>
          <t>A 56135-2024</t>
        </is>
      </c>
      <c r="B934" s="1" t="n">
        <v>45624</v>
      </c>
      <c r="C934" s="1" t="n">
        <v>45971</v>
      </c>
      <c r="D934" t="inlineStr">
        <is>
          <t>VÄSTERBOTTENS LÄN</t>
        </is>
      </c>
      <c r="E934" t="inlineStr">
        <is>
          <t>UMEÅ</t>
        </is>
      </c>
      <c r="G934" t="n">
        <v>19.9</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56135-2024 artfynd.xlsx", "A 56135-2024")</f>
        <v/>
      </c>
      <c r="T934">
        <f>HYPERLINK("https://klasma.github.io/Logging_2480/kartor/A 56135-2024 karta.png", "A 56135-2024")</f>
        <v/>
      </c>
      <c r="V934">
        <f>HYPERLINK("https://klasma.github.io/Logging_2480/klagomål/A 56135-2024 FSC-klagomål.docx", "A 56135-2024")</f>
        <v/>
      </c>
      <c r="W934">
        <f>HYPERLINK("https://klasma.github.io/Logging_2480/klagomålsmail/A 56135-2024 FSC-klagomål mail.docx", "A 56135-2024")</f>
        <v/>
      </c>
      <c r="X934">
        <f>HYPERLINK("https://klasma.github.io/Logging_2480/tillsyn/A 56135-2024 tillsynsbegäran.docx", "A 56135-2024")</f>
        <v/>
      </c>
      <c r="Y934">
        <f>HYPERLINK("https://klasma.github.io/Logging_2480/tillsynsmail/A 56135-2024 tillsynsbegäran mail.docx", "A 56135-2024")</f>
        <v/>
      </c>
    </row>
    <row r="935" ht="15" customHeight="1">
      <c r="A935" t="inlineStr">
        <is>
          <t>A 43550-2024</t>
        </is>
      </c>
      <c r="B935" s="1" t="n">
        <v>45569.38002314815</v>
      </c>
      <c r="C935" s="1" t="n">
        <v>45971</v>
      </c>
      <c r="D935" t="inlineStr">
        <is>
          <t>VÄSTERBOTTENS LÄN</t>
        </is>
      </c>
      <c r="E935" t="inlineStr">
        <is>
          <t>UMEÅ</t>
        </is>
      </c>
      <c r="F935" t="inlineStr">
        <is>
          <t>Kommuner</t>
        </is>
      </c>
      <c r="G935" t="n">
        <v>3.9</v>
      </c>
      <c r="H935" t="n">
        <v>0</v>
      </c>
      <c r="I935" t="n">
        <v>1</v>
      </c>
      <c r="J935" t="n">
        <v>0</v>
      </c>
      <c r="K935" t="n">
        <v>0</v>
      </c>
      <c r="L935" t="n">
        <v>0</v>
      </c>
      <c r="M935" t="n">
        <v>0</v>
      </c>
      <c r="N935" t="n">
        <v>0</v>
      </c>
      <c r="O935" t="n">
        <v>0</v>
      </c>
      <c r="P935" t="n">
        <v>0</v>
      </c>
      <c r="Q935" t="n">
        <v>1</v>
      </c>
      <c r="R935" s="2" t="inlineStr">
        <is>
          <t>Rävticka</t>
        </is>
      </c>
      <c r="S935">
        <f>HYPERLINK("https://klasma.github.io/Logging_2480/artfynd/A 43550-2024 artfynd.xlsx", "A 43550-2024")</f>
        <v/>
      </c>
      <c r="T935">
        <f>HYPERLINK("https://klasma.github.io/Logging_2480/kartor/A 43550-2024 karta.png", "A 43550-2024")</f>
        <v/>
      </c>
      <c r="V935">
        <f>HYPERLINK("https://klasma.github.io/Logging_2480/klagomål/A 43550-2024 FSC-klagomål.docx", "A 43550-2024")</f>
        <v/>
      </c>
      <c r="W935">
        <f>HYPERLINK("https://klasma.github.io/Logging_2480/klagomålsmail/A 43550-2024 FSC-klagomål mail.docx", "A 43550-2024")</f>
        <v/>
      </c>
      <c r="X935">
        <f>HYPERLINK("https://klasma.github.io/Logging_2480/tillsyn/A 43550-2024 tillsynsbegäran.docx", "A 43550-2024")</f>
        <v/>
      </c>
      <c r="Y935">
        <f>HYPERLINK("https://klasma.github.io/Logging_2480/tillsynsmail/A 43550-2024 tillsynsbegäran mail.docx", "A 43550-2024")</f>
        <v/>
      </c>
    </row>
    <row r="936" ht="15" customHeight="1">
      <c r="A936" t="inlineStr">
        <is>
          <t>A 20940-2025</t>
        </is>
      </c>
      <c r="B936" s="1" t="n">
        <v>45777.4309375</v>
      </c>
      <c r="C936" s="1" t="n">
        <v>45971</v>
      </c>
      <c r="D936" t="inlineStr">
        <is>
          <t>VÄSTERBOTTENS LÄN</t>
        </is>
      </c>
      <c r="E936" t="inlineStr">
        <is>
          <t>LYCKSELE</t>
        </is>
      </c>
      <c r="F936" t="inlineStr">
        <is>
          <t>Sveaskog</t>
        </is>
      </c>
      <c r="G936" t="n">
        <v>3</v>
      </c>
      <c r="H936" t="n">
        <v>0</v>
      </c>
      <c r="I936" t="n">
        <v>1</v>
      </c>
      <c r="J936" t="n">
        <v>0</v>
      </c>
      <c r="K936" t="n">
        <v>0</v>
      </c>
      <c r="L936" t="n">
        <v>0</v>
      </c>
      <c r="M936" t="n">
        <v>0</v>
      </c>
      <c r="N936" t="n">
        <v>0</v>
      </c>
      <c r="O936" t="n">
        <v>0</v>
      </c>
      <c r="P936" t="n">
        <v>0</v>
      </c>
      <c r="Q936" t="n">
        <v>1</v>
      </c>
      <c r="R936" s="2" t="inlineStr">
        <is>
          <t>Dropptaggsvamp</t>
        </is>
      </c>
      <c r="S936">
        <f>HYPERLINK("https://klasma.github.io/Logging_2481/artfynd/A 20940-2025 artfynd.xlsx", "A 20940-2025")</f>
        <v/>
      </c>
      <c r="T936">
        <f>HYPERLINK("https://klasma.github.io/Logging_2481/kartor/A 20940-2025 karta.png", "A 20940-2025")</f>
        <v/>
      </c>
      <c r="V936">
        <f>HYPERLINK("https://klasma.github.io/Logging_2481/klagomål/A 20940-2025 FSC-klagomål.docx", "A 20940-2025")</f>
        <v/>
      </c>
      <c r="W936">
        <f>HYPERLINK("https://klasma.github.io/Logging_2481/klagomålsmail/A 20940-2025 FSC-klagomål mail.docx", "A 20940-2025")</f>
        <v/>
      </c>
      <c r="X936">
        <f>HYPERLINK("https://klasma.github.io/Logging_2481/tillsyn/A 20940-2025 tillsynsbegäran.docx", "A 20940-2025")</f>
        <v/>
      </c>
      <c r="Y936">
        <f>HYPERLINK("https://klasma.github.io/Logging_2481/tillsynsmail/A 20940-2025 tillsynsbegäran mail.docx", "A 20940-2025")</f>
        <v/>
      </c>
    </row>
    <row r="937" ht="15" customHeight="1">
      <c r="A937" t="inlineStr">
        <is>
          <t>A 45659-2024</t>
        </is>
      </c>
      <c r="B937" s="1" t="n">
        <v>45579.495</v>
      </c>
      <c r="C937" s="1" t="n">
        <v>45971</v>
      </c>
      <c r="D937" t="inlineStr">
        <is>
          <t>VÄSTERBOTTENS LÄN</t>
        </is>
      </c>
      <c r="E937" t="inlineStr">
        <is>
          <t>UMEÅ</t>
        </is>
      </c>
      <c r="F937" t="inlineStr">
        <is>
          <t>Kommuner</t>
        </is>
      </c>
      <c r="G937" t="n">
        <v>9.199999999999999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45659-2024 artfynd.xlsx", "A 45659-2024")</f>
        <v/>
      </c>
      <c r="T937">
        <f>HYPERLINK("https://klasma.github.io/Logging_2480/kartor/A 45659-2024 karta.png", "A 45659-2024")</f>
        <v/>
      </c>
      <c r="V937">
        <f>HYPERLINK("https://klasma.github.io/Logging_2480/klagomål/A 45659-2024 FSC-klagomål.docx", "A 45659-2024")</f>
        <v/>
      </c>
      <c r="W937">
        <f>HYPERLINK("https://klasma.github.io/Logging_2480/klagomålsmail/A 45659-2024 FSC-klagomål mail.docx", "A 45659-2024")</f>
        <v/>
      </c>
      <c r="X937">
        <f>HYPERLINK("https://klasma.github.io/Logging_2480/tillsyn/A 45659-2024 tillsynsbegäran.docx", "A 45659-2024")</f>
        <v/>
      </c>
      <c r="Y937">
        <f>HYPERLINK("https://klasma.github.io/Logging_2480/tillsynsmail/A 45659-2024 tillsynsbegäran mail.docx", "A 45659-2024")</f>
        <v/>
      </c>
    </row>
    <row r="938" ht="15" customHeight="1">
      <c r="A938" t="inlineStr">
        <is>
          <t>A 39572-2024</t>
        </is>
      </c>
      <c r="B938" s="1" t="n">
        <v>45552.36100694445</v>
      </c>
      <c r="C938" s="1" t="n">
        <v>45971</v>
      </c>
      <c r="D938" t="inlineStr">
        <is>
          <t>VÄSTERBOTTENS LÄN</t>
        </is>
      </c>
      <c r="E938" t="inlineStr">
        <is>
          <t>LYCKSELE</t>
        </is>
      </c>
      <c r="F938" t="inlineStr">
        <is>
          <t>Sveaskog</t>
        </is>
      </c>
      <c r="G938" t="n">
        <v>39.2</v>
      </c>
      <c r="H938" t="n">
        <v>0</v>
      </c>
      <c r="I938" t="n">
        <v>0</v>
      </c>
      <c r="J938" t="n">
        <v>1</v>
      </c>
      <c r="K938" t="n">
        <v>0</v>
      </c>
      <c r="L938" t="n">
        <v>0</v>
      </c>
      <c r="M938" t="n">
        <v>0</v>
      </c>
      <c r="N938" t="n">
        <v>0</v>
      </c>
      <c r="O938" t="n">
        <v>1</v>
      </c>
      <c r="P938" t="n">
        <v>0</v>
      </c>
      <c r="Q938" t="n">
        <v>1</v>
      </c>
      <c r="R938" s="2" t="inlineStr">
        <is>
          <t>Grynig filtlav</t>
        </is>
      </c>
      <c r="S938">
        <f>HYPERLINK("https://klasma.github.io/Logging_2481/artfynd/A 39572-2024 artfynd.xlsx", "A 39572-2024")</f>
        <v/>
      </c>
      <c r="T938">
        <f>HYPERLINK("https://klasma.github.io/Logging_2481/kartor/A 39572-2024 karta.png", "A 39572-2024")</f>
        <v/>
      </c>
      <c r="V938">
        <f>HYPERLINK("https://klasma.github.io/Logging_2481/klagomål/A 39572-2024 FSC-klagomål.docx", "A 39572-2024")</f>
        <v/>
      </c>
      <c r="W938">
        <f>HYPERLINK("https://klasma.github.io/Logging_2481/klagomålsmail/A 39572-2024 FSC-klagomål mail.docx", "A 39572-2024")</f>
        <v/>
      </c>
      <c r="X938">
        <f>HYPERLINK("https://klasma.github.io/Logging_2481/tillsyn/A 39572-2024 tillsynsbegäran.docx", "A 39572-2024")</f>
        <v/>
      </c>
      <c r="Y938">
        <f>HYPERLINK("https://klasma.github.io/Logging_2481/tillsynsmail/A 39572-2024 tillsynsbegäran mail.docx", "A 39572-2024")</f>
        <v/>
      </c>
    </row>
    <row r="939" ht="15" customHeight="1">
      <c r="A939" t="inlineStr">
        <is>
          <t>A 49363-2025</t>
        </is>
      </c>
      <c r="B939" s="1" t="n">
        <v>45938.61984953703</v>
      </c>
      <c r="C939" s="1" t="n">
        <v>45971</v>
      </c>
      <c r="D939" t="inlineStr">
        <is>
          <t>VÄSTERBOTTENS LÄN</t>
        </is>
      </c>
      <c r="E939" t="inlineStr">
        <is>
          <t>NORDMALING</t>
        </is>
      </c>
      <c r="G939" t="n">
        <v>4.2</v>
      </c>
      <c r="H939" t="n">
        <v>0</v>
      </c>
      <c r="I939" t="n">
        <v>0</v>
      </c>
      <c r="J939" t="n">
        <v>1</v>
      </c>
      <c r="K939" t="n">
        <v>0</v>
      </c>
      <c r="L939" t="n">
        <v>0</v>
      </c>
      <c r="M939" t="n">
        <v>0</v>
      </c>
      <c r="N939" t="n">
        <v>0</v>
      </c>
      <c r="O939" t="n">
        <v>1</v>
      </c>
      <c r="P939" t="n">
        <v>0</v>
      </c>
      <c r="Q939" t="n">
        <v>1</v>
      </c>
      <c r="R939" s="2" t="inlineStr">
        <is>
          <t>Garnlav</t>
        </is>
      </c>
      <c r="S939">
        <f>HYPERLINK("https://klasma.github.io/Logging_2401/artfynd/A 49363-2025 artfynd.xlsx", "A 49363-2025")</f>
        <v/>
      </c>
      <c r="T939">
        <f>HYPERLINK("https://klasma.github.io/Logging_2401/kartor/A 49363-2025 karta.png", "A 49363-2025")</f>
        <v/>
      </c>
      <c r="V939">
        <f>HYPERLINK("https://klasma.github.io/Logging_2401/klagomål/A 49363-2025 FSC-klagomål.docx", "A 49363-2025")</f>
        <v/>
      </c>
      <c r="W939">
        <f>HYPERLINK("https://klasma.github.io/Logging_2401/klagomålsmail/A 49363-2025 FSC-klagomål mail.docx", "A 49363-2025")</f>
        <v/>
      </c>
      <c r="X939">
        <f>HYPERLINK("https://klasma.github.io/Logging_2401/tillsyn/A 49363-2025 tillsynsbegäran.docx", "A 49363-2025")</f>
        <v/>
      </c>
      <c r="Y939">
        <f>HYPERLINK("https://klasma.github.io/Logging_2401/tillsynsmail/A 49363-2025 tillsynsbegäran mail.docx", "A 49363-2025")</f>
        <v/>
      </c>
    </row>
    <row r="940" ht="15" customHeight="1">
      <c r="A940" t="inlineStr">
        <is>
          <t>A 20929-2025</t>
        </is>
      </c>
      <c r="B940" s="1" t="n">
        <v>45777.42574074074</v>
      </c>
      <c r="C940" s="1" t="n">
        <v>45971</v>
      </c>
      <c r="D940" t="inlineStr">
        <is>
          <t>VÄSTERBOTTENS LÄN</t>
        </is>
      </c>
      <c r="E940" t="inlineStr">
        <is>
          <t>LYCKSELE</t>
        </is>
      </c>
      <c r="F940" t="inlineStr">
        <is>
          <t>Sveaskog</t>
        </is>
      </c>
      <c r="G940" t="n">
        <v>3</v>
      </c>
      <c r="H940" t="n">
        <v>0</v>
      </c>
      <c r="I940" t="n">
        <v>1</v>
      </c>
      <c r="J940" t="n">
        <v>0</v>
      </c>
      <c r="K940" t="n">
        <v>0</v>
      </c>
      <c r="L940" t="n">
        <v>0</v>
      </c>
      <c r="M940" t="n">
        <v>0</v>
      </c>
      <c r="N940" t="n">
        <v>0</v>
      </c>
      <c r="O940" t="n">
        <v>0</v>
      </c>
      <c r="P940" t="n">
        <v>0</v>
      </c>
      <c r="Q940" t="n">
        <v>1</v>
      </c>
      <c r="R940" s="2" t="inlineStr">
        <is>
          <t>Dropptaggsvamp</t>
        </is>
      </c>
      <c r="S940">
        <f>HYPERLINK("https://klasma.github.io/Logging_2481/artfynd/A 20929-2025 artfynd.xlsx", "A 20929-2025")</f>
        <v/>
      </c>
      <c r="T940">
        <f>HYPERLINK("https://klasma.github.io/Logging_2481/kartor/A 20929-2025 karta.png", "A 20929-2025")</f>
        <v/>
      </c>
      <c r="V940">
        <f>HYPERLINK("https://klasma.github.io/Logging_2481/klagomål/A 20929-2025 FSC-klagomål.docx", "A 20929-2025")</f>
        <v/>
      </c>
      <c r="W940">
        <f>HYPERLINK("https://klasma.github.io/Logging_2481/klagomålsmail/A 20929-2025 FSC-klagomål mail.docx", "A 20929-2025")</f>
        <v/>
      </c>
      <c r="X940">
        <f>HYPERLINK("https://klasma.github.io/Logging_2481/tillsyn/A 20929-2025 tillsynsbegäran.docx", "A 20929-2025")</f>
        <v/>
      </c>
      <c r="Y940">
        <f>HYPERLINK("https://klasma.github.io/Logging_2481/tillsynsmail/A 20929-2025 tillsynsbegäran mail.docx", "A 20929-2025")</f>
        <v/>
      </c>
    </row>
    <row r="941" ht="15" customHeight="1">
      <c r="A941" t="inlineStr">
        <is>
          <t>A 59767-2024</t>
        </is>
      </c>
      <c r="B941" s="1" t="n">
        <v>45639.56111111111</v>
      </c>
      <c r="C941" s="1" t="n">
        <v>45971</v>
      </c>
      <c r="D941" t="inlineStr">
        <is>
          <t>VÄSTERBOTTENS LÄN</t>
        </is>
      </c>
      <c r="E941" t="inlineStr">
        <is>
          <t>NORSJÖ</t>
        </is>
      </c>
      <c r="F941" t="inlineStr">
        <is>
          <t>Sveaskog</t>
        </is>
      </c>
      <c r="G941" t="n">
        <v>5.9</v>
      </c>
      <c r="H941" t="n">
        <v>0</v>
      </c>
      <c r="I941" t="n">
        <v>0</v>
      </c>
      <c r="J941" t="n">
        <v>1</v>
      </c>
      <c r="K941" t="n">
        <v>0</v>
      </c>
      <c r="L941" t="n">
        <v>0</v>
      </c>
      <c r="M941" t="n">
        <v>0</v>
      </c>
      <c r="N941" t="n">
        <v>0</v>
      </c>
      <c r="O941" t="n">
        <v>1</v>
      </c>
      <c r="P941" t="n">
        <v>0</v>
      </c>
      <c r="Q941" t="n">
        <v>1</v>
      </c>
      <c r="R941" s="2" t="inlineStr">
        <is>
          <t>Blå taggsvamp</t>
        </is>
      </c>
      <c r="S941">
        <f>HYPERLINK("https://klasma.github.io/Logging_2417/artfynd/A 59767-2024 artfynd.xlsx", "A 59767-2024")</f>
        <v/>
      </c>
      <c r="T941">
        <f>HYPERLINK("https://klasma.github.io/Logging_2417/kartor/A 59767-2024 karta.png", "A 59767-2024")</f>
        <v/>
      </c>
      <c r="V941">
        <f>HYPERLINK("https://klasma.github.io/Logging_2417/klagomål/A 59767-2024 FSC-klagomål.docx", "A 59767-2024")</f>
        <v/>
      </c>
      <c r="W941">
        <f>HYPERLINK("https://klasma.github.io/Logging_2417/klagomålsmail/A 59767-2024 FSC-klagomål mail.docx", "A 59767-2024")</f>
        <v/>
      </c>
      <c r="X941">
        <f>HYPERLINK("https://klasma.github.io/Logging_2417/tillsyn/A 59767-2024 tillsynsbegäran.docx", "A 59767-2024")</f>
        <v/>
      </c>
      <c r="Y941">
        <f>HYPERLINK("https://klasma.github.io/Logging_2417/tillsynsmail/A 59767-2024 tillsynsbegäran mail.docx", "A 59767-2024")</f>
        <v/>
      </c>
    </row>
    <row r="942" ht="15" customHeight="1">
      <c r="A942" t="inlineStr">
        <is>
          <t>A 496-2024</t>
        </is>
      </c>
      <c r="B942" s="1" t="n">
        <v>45299</v>
      </c>
      <c r="C942" s="1" t="n">
        <v>45971</v>
      </c>
      <c r="D942" t="inlineStr">
        <is>
          <t>VÄSTERBOTTENS LÄN</t>
        </is>
      </c>
      <c r="E942" t="inlineStr">
        <is>
          <t>LYCKSELE</t>
        </is>
      </c>
      <c r="G942" t="n">
        <v>5.2</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496-2024 artfynd.xlsx", "A 496-2024")</f>
        <v/>
      </c>
      <c r="T942">
        <f>HYPERLINK("https://klasma.github.io/Logging_2481/kartor/A 496-2024 karta.png", "A 496-2024")</f>
        <v/>
      </c>
      <c r="V942">
        <f>HYPERLINK("https://klasma.github.io/Logging_2481/klagomål/A 496-2024 FSC-klagomål.docx", "A 496-2024")</f>
        <v/>
      </c>
      <c r="W942">
        <f>HYPERLINK("https://klasma.github.io/Logging_2481/klagomålsmail/A 496-2024 FSC-klagomål mail.docx", "A 496-2024")</f>
        <v/>
      </c>
      <c r="X942">
        <f>HYPERLINK("https://klasma.github.io/Logging_2481/tillsyn/A 496-2024 tillsynsbegäran.docx", "A 496-2024")</f>
        <v/>
      </c>
      <c r="Y942">
        <f>HYPERLINK("https://klasma.github.io/Logging_2481/tillsynsmail/A 496-2024 tillsynsbegäran mail.docx", "A 496-2024")</f>
        <v/>
      </c>
      <c r="Z942">
        <f>HYPERLINK("https://klasma.github.io/Logging_2481/fåglar/A 496-2024 prioriterade fågelarter.docx", "A 496-2024")</f>
        <v/>
      </c>
    </row>
    <row r="943" ht="15" customHeight="1">
      <c r="A943" t="inlineStr">
        <is>
          <t>A 41078-2025</t>
        </is>
      </c>
      <c r="B943" s="1" t="n">
        <v>45898</v>
      </c>
      <c r="C943" s="1" t="n">
        <v>45971</v>
      </c>
      <c r="D943" t="inlineStr">
        <is>
          <t>VÄSTERBOTTENS LÄN</t>
        </is>
      </c>
      <c r="E943" t="inlineStr">
        <is>
          <t>ÅSELE</t>
        </is>
      </c>
      <c r="F943" t="inlineStr">
        <is>
          <t>SCA</t>
        </is>
      </c>
      <c r="G943" t="n">
        <v>14.6</v>
      </c>
      <c r="H943" t="n">
        <v>0</v>
      </c>
      <c r="I943" t="n">
        <v>0</v>
      </c>
      <c r="J943" t="n">
        <v>1</v>
      </c>
      <c r="K943" t="n">
        <v>0</v>
      </c>
      <c r="L943" t="n">
        <v>0</v>
      </c>
      <c r="M943" t="n">
        <v>0</v>
      </c>
      <c r="N943" t="n">
        <v>0</v>
      </c>
      <c r="O943" t="n">
        <v>1</v>
      </c>
      <c r="P943" t="n">
        <v>0</v>
      </c>
      <c r="Q943" t="n">
        <v>1</v>
      </c>
      <c r="R943" s="2" t="inlineStr">
        <is>
          <t>Granticka</t>
        </is>
      </c>
      <c r="S943">
        <f>HYPERLINK("https://klasma.github.io/Logging_2463/artfynd/A 41078-2025 artfynd.xlsx", "A 41078-2025")</f>
        <v/>
      </c>
      <c r="T943">
        <f>HYPERLINK("https://klasma.github.io/Logging_2463/kartor/A 41078-2025 karta.png", "A 41078-2025")</f>
        <v/>
      </c>
      <c r="V943">
        <f>HYPERLINK("https://klasma.github.io/Logging_2463/klagomål/A 41078-2025 FSC-klagomål.docx", "A 41078-2025")</f>
        <v/>
      </c>
      <c r="W943">
        <f>HYPERLINK("https://klasma.github.io/Logging_2463/klagomålsmail/A 41078-2025 FSC-klagomål mail.docx", "A 41078-2025")</f>
        <v/>
      </c>
      <c r="X943">
        <f>HYPERLINK("https://klasma.github.io/Logging_2463/tillsyn/A 41078-2025 tillsynsbegäran.docx", "A 41078-2025")</f>
        <v/>
      </c>
      <c r="Y943">
        <f>HYPERLINK("https://klasma.github.io/Logging_2463/tillsynsmail/A 41078-2025 tillsynsbegäran mail.docx", "A 41078-2025")</f>
        <v/>
      </c>
    </row>
    <row r="944" ht="15" customHeight="1">
      <c r="A944" t="inlineStr">
        <is>
          <t>A 26857-2024</t>
        </is>
      </c>
      <c r="B944" s="1" t="n">
        <v>45470</v>
      </c>
      <c r="C944" s="1" t="n">
        <v>45971</v>
      </c>
      <c r="D944" t="inlineStr">
        <is>
          <t>VÄSTERBOTTENS LÄN</t>
        </is>
      </c>
      <c r="E944" t="inlineStr">
        <is>
          <t>LYCKSELE</t>
        </is>
      </c>
      <c r="F944" t="inlineStr">
        <is>
          <t>Sveaskog</t>
        </is>
      </c>
      <c r="G944" t="n">
        <v>24.2</v>
      </c>
      <c r="H944" t="n">
        <v>0</v>
      </c>
      <c r="I944" t="n">
        <v>0</v>
      </c>
      <c r="J944" t="n">
        <v>1</v>
      </c>
      <c r="K944" t="n">
        <v>0</v>
      </c>
      <c r="L944" t="n">
        <v>0</v>
      </c>
      <c r="M944" t="n">
        <v>0</v>
      </c>
      <c r="N944" t="n">
        <v>0</v>
      </c>
      <c r="O944" t="n">
        <v>1</v>
      </c>
      <c r="P944" t="n">
        <v>0</v>
      </c>
      <c r="Q944" t="n">
        <v>1</v>
      </c>
      <c r="R944" s="2" t="inlineStr">
        <is>
          <t>Kolflarnlav</t>
        </is>
      </c>
      <c r="S944">
        <f>HYPERLINK("https://klasma.github.io/Logging_2481/artfynd/A 26857-2024 artfynd.xlsx", "A 26857-2024")</f>
        <v/>
      </c>
      <c r="T944">
        <f>HYPERLINK("https://klasma.github.io/Logging_2481/kartor/A 26857-2024 karta.png", "A 26857-2024")</f>
        <v/>
      </c>
      <c r="V944">
        <f>HYPERLINK("https://klasma.github.io/Logging_2481/klagomål/A 26857-2024 FSC-klagomål.docx", "A 26857-2024")</f>
        <v/>
      </c>
      <c r="W944">
        <f>HYPERLINK("https://klasma.github.io/Logging_2481/klagomålsmail/A 26857-2024 FSC-klagomål mail.docx", "A 26857-2024")</f>
        <v/>
      </c>
      <c r="X944">
        <f>HYPERLINK("https://klasma.github.io/Logging_2481/tillsyn/A 26857-2024 tillsynsbegäran.docx", "A 26857-2024")</f>
        <v/>
      </c>
      <c r="Y944">
        <f>HYPERLINK("https://klasma.github.io/Logging_2481/tillsynsmail/A 26857-2024 tillsynsbegäran mail.docx", "A 26857-2024")</f>
        <v/>
      </c>
    </row>
    <row r="945" ht="15" customHeight="1">
      <c r="A945" t="inlineStr">
        <is>
          <t>A 31311-2023</t>
        </is>
      </c>
      <c r="B945" s="1" t="n">
        <v>45104</v>
      </c>
      <c r="C945" s="1" t="n">
        <v>45971</v>
      </c>
      <c r="D945" t="inlineStr">
        <is>
          <t>VÄSTERBOTTENS LÄN</t>
        </is>
      </c>
      <c r="E945" t="inlineStr">
        <is>
          <t>UMEÅ</t>
        </is>
      </c>
      <c r="G945" t="n">
        <v>3.2</v>
      </c>
      <c r="H945" t="n">
        <v>0</v>
      </c>
      <c r="I945" t="n">
        <v>0</v>
      </c>
      <c r="J945" t="n">
        <v>1</v>
      </c>
      <c r="K945" t="n">
        <v>0</v>
      </c>
      <c r="L945" t="n">
        <v>0</v>
      </c>
      <c r="M945" t="n">
        <v>0</v>
      </c>
      <c r="N945" t="n">
        <v>0</v>
      </c>
      <c r="O945" t="n">
        <v>1</v>
      </c>
      <c r="P945" t="n">
        <v>0</v>
      </c>
      <c r="Q945" t="n">
        <v>1</v>
      </c>
      <c r="R945" s="2" t="inlineStr">
        <is>
          <t>Garnlav</t>
        </is>
      </c>
      <c r="S945">
        <f>HYPERLINK("https://klasma.github.io/Logging_2480/artfynd/A 31311-2023 artfynd.xlsx", "A 31311-2023")</f>
        <v/>
      </c>
      <c r="T945">
        <f>HYPERLINK("https://klasma.github.io/Logging_2480/kartor/A 31311-2023 karta.png", "A 31311-2023")</f>
        <v/>
      </c>
      <c r="V945">
        <f>HYPERLINK("https://klasma.github.io/Logging_2480/klagomål/A 31311-2023 FSC-klagomål.docx", "A 31311-2023")</f>
        <v/>
      </c>
      <c r="W945">
        <f>HYPERLINK("https://klasma.github.io/Logging_2480/klagomålsmail/A 31311-2023 FSC-klagomål mail.docx", "A 31311-2023")</f>
        <v/>
      </c>
      <c r="X945">
        <f>HYPERLINK("https://klasma.github.io/Logging_2480/tillsyn/A 31311-2023 tillsynsbegäran.docx", "A 31311-2023")</f>
        <v/>
      </c>
      <c r="Y945">
        <f>HYPERLINK("https://klasma.github.io/Logging_2480/tillsynsmail/A 31311-2023 tillsynsbegäran mail.docx", "A 31311-2023")</f>
        <v/>
      </c>
    </row>
    <row r="946" ht="15" customHeight="1">
      <c r="A946" t="inlineStr">
        <is>
          <t>A 41087-2023</t>
        </is>
      </c>
      <c r="B946" s="1" t="n">
        <v>45173</v>
      </c>
      <c r="C946" s="1" t="n">
        <v>45971</v>
      </c>
      <c r="D946" t="inlineStr">
        <is>
          <t>VÄSTERBOTTENS LÄN</t>
        </is>
      </c>
      <c r="E946" t="inlineStr">
        <is>
          <t>SKELLEFTEÅ</t>
        </is>
      </c>
      <c r="F946" t="inlineStr">
        <is>
          <t>Holmen skog AB</t>
        </is>
      </c>
      <c r="G946" t="n">
        <v>10</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41087-2023 artfynd.xlsx", "A 41087-2023")</f>
        <v/>
      </c>
      <c r="T946">
        <f>HYPERLINK("https://klasma.github.io/Logging_2482/kartor/A 41087-2023 karta.png", "A 41087-2023")</f>
        <v/>
      </c>
      <c r="V946">
        <f>HYPERLINK("https://klasma.github.io/Logging_2482/klagomål/A 41087-2023 FSC-klagomål.docx", "A 41087-2023")</f>
        <v/>
      </c>
      <c r="W946">
        <f>HYPERLINK("https://klasma.github.io/Logging_2482/klagomålsmail/A 41087-2023 FSC-klagomål mail.docx", "A 41087-2023")</f>
        <v/>
      </c>
      <c r="X946">
        <f>HYPERLINK("https://klasma.github.io/Logging_2482/tillsyn/A 41087-2023 tillsynsbegäran.docx", "A 41087-2023")</f>
        <v/>
      </c>
      <c r="Y946">
        <f>HYPERLINK("https://klasma.github.io/Logging_2482/tillsynsmail/A 41087-2023 tillsynsbegäran mail.docx", "A 41087-2023")</f>
        <v/>
      </c>
    </row>
    <row r="947" ht="15" customHeight="1">
      <c r="A947" t="inlineStr">
        <is>
          <t>A 22373-2025</t>
        </is>
      </c>
      <c r="B947" s="1" t="n">
        <v>45786.47950231482</v>
      </c>
      <c r="C947" s="1" t="n">
        <v>45971</v>
      </c>
      <c r="D947" t="inlineStr">
        <is>
          <t>VÄSTERBOTTENS LÄN</t>
        </is>
      </c>
      <c r="E947" t="inlineStr">
        <is>
          <t>LYCKSELE</t>
        </is>
      </c>
      <c r="F947" t="inlineStr">
        <is>
          <t>Holmen skog AB</t>
        </is>
      </c>
      <c r="G947" t="n">
        <v>5</v>
      </c>
      <c r="H947" t="n">
        <v>0</v>
      </c>
      <c r="I947" t="n">
        <v>0</v>
      </c>
      <c r="J947" t="n">
        <v>1</v>
      </c>
      <c r="K947" t="n">
        <v>0</v>
      </c>
      <c r="L947" t="n">
        <v>0</v>
      </c>
      <c r="M947" t="n">
        <v>0</v>
      </c>
      <c r="N947" t="n">
        <v>0</v>
      </c>
      <c r="O947" t="n">
        <v>1</v>
      </c>
      <c r="P947" t="n">
        <v>0</v>
      </c>
      <c r="Q947" t="n">
        <v>1</v>
      </c>
      <c r="R947" s="2" t="inlineStr">
        <is>
          <t>Garnlav</t>
        </is>
      </c>
      <c r="S947">
        <f>HYPERLINK("https://klasma.github.io/Logging_2481/artfynd/A 22373-2025 artfynd.xlsx", "A 22373-2025")</f>
        <v/>
      </c>
      <c r="T947">
        <f>HYPERLINK("https://klasma.github.io/Logging_2481/kartor/A 22373-2025 karta.png", "A 22373-2025")</f>
        <v/>
      </c>
      <c r="V947">
        <f>HYPERLINK("https://klasma.github.io/Logging_2481/klagomål/A 22373-2025 FSC-klagomål.docx", "A 22373-2025")</f>
        <v/>
      </c>
      <c r="W947">
        <f>HYPERLINK("https://klasma.github.io/Logging_2481/klagomålsmail/A 22373-2025 FSC-klagomål mail.docx", "A 22373-2025")</f>
        <v/>
      </c>
      <c r="X947">
        <f>HYPERLINK("https://klasma.github.io/Logging_2481/tillsyn/A 22373-2025 tillsynsbegäran.docx", "A 22373-2025")</f>
        <v/>
      </c>
      <c r="Y947">
        <f>HYPERLINK("https://klasma.github.io/Logging_2481/tillsynsmail/A 22373-2025 tillsynsbegäran mail.docx", "A 22373-2025")</f>
        <v/>
      </c>
    </row>
    <row r="948" ht="15" customHeight="1">
      <c r="A948" t="inlineStr">
        <is>
          <t>A 26932-2024</t>
        </is>
      </c>
      <c r="B948" s="1" t="n">
        <v>45470</v>
      </c>
      <c r="C948" s="1" t="n">
        <v>45971</v>
      </c>
      <c r="D948" t="inlineStr">
        <is>
          <t>VÄSTERBOTTENS LÄN</t>
        </is>
      </c>
      <c r="E948" t="inlineStr">
        <is>
          <t>UMEÅ</t>
        </is>
      </c>
      <c r="G948" t="n">
        <v>4</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26932-2024 artfynd.xlsx", "A 26932-2024")</f>
        <v/>
      </c>
      <c r="T948">
        <f>HYPERLINK("https://klasma.github.io/Logging_2480/kartor/A 26932-2024 karta.png", "A 26932-2024")</f>
        <v/>
      </c>
      <c r="V948">
        <f>HYPERLINK("https://klasma.github.io/Logging_2480/klagomål/A 26932-2024 FSC-klagomål.docx", "A 26932-2024")</f>
        <v/>
      </c>
      <c r="W948">
        <f>HYPERLINK("https://klasma.github.io/Logging_2480/klagomålsmail/A 26932-2024 FSC-klagomål mail.docx", "A 26932-2024")</f>
        <v/>
      </c>
      <c r="X948">
        <f>HYPERLINK("https://klasma.github.io/Logging_2480/tillsyn/A 26932-2024 tillsynsbegäran.docx", "A 26932-2024")</f>
        <v/>
      </c>
      <c r="Y948">
        <f>HYPERLINK("https://klasma.github.io/Logging_2480/tillsynsmail/A 26932-2024 tillsynsbegäran mail.docx", "A 26932-2024")</f>
        <v/>
      </c>
    </row>
    <row r="949" ht="15" customHeight="1">
      <c r="A949" t="inlineStr">
        <is>
          <t>A 64134-2023</t>
        </is>
      </c>
      <c r="B949" s="1" t="n">
        <v>45279</v>
      </c>
      <c r="C949" s="1" t="n">
        <v>45971</v>
      </c>
      <c r="D949" t="inlineStr">
        <is>
          <t>VÄSTERBOTTENS LÄN</t>
        </is>
      </c>
      <c r="E949" t="inlineStr">
        <is>
          <t>SORSELE</t>
        </is>
      </c>
      <c r="G949" t="n">
        <v>10.3</v>
      </c>
      <c r="H949" t="n">
        <v>1</v>
      </c>
      <c r="I949" t="n">
        <v>0</v>
      </c>
      <c r="J949" t="n">
        <v>0</v>
      </c>
      <c r="K949" t="n">
        <v>1</v>
      </c>
      <c r="L949" t="n">
        <v>0</v>
      </c>
      <c r="M949" t="n">
        <v>0</v>
      </c>
      <c r="N949" t="n">
        <v>0</v>
      </c>
      <c r="O949" t="n">
        <v>1</v>
      </c>
      <c r="P949" t="n">
        <v>1</v>
      </c>
      <c r="Q949" t="n">
        <v>1</v>
      </c>
      <c r="R949" s="2" t="inlineStr">
        <is>
          <t>Norna</t>
        </is>
      </c>
      <c r="S949">
        <f>HYPERLINK("https://klasma.github.io/Logging_2422/artfynd/A 64134-2023 artfynd.xlsx", "A 64134-2023")</f>
        <v/>
      </c>
      <c r="T949">
        <f>HYPERLINK("https://klasma.github.io/Logging_2422/kartor/A 64134-2023 karta.png", "A 64134-2023")</f>
        <v/>
      </c>
      <c r="V949">
        <f>HYPERLINK("https://klasma.github.io/Logging_2422/klagomål/A 64134-2023 FSC-klagomål.docx", "A 64134-2023")</f>
        <v/>
      </c>
      <c r="W949">
        <f>HYPERLINK("https://klasma.github.io/Logging_2422/klagomålsmail/A 64134-2023 FSC-klagomål mail.docx", "A 64134-2023")</f>
        <v/>
      </c>
      <c r="X949">
        <f>HYPERLINK("https://klasma.github.io/Logging_2422/tillsyn/A 64134-2023 tillsynsbegäran.docx", "A 64134-2023")</f>
        <v/>
      </c>
      <c r="Y949">
        <f>HYPERLINK("https://klasma.github.io/Logging_2422/tillsynsmail/A 64134-2023 tillsynsbegäran mail.docx", "A 64134-2023")</f>
        <v/>
      </c>
    </row>
    <row r="950" ht="15" customHeight="1">
      <c r="A950" t="inlineStr">
        <is>
          <t>A 49714-2025</t>
        </is>
      </c>
      <c r="B950" s="1" t="n">
        <v>45939.71892361111</v>
      </c>
      <c r="C950" s="1" t="n">
        <v>45971</v>
      </c>
      <c r="D950" t="inlineStr">
        <is>
          <t>VÄSTERBOTTENS LÄN</t>
        </is>
      </c>
      <c r="E950" t="inlineStr">
        <is>
          <t>ROBERTSFORS</t>
        </is>
      </c>
      <c r="F950" t="inlineStr">
        <is>
          <t>Kyrkan</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HYPERLINK("https://klasma.github.io/Logging_2409/artfynd/A 49714-2025 artfynd.xlsx", "A 49714-2025")</f>
        <v/>
      </c>
      <c r="T950">
        <f>HYPERLINK("https://klasma.github.io/Logging_2409/kartor/A 49714-2025 karta.png", "A 49714-2025")</f>
        <v/>
      </c>
      <c r="V950">
        <f>HYPERLINK("https://klasma.github.io/Logging_2409/klagomål/A 49714-2025 FSC-klagomål.docx", "A 49714-2025")</f>
        <v/>
      </c>
      <c r="W950">
        <f>HYPERLINK("https://klasma.github.io/Logging_2409/klagomålsmail/A 49714-2025 FSC-klagomål mail.docx", "A 49714-2025")</f>
        <v/>
      </c>
      <c r="X950">
        <f>HYPERLINK("https://klasma.github.io/Logging_2409/tillsyn/A 49714-2025 tillsynsbegäran.docx", "A 49714-2025")</f>
        <v/>
      </c>
      <c r="Y950">
        <f>HYPERLINK("https://klasma.github.io/Logging_2409/tillsynsmail/A 49714-2025 tillsynsbegäran mail.docx", "A 49714-2025")</f>
        <v/>
      </c>
    </row>
    <row r="951" ht="15" customHeight="1">
      <c r="A951" t="inlineStr">
        <is>
          <t>A 28838-2024</t>
        </is>
      </c>
      <c r="B951" s="1" t="n">
        <v>45478.68777777778</v>
      </c>
      <c r="C951" s="1" t="n">
        <v>45971</v>
      </c>
      <c r="D951" t="inlineStr">
        <is>
          <t>VÄSTERBOTTENS LÄN</t>
        </is>
      </c>
      <c r="E951" t="inlineStr">
        <is>
          <t>LYCKSELE</t>
        </is>
      </c>
      <c r="F951" t="inlineStr">
        <is>
          <t>Sveaskog</t>
        </is>
      </c>
      <c r="G951" t="n">
        <v>1.6</v>
      </c>
      <c r="H951" t="n">
        <v>0</v>
      </c>
      <c r="I951" t="n">
        <v>0</v>
      </c>
      <c r="J951" t="n">
        <v>1</v>
      </c>
      <c r="K951" t="n">
        <v>0</v>
      </c>
      <c r="L951" t="n">
        <v>0</v>
      </c>
      <c r="M951" t="n">
        <v>0</v>
      </c>
      <c r="N951" t="n">
        <v>0</v>
      </c>
      <c r="O951" t="n">
        <v>1</v>
      </c>
      <c r="P951" t="n">
        <v>0</v>
      </c>
      <c r="Q951" t="n">
        <v>1</v>
      </c>
      <c r="R951" s="2" t="inlineStr">
        <is>
          <t>Kolflarnlav</t>
        </is>
      </c>
      <c r="S951">
        <f>HYPERLINK("https://klasma.github.io/Logging_2481/artfynd/A 28838-2024 artfynd.xlsx", "A 28838-2024")</f>
        <v/>
      </c>
      <c r="T951">
        <f>HYPERLINK("https://klasma.github.io/Logging_2481/kartor/A 28838-2024 karta.png", "A 28838-2024")</f>
        <v/>
      </c>
      <c r="V951">
        <f>HYPERLINK("https://klasma.github.io/Logging_2481/klagomål/A 28838-2024 FSC-klagomål.docx", "A 28838-2024")</f>
        <v/>
      </c>
      <c r="W951">
        <f>HYPERLINK("https://klasma.github.io/Logging_2481/klagomålsmail/A 28838-2024 FSC-klagomål mail.docx", "A 28838-2024")</f>
        <v/>
      </c>
      <c r="X951">
        <f>HYPERLINK("https://klasma.github.io/Logging_2481/tillsyn/A 28838-2024 tillsynsbegäran.docx", "A 28838-2024")</f>
        <v/>
      </c>
      <c r="Y951">
        <f>HYPERLINK("https://klasma.github.io/Logging_2481/tillsynsmail/A 28838-2024 tillsynsbegäran mail.docx", "A 28838-2024")</f>
        <v/>
      </c>
    </row>
    <row r="952" ht="15" customHeight="1">
      <c r="A952" t="inlineStr">
        <is>
          <t>A 49786-2025</t>
        </is>
      </c>
      <c r="B952" s="1" t="n">
        <v>45940.40097222223</v>
      </c>
      <c r="C952" s="1" t="n">
        <v>45971</v>
      </c>
      <c r="D952" t="inlineStr">
        <is>
          <t>VÄSTERBOTTENS LÄN</t>
        </is>
      </c>
      <c r="E952" t="inlineStr">
        <is>
          <t>LYCKSELE</t>
        </is>
      </c>
      <c r="F952" t="inlineStr">
        <is>
          <t>Sveaskog</t>
        </is>
      </c>
      <c r="G952" t="n">
        <v>6.3</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49786-2025 artfynd.xlsx", "A 49786-2025")</f>
        <v/>
      </c>
      <c r="T952">
        <f>HYPERLINK("https://klasma.github.io/Logging_2481/kartor/A 49786-2025 karta.png", "A 49786-2025")</f>
        <v/>
      </c>
      <c r="V952">
        <f>HYPERLINK("https://klasma.github.io/Logging_2481/klagomål/A 49786-2025 FSC-klagomål.docx", "A 49786-2025")</f>
        <v/>
      </c>
      <c r="W952">
        <f>HYPERLINK("https://klasma.github.io/Logging_2481/klagomålsmail/A 49786-2025 FSC-klagomål mail.docx", "A 49786-2025")</f>
        <v/>
      </c>
      <c r="X952">
        <f>HYPERLINK("https://klasma.github.io/Logging_2481/tillsyn/A 49786-2025 tillsynsbegäran.docx", "A 49786-2025")</f>
        <v/>
      </c>
      <c r="Y952">
        <f>HYPERLINK("https://klasma.github.io/Logging_2481/tillsynsmail/A 49786-2025 tillsynsbegäran mail.docx", "A 49786-2025")</f>
        <v/>
      </c>
    </row>
    <row r="953" ht="15" customHeight="1">
      <c r="A953" t="inlineStr">
        <is>
          <t>A 23314-2025</t>
        </is>
      </c>
      <c r="B953" s="1" t="n">
        <v>45791.61121527778</v>
      </c>
      <c r="C953" s="1" t="n">
        <v>45971</v>
      </c>
      <c r="D953" t="inlineStr">
        <is>
          <t>VÄSTERBOTTENS LÄN</t>
        </is>
      </c>
      <c r="E953" t="inlineStr">
        <is>
          <t>LYCKSELE</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HYPERLINK("https://klasma.github.io/Logging_2481/artfynd/A 23314-2025 artfynd.xlsx", "A 23314-2025")</f>
        <v/>
      </c>
      <c r="T953">
        <f>HYPERLINK("https://klasma.github.io/Logging_2481/kartor/A 23314-2025 karta.png", "A 23314-2025")</f>
        <v/>
      </c>
      <c r="V953">
        <f>HYPERLINK("https://klasma.github.io/Logging_2481/klagomål/A 23314-2025 FSC-klagomål.docx", "A 23314-2025")</f>
        <v/>
      </c>
      <c r="W953">
        <f>HYPERLINK("https://klasma.github.io/Logging_2481/klagomålsmail/A 23314-2025 FSC-klagomål mail.docx", "A 23314-2025")</f>
        <v/>
      </c>
      <c r="X953">
        <f>HYPERLINK("https://klasma.github.io/Logging_2481/tillsyn/A 23314-2025 tillsynsbegäran.docx", "A 23314-2025")</f>
        <v/>
      </c>
      <c r="Y953">
        <f>HYPERLINK("https://klasma.github.io/Logging_2481/tillsynsmail/A 23314-2025 tillsynsbegäran mail.docx", "A 23314-2025")</f>
        <v/>
      </c>
    </row>
    <row r="954" ht="15" customHeight="1">
      <c r="A954" t="inlineStr">
        <is>
          <t>A 18000-2025</t>
        </is>
      </c>
      <c r="B954" s="1" t="n">
        <v>45761</v>
      </c>
      <c r="C954" s="1" t="n">
        <v>45971</v>
      </c>
      <c r="D954" t="inlineStr">
        <is>
          <t>VÄSTERBOTTENS LÄN</t>
        </is>
      </c>
      <c r="E954" t="inlineStr">
        <is>
          <t>ÅSELE</t>
        </is>
      </c>
      <c r="G954" t="n">
        <v>4.2</v>
      </c>
      <c r="H954" t="n">
        <v>0</v>
      </c>
      <c r="I954" t="n">
        <v>0</v>
      </c>
      <c r="J954" t="n">
        <v>1</v>
      </c>
      <c r="K954" t="n">
        <v>0</v>
      </c>
      <c r="L954" t="n">
        <v>0</v>
      </c>
      <c r="M954" t="n">
        <v>0</v>
      </c>
      <c r="N954" t="n">
        <v>0</v>
      </c>
      <c r="O954" t="n">
        <v>1</v>
      </c>
      <c r="P954" t="n">
        <v>0</v>
      </c>
      <c r="Q954" t="n">
        <v>1</v>
      </c>
      <c r="R954" s="2" t="inlineStr">
        <is>
          <t>Månlåsbräken</t>
        </is>
      </c>
      <c r="S954">
        <f>HYPERLINK("https://klasma.github.io/Logging_2463/artfynd/A 18000-2025 artfynd.xlsx", "A 18000-2025")</f>
        <v/>
      </c>
      <c r="T954">
        <f>HYPERLINK("https://klasma.github.io/Logging_2463/kartor/A 18000-2025 karta.png", "A 18000-2025")</f>
        <v/>
      </c>
      <c r="V954">
        <f>HYPERLINK("https://klasma.github.io/Logging_2463/klagomål/A 18000-2025 FSC-klagomål.docx", "A 18000-2025")</f>
        <v/>
      </c>
      <c r="W954">
        <f>HYPERLINK("https://klasma.github.io/Logging_2463/klagomålsmail/A 18000-2025 FSC-klagomål mail.docx", "A 18000-2025")</f>
        <v/>
      </c>
      <c r="X954">
        <f>HYPERLINK("https://klasma.github.io/Logging_2463/tillsyn/A 18000-2025 tillsynsbegäran.docx", "A 18000-2025")</f>
        <v/>
      </c>
      <c r="Y954">
        <f>HYPERLINK("https://klasma.github.io/Logging_2463/tillsynsmail/A 18000-2025 tillsynsbegäran mail.docx", "A 18000-2025")</f>
        <v/>
      </c>
    </row>
    <row r="955" ht="15" customHeight="1">
      <c r="A955" t="inlineStr">
        <is>
          <t>A 59903-2023</t>
        </is>
      </c>
      <c r="B955" s="1" t="n">
        <v>45254</v>
      </c>
      <c r="C955" s="1" t="n">
        <v>45971</v>
      </c>
      <c r="D955" t="inlineStr">
        <is>
          <t>VÄSTERBOTTENS LÄN</t>
        </is>
      </c>
      <c r="E955" t="inlineStr">
        <is>
          <t>VINDELN</t>
        </is>
      </c>
      <c r="G955" t="n">
        <v>5.9</v>
      </c>
      <c r="H955" t="n">
        <v>0</v>
      </c>
      <c r="I955" t="n">
        <v>0</v>
      </c>
      <c r="J955" t="n">
        <v>1</v>
      </c>
      <c r="K955" t="n">
        <v>0</v>
      </c>
      <c r="L955" t="n">
        <v>0</v>
      </c>
      <c r="M955" t="n">
        <v>0</v>
      </c>
      <c r="N955" t="n">
        <v>0</v>
      </c>
      <c r="O955" t="n">
        <v>1</v>
      </c>
      <c r="P955" t="n">
        <v>0</v>
      </c>
      <c r="Q955" t="n">
        <v>1</v>
      </c>
      <c r="R955" s="2" t="inlineStr">
        <is>
          <t>Mörk kolflarnlav</t>
        </is>
      </c>
      <c r="S955">
        <f>HYPERLINK("https://klasma.github.io/Logging_2404/artfynd/A 59903-2023 artfynd.xlsx", "A 59903-2023")</f>
        <v/>
      </c>
      <c r="T955">
        <f>HYPERLINK("https://klasma.github.io/Logging_2404/kartor/A 59903-2023 karta.png", "A 59903-2023")</f>
        <v/>
      </c>
      <c r="U955">
        <f>HYPERLINK("https://klasma.github.io/Logging_2404/knärot/A 59903-2023 karta knärot.png", "A 59903-2023")</f>
        <v/>
      </c>
      <c r="V955">
        <f>HYPERLINK("https://klasma.github.io/Logging_2404/klagomål/A 59903-2023 FSC-klagomål.docx", "A 59903-2023")</f>
        <v/>
      </c>
      <c r="W955">
        <f>HYPERLINK("https://klasma.github.io/Logging_2404/klagomålsmail/A 59903-2023 FSC-klagomål mail.docx", "A 59903-2023")</f>
        <v/>
      </c>
      <c r="X955">
        <f>HYPERLINK("https://klasma.github.io/Logging_2404/tillsyn/A 59903-2023 tillsynsbegäran.docx", "A 59903-2023")</f>
        <v/>
      </c>
      <c r="Y955">
        <f>HYPERLINK("https://klasma.github.io/Logging_2404/tillsynsmail/A 59903-2023 tillsynsbegäran mail.docx", "A 59903-2023")</f>
        <v/>
      </c>
    </row>
    <row r="956" ht="15" customHeight="1">
      <c r="A956" t="inlineStr">
        <is>
          <t>A 47248-2024</t>
        </is>
      </c>
      <c r="B956" s="1" t="n">
        <v>45586</v>
      </c>
      <c r="C956" s="1" t="n">
        <v>45971</v>
      </c>
      <c r="D956" t="inlineStr">
        <is>
          <t>VÄSTERBOTTENS LÄN</t>
        </is>
      </c>
      <c r="E956" t="inlineStr">
        <is>
          <t>VILHELMINA</t>
        </is>
      </c>
      <c r="F956" t="inlineStr">
        <is>
          <t>SCA</t>
        </is>
      </c>
      <c r="G956" t="n">
        <v>4</v>
      </c>
      <c r="H956" t="n">
        <v>0</v>
      </c>
      <c r="I956" t="n">
        <v>0</v>
      </c>
      <c r="J956" t="n">
        <v>1</v>
      </c>
      <c r="K956" t="n">
        <v>0</v>
      </c>
      <c r="L956" t="n">
        <v>0</v>
      </c>
      <c r="M956" t="n">
        <v>0</v>
      </c>
      <c r="N956" t="n">
        <v>0</v>
      </c>
      <c r="O956" t="n">
        <v>1</v>
      </c>
      <c r="P956" t="n">
        <v>0</v>
      </c>
      <c r="Q956" t="n">
        <v>1</v>
      </c>
      <c r="R956" s="2" t="inlineStr">
        <is>
          <t>Granticka</t>
        </is>
      </c>
      <c r="S956">
        <f>HYPERLINK("https://klasma.github.io/Logging_2462/artfynd/A 47248-2024 artfynd.xlsx", "A 47248-2024")</f>
        <v/>
      </c>
      <c r="T956">
        <f>HYPERLINK("https://klasma.github.io/Logging_2462/kartor/A 47248-2024 karta.png", "A 47248-2024")</f>
        <v/>
      </c>
      <c r="V956">
        <f>HYPERLINK("https://klasma.github.io/Logging_2462/klagomål/A 47248-2024 FSC-klagomål.docx", "A 47248-2024")</f>
        <v/>
      </c>
      <c r="W956">
        <f>HYPERLINK("https://klasma.github.io/Logging_2462/klagomålsmail/A 47248-2024 FSC-klagomål mail.docx", "A 47248-2024")</f>
        <v/>
      </c>
      <c r="X956">
        <f>HYPERLINK("https://klasma.github.io/Logging_2462/tillsyn/A 47248-2024 tillsynsbegäran.docx", "A 47248-2024")</f>
        <v/>
      </c>
      <c r="Y956">
        <f>HYPERLINK("https://klasma.github.io/Logging_2462/tillsynsmail/A 47248-2024 tillsynsbegäran mail.docx", "A 47248-2024")</f>
        <v/>
      </c>
    </row>
    <row r="957" ht="15" customHeight="1">
      <c r="A957" t="inlineStr">
        <is>
          <t>A 37953-2023</t>
        </is>
      </c>
      <c r="B957" s="1" t="n">
        <v>45159</v>
      </c>
      <c r="C957" s="1" t="n">
        <v>45971</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48989-2025</t>
        </is>
      </c>
      <c r="B958" s="1" t="n">
        <v>45937</v>
      </c>
      <c r="C958" s="1" t="n">
        <v>45971</v>
      </c>
      <c r="D958" t="inlineStr">
        <is>
          <t>VÄSTERBOTTENS LÄN</t>
        </is>
      </c>
      <c r="E958" t="inlineStr">
        <is>
          <t>SORSELE</t>
        </is>
      </c>
      <c r="F958" t="inlineStr">
        <is>
          <t>Sveaskog</t>
        </is>
      </c>
      <c r="G958" t="n">
        <v>57.3</v>
      </c>
      <c r="H958" t="n">
        <v>0</v>
      </c>
      <c r="I958" t="n">
        <v>0</v>
      </c>
      <c r="J958" t="n">
        <v>0</v>
      </c>
      <c r="K958" t="n">
        <v>0</v>
      </c>
      <c r="L958" t="n">
        <v>1</v>
      </c>
      <c r="M958" t="n">
        <v>0</v>
      </c>
      <c r="N958" t="n">
        <v>0</v>
      </c>
      <c r="O958" t="n">
        <v>1</v>
      </c>
      <c r="P958" t="n">
        <v>1</v>
      </c>
      <c r="Q958" t="n">
        <v>1</v>
      </c>
      <c r="R958" s="2" t="inlineStr">
        <is>
          <t>Flodpärlmussla</t>
        </is>
      </c>
      <c r="S958">
        <f>HYPERLINK("https://klasma.github.io/Logging_2422/artfynd/A 48989-2025 artfynd.xlsx", "A 48989-2025")</f>
        <v/>
      </c>
      <c r="T958">
        <f>HYPERLINK("https://klasma.github.io/Logging_2422/kartor/A 48989-2025 karta.png", "A 48989-2025")</f>
        <v/>
      </c>
      <c r="V958">
        <f>HYPERLINK("https://klasma.github.io/Logging_2422/klagomål/A 48989-2025 FSC-klagomål.docx", "A 48989-2025")</f>
        <v/>
      </c>
      <c r="W958">
        <f>HYPERLINK("https://klasma.github.io/Logging_2422/klagomålsmail/A 48989-2025 FSC-klagomål mail.docx", "A 48989-2025")</f>
        <v/>
      </c>
      <c r="X958">
        <f>HYPERLINK("https://klasma.github.io/Logging_2422/tillsyn/A 48989-2025 tillsynsbegäran.docx", "A 48989-2025")</f>
        <v/>
      </c>
      <c r="Y958">
        <f>HYPERLINK("https://klasma.github.io/Logging_2422/tillsynsmail/A 48989-2025 tillsynsbegäran mail.docx", "A 48989-2025")</f>
        <v/>
      </c>
    </row>
    <row r="959" ht="15" customHeight="1">
      <c r="A959" t="inlineStr">
        <is>
          <t>A 24114-2025</t>
        </is>
      </c>
      <c r="B959" s="1" t="n">
        <v>45796.61449074074</v>
      </c>
      <c r="C959" s="1" t="n">
        <v>45971</v>
      </c>
      <c r="D959" t="inlineStr">
        <is>
          <t>VÄSTERBOTTENS LÄN</t>
        </is>
      </c>
      <c r="E959" t="inlineStr">
        <is>
          <t>ROBERTSFORS</t>
        </is>
      </c>
      <c r="F959" t="inlineStr">
        <is>
          <t>Holmen skog AB</t>
        </is>
      </c>
      <c r="G959" t="n">
        <v>9.699999999999999</v>
      </c>
      <c r="H959" t="n">
        <v>1</v>
      </c>
      <c r="I959" t="n">
        <v>0</v>
      </c>
      <c r="J959" t="n">
        <v>0</v>
      </c>
      <c r="K959" t="n">
        <v>0</v>
      </c>
      <c r="L959" t="n">
        <v>0</v>
      </c>
      <c r="M959" t="n">
        <v>0</v>
      </c>
      <c r="N959" t="n">
        <v>0</v>
      </c>
      <c r="O959" t="n">
        <v>0</v>
      </c>
      <c r="P959" t="n">
        <v>0</v>
      </c>
      <c r="Q959" t="n">
        <v>1</v>
      </c>
      <c r="R959" s="2" t="inlineStr">
        <is>
          <t>Revlummer</t>
        </is>
      </c>
      <c r="S959">
        <f>HYPERLINK("https://klasma.github.io/Logging_2409/artfynd/A 24114-2025 artfynd.xlsx", "A 24114-2025")</f>
        <v/>
      </c>
      <c r="T959">
        <f>HYPERLINK("https://klasma.github.io/Logging_2409/kartor/A 24114-2025 karta.png", "A 24114-2025")</f>
        <v/>
      </c>
      <c r="V959">
        <f>HYPERLINK("https://klasma.github.io/Logging_2409/klagomål/A 24114-2025 FSC-klagomål.docx", "A 24114-2025")</f>
        <v/>
      </c>
      <c r="W959">
        <f>HYPERLINK("https://klasma.github.io/Logging_2409/klagomålsmail/A 24114-2025 FSC-klagomål mail.docx", "A 24114-2025")</f>
        <v/>
      </c>
      <c r="X959">
        <f>HYPERLINK("https://klasma.github.io/Logging_2409/tillsyn/A 24114-2025 tillsynsbegäran.docx", "A 24114-2025")</f>
        <v/>
      </c>
      <c r="Y959">
        <f>HYPERLINK("https://klasma.github.io/Logging_2409/tillsynsmail/A 24114-2025 tillsynsbegäran mail.docx", "A 24114-2025")</f>
        <v/>
      </c>
    </row>
    <row r="960" ht="15" customHeight="1">
      <c r="A960" t="inlineStr">
        <is>
          <t>A 25368-2024</t>
        </is>
      </c>
      <c r="B960" s="1" t="n">
        <v>45462</v>
      </c>
      <c r="C960" s="1" t="n">
        <v>45971</v>
      </c>
      <c r="D960" t="inlineStr">
        <is>
          <t>VÄSTERBOTTENS LÄN</t>
        </is>
      </c>
      <c r="E960" t="inlineStr">
        <is>
          <t>VILHELMINA</t>
        </is>
      </c>
      <c r="F960" t="inlineStr">
        <is>
          <t>SCA</t>
        </is>
      </c>
      <c r="G960" t="n">
        <v>2.5</v>
      </c>
      <c r="H960" t="n">
        <v>1</v>
      </c>
      <c r="I960" t="n">
        <v>0</v>
      </c>
      <c r="J960" t="n">
        <v>1</v>
      </c>
      <c r="K960" t="n">
        <v>0</v>
      </c>
      <c r="L960" t="n">
        <v>0</v>
      </c>
      <c r="M960" t="n">
        <v>0</v>
      </c>
      <c r="N960" t="n">
        <v>0</v>
      </c>
      <c r="O960" t="n">
        <v>1</v>
      </c>
      <c r="P960" t="n">
        <v>0</v>
      </c>
      <c r="Q960" t="n">
        <v>1</v>
      </c>
      <c r="R960" s="2" t="inlineStr">
        <is>
          <t>Utter</t>
        </is>
      </c>
      <c r="S960">
        <f>HYPERLINK("https://klasma.github.io/Logging_2462/artfynd/A 25368-2024 artfynd.xlsx", "A 25368-2024")</f>
        <v/>
      </c>
      <c r="T960">
        <f>HYPERLINK("https://klasma.github.io/Logging_2462/kartor/A 25368-2024 karta.png", "A 25368-2024")</f>
        <v/>
      </c>
      <c r="V960">
        <f>HYPERLINK("https://klasma.github.io/Logging_2462/klagomål/A 25368-2024 FSC-klagomål.docx", "A 25368-2024")</f>
        <v/>
      </c>
      <c r="W960">
        <f>HYPERLINK("https://klasma.github.io/Logging_2462/klagomålsmail/A 25368-2024 FSC-klagomål mail.docx", "A 25368-2024")</f>
        <v/>
      </c>
      <c r="X960">
        <f>HYPERLINK("https://klasma.github.io/Logging_2462/tillsyn/A 25368-2024 tillsynsbegäran.docx", "A 25368-2024")</f>
        <v/>
      </c>
      <c r="Y960">
        <f>HYPERLINK("https://klasma.github.io/Logging_2462/tillsynsmail/A 25368-2024 tillsynsbegäran mail.docx", "A 25368-2024")</f>
        <v/>
      </c>
    </row>
    <row r="961" ht="15" customHeight="1">
      <c r="A961" t="inlineStr">
        <is>
          <t>A 25374-2024</t>
        </is>
      </c>
      <c r="B961" s="1" t="n">
        <v>45462.96118055555</v>
      </c>
      <c r="C961" s="1" t="n">
        <v>45971</v>
      </c>
      <c r="D961" t="inlineStr">
        <is>
          <t>VÄSTERBOTTENS LÄN</t>
        </is>
      </c>
      <c r="E961" t="inlineStr">
        <is>
          <t>VILHELMINA</t>
        </is>
      </c>
      <c r="F961" t="inlineStr">
        <is>
          <t>SCA</t>
        </is>
      </c>
      <c r="G961" t="n">
        <v>7.7</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25374-2024 artfynd.xlsx", "A 25374-2024")</f>
        <v/>
      </c>
      <c r="T961">
        <f>HYPERLINK("https://klasma.github.io/Logging_2462/kartor/A 25374-2024 karta.png", "A 25374-2024")</f>
        <v/>
      </c>
      <c r="V961">
        <f>HYPERLINK("https://klasma.github.io/Logging_2462/klagomål/A 25374-2024 FSC-klagomål.docx", "A 25374-2024")</f>
        <v/>
      </c>
      <c r="W961">
        <f>HYPERLINK("https://klasma.github.io/Logging_2462/klagomålsmail/A 25374-2024 FSC-klagomål mail.docx", "A 25374-2024")</f>
        <v/>
      </c>
      <c r="X961">
        <f>HYPERLINK("https://klasma.github.io/Logging_2462/tillsyn/A 25374-2024 tillsynsbegäran.docx", "A 25374-2024")</f>
        <v/>
      </c>
      <c r="Y961">
        <f>HYPERLINK("https://klasma.github.io/Logging_2462/tillsynsmail/A 25374-2024 tillsynsbegäran mail.docx", "A 25374-2024")</f>
        <v/>
      </c>
      <c r="Z961">
        <f>HYPERLINK("https://klasma.github.io/Logging_2462/fåglar/A 25374-2024 prioriterade fågelarter.docx", "A 25374-2024")</f>
        <v/>
      </c>
    </row>
    <row r="962" ht="15" customHeight="1">
      <c r="A962" t="inlineStr">
        <is>
          <t>A 35931-2024</t>
        </is>
      </c>
      <c r="B962" s="1" t="n">
        <v>45533.4471875</v>
      </c>
      <c r="C962" s="1" t="n">
        <v>45971</v>
      </c>
      <c r="D962" t="inlineStr">
        <is>
          <t>VÄSTERBOTTENS LÄN</t>
        </is>
      </c>
      <c r="E962" t="inlineStr">
        <is>
          <t>LYCKSELE</t>
        </is>
      </c>
      <c r="F962" t="inlineStr">
        <is>
          <t>Sveaskog</t>
        </is>
      </c>
      <c r="G962" t="n">
        <v>57.3</v>
      </c>
      <c r="H962" t="n">
        <v>0</v>
      </c>
      <c r="I962" t="n">
        <v>0</v>
      </c>
      <c r="J962" t="n">
        <v>1</v>
      </c>
      <c r="K962" t="n">
        <v>0</v>
      </c>
      <c r="L962" t="n">
        <v>0</v>
      </c>
      <c r="M962" t="n">
        <v>0</v>
      </c>
      <c r="N962" t="n">
        <v>0</v>
      </c>
      <c r="O962" t="n">
        <v>1</v>
      </c>
      <c r="P962" t="n">
        <v>0</v>
      </c>
      <c r="Q962" t="n">
        <v>1</v>
      </c>
      <c r="R962" s="2" t="inlineStr">
        <is>
          <t>Kolflarnlav</t>
        </is>
      </c>
      <c r="S962">
        <f>HYPERLINK("https://klasma.github.io/Logging_2481/artfynd/A 35931-2024 artfynd.xlsx", "A 35931-2024")</f>
        <v/>
      </c>
      <c r="T962">
        <f>HYPERLINK("https://klasma.github.io/Logging_2481/kartor/A 35931-2024 karta.png", "A 35931-2024")</f>
        <v/>
      </c>
      <c r="V962">
        <f>HYPERLINK("https://klasma.github.io/Logging_2481/klagomål/A 35931-2024 FSC-klagomål.docx", "A 35931-2024")</f>
        <v/>
      </c>
      <c r="W962">
        <f>HYPERLINK("https://klasma.github.io/Logging_2481/klagomålsmail/A 35931-2024 FSC-klagomål mail.docx", "A 35931-2024")</f>
        <v/>
      </c>
      <c r="X962">
        <f>HYPERLINK("https://klasma.github.io/Logging_2481/tillsyn/A 35931-2024 tillsynsbegäran.docx", "A 35931-2024")</f>
        <v/>
      </c>
      <c r="Y962">
        <f>HYPERLINK("https://klasma.github.io/Logging_2481/tillsynsmail/A 35931-2024 tillsynsbegäran mail.docx", "A 35931-2024")</f>
        <v/>
      </c>
    </row>
    <row r="963" ht="15" customHeight="1">
      <c r="A963" t="inlineStr">
        <is>
          <t>A 47313-2023</t>
        </is>
      </c>
      <c r="B963" s="1" t="n">
        <v>45196</v>
      </c>
      <c r="C963" s="1" t="n">
        <v>45971</v>
      </c>
      <c r="D963" t="inlineStr">
        <is>
          <t>VÄSTERBOTTENS LÄN</t>
        </is>
      </c>
      <c r="E963" t="inlineStr">
        <is>
          <t>STORUMAN</t>
        </is>
      </c>
      <c r="F963" t="inlineStr">
        <is>
          <t>Övriga statliga verk och myndigheter</t>
        </is>
      </c>
      <c r="G963" t="n">
        <v>33</v>
      </c>
      <c r="H963" t="n">
        <v>0</v>
      </c>
      <c r="I963" t="n">
        <v>0</v>
      </c>
      <c r="J963" t="n">
        <v>1</v>
      </c>
      <c r="K963" t="n">
        <v>0</v>
      </c>
      <c r="L963" t="n">
        <v>0</v>
      </c>
      <c r="M963" t="n">
        <v>0</v>
      </c>
      <c r="N963" t="n">
        <v>0</v>
      </c>
      <c r="O963" t="n">
        <v>1</v>
      </c>
      <c r="P963" t="n">
        <v>0</v>
      </c>
      <c r="Q963" t="n">
        <v>1</v>
      </c>
      <c r="R963" s="2" t="inlineStr">
        <is>
          <t>Granticka</t>
        </is>
      </c>
      <c r="S963">
        <f>HYPERLINK("https://klasma.github.io/Logging_2421/artfynd/A 47313-2023 artfynd.xlsx", "A 47313-2023")</f>
        <v/>
      </c>
      <c r="T963">
        <f>HYPERLINK("https://klasma.github.io/Logging_2421/kartor/A 47313-2023 karta.png", "A 47313-2023")</f>
        <v/>
      </c>
      <c r="V963">
        <f>HYPERLINK("https://klasma.github.io/Logging_2421/klagomål/A 47313-2023 FSC-klagomål.docx", "A 47313-2023")</f>
        <v/>
      </c>
      <c r="W963">
        <f>HYPERLINK("https://klasma.github.io/Logging_2421/klagomålsmail/A 47313-2023 FSC-klagomål mail.docx", "A 47313-2023")</f>
        <v/>
      </c>
      <c r="X963">
        <f>HYPERLINK("https://klasma.github.io/Logging_2421/tillsyn/A 47313-2023 tillsynsbegäran.docx", "A 47313-2023")</f>
        <v/>
      </c>
      <c r="Y963">
        <f>HYPERLINK("https://klasma.github.io/Logging_2421/tillsynsmail/A 47313-2023 tillsynsbegäran mail.docx", "A 47313-2023")</f>
        <v/>
      </c>
    </row>
    <row r="964" ht="15" customHeight="1">
      <c r="A964" t="inlineStr">
        <is>
          <t>A 41409-2025</t>
        </is>
      </c>
      <c r="B964" s="1" t="n">
        <v>45901.34798611111</v>
      </c>
      <c r="C964" s="1" t="n">
        <v>45971</v>
      </c>
      <c r="D964" t="inlineStr">
        <is>
          <t>VÄSTERBOTTENS LÄN</t>
        </is>
      </c>
      <c r="E964" t="inlineStr">
        <is>
          <t>SKELLEFTEÅ</t>
        </is>
      </c>
      <c r="F964" t="inlineStr">
        <is>
          <t>Kommuner</t>
        </is>
      </c>
      <c r="G964" t="n">
        <v>2.4</v>
      </c>
      <c r="H964" t="n">
        <v>0</v>
      </c>
      <c r="I964" t="n">
        <v>0</v>
      </c>
      <c r="J964" t="n">
        <v>1</v>
      </c>
      <c r="K964" t="n">
        <v>0</v>
      </c>
      <c r="L964" t="n">
        <v>0</v>
      </c>
      <c r="M964" t="n">
        <v>0</v>
      </c>
      <c r="N964" t="n">
        <v>0</v>
      </c>
      <c r="O964" t="n">
        <v>1</v>
      </c>
      <c r="P964" t="n">
        <v>0</v>
      </c>
      <c r="Q964" t="n">
        <v>1</v>
      </c>
      <c r="R964" s="2" t="inlineStr">
        <is>
          <t>Lunglav</t>
        </is>
      </c>
      <c r="S964">
        <f>HYPERLINK("https://klasma.github.io/Logging_2482/artfynd/A 41409-2025 artfynd.xlsx", "A 41409-2025")</f>
        <v/>
      </c>
      <c r="T964">
        <f>HYPERLINK("https://klasma.github.io/Logging_2482/kartor/A 41409-2025 karta.png", "A 41409-2025")</f>
        <v/>
      </c>
      <c r="V964">
        <f>HYPERLINK("https://klasma.github.io/Logging_2482/klagomål/A 41409-2025 FSC-klagomål.docx", "A 41409-2025")</f>
        <v/>
      </c>
      <c r="W964">
        <f>HYPERLINK("https://klasma.github.io/Logging_2482/klagomålsmail/A 41409-2025 FSC-klagomål mail.docx", "A 41409-2025")</f>
        <v/>
      </c>
      <c r="X964">
        <f>HYPERLINK("https://klasma.github.io/Logging_2482/tillsyn/A 41409-2025 tillsynsbegäran.docx", "A 41409-2025")</f>
        <v/>
      </c>
      <c r="Y964">
        <f>HYPERLINK("https://klasma.github.io/Logging_2482/tillsynsmail/A 41409-2025 tillsynsbegäran mail.docx", "A 41409-2025")</f>
        <v/>
      </c>
    </row>
    <row r="965" ht="15" customHeight="1">
      <c r="A965" t="inlineStr">
        <is>
          <t>A 57058-2024</t>
        </is>
      </c>
      <c r="B965" s="1" t="n">
        <v>45629</v>
      </c>
      <c r="C965" s="1" t="n">
        <v>45971</v>
      </c>
      <c r="D965" t="inlineStr">
        <is>
          <t>VÄSTERBOTTENS LÄN</t>
        </is>
      </c>
      <c r="E965" t="inlineStr">
        <is>
          <t>DOROTEA</t>
        </is>
      </c>
      <c r="F965" t="inlineStr">
        <is>
          <t>SCA</t>
        </is>
      </c>
      <c r="G965" t="n">
        <v>2.4</v>
      </c>
      <c r="H965" t="n">
        <v>0</v>
      </c>
      <c r="I965" t="n">
        <v>0</v>
      </c>
      <c r="J965" t="n">
        <v>1</v>
      </c>
      <c r="K965" t="n">
        <v>0</v>
      </c>
      <c r="L965" t="n">
        <v>0</v>
      </c>
      <c r="M965" t="n">
        <v>0</v>
      </c>
      <c r="N965" t="n">
        <v>0</v>
      </c>
      <c r="O965" t="n">
        <v>1</v>
      </c>
      <c r="P965" t="n">
        <v>0</v>
      </c>
      <c r="Q965" t="n">
        <v>1</v>
      </c>
      <c r="R965" s="2" t="inlineStr">
        <is>
          <t>Granticka</t>
        </is>
      </c>
      <c r="S965">
        <f>HYPERLINK("https://klasma.github.io/Logging_2425/artfynd/A 57058-2024 artfynd.xlsx", "A 57058-2024")</f>
        <v/>
      </c>
      <c r="T965">
        <f>HYPERLINK("https://klasma.github.io/Logging_2425/kartor/A 57058-2024 karta.png", "A 57058-2024")</f>
        <v/>
      </c>
      <c r="V965">
        <f>HYPERLINK("https://klasma.github.io/Logging_2425/klagomål/A 57058-2024 FSC-klagomål.docx", "A 57058-2024")</f>
        <v/>
      </c>
      <c r="W965">
        <f>HYPERLINK("https://klasma.github.io/Logging_2425/klagomålsmail/A 57058-2024 FSC-klagomål mail.docx", "A 57058-2024")</f>
        <v/>
      </c>
      <c r="X965">
        <f>HYPERLINK("https://klasma.github.io/Logging_2425/tillsyn/A 57058-2024 tillsynsbegäran.docx", "A 57058-2024")</f>
        <v/>
      </c>
      <c r="Y965">
        <f>HYPERLINK("https://klasma.github.io/Logging_2425/tillsynsmail/A 57058-2024 tillsynsbegäran mail.docx", "A 57058-2024")</f>
        <v/>
      </c>
    </row>
    <row r="966" ht="15" customHeight="1">
      <c r="A966" t="inlineStr">
        <is>
          <t>A 56202-2024</t>
        </is>
      </c>
      <c r="B966" s="1" t="n">
        <v>45624</v>
      </c>
      <c r="C966" s="1" t="n">
        <v>45971</v>
      </c>
      <c r="D966" t="inlineStr">
        <is>
          <t>VÄSTERBOTTENS LÄN</t>
        </is>
      </c>
      <c r="E966" t="inlineStr">
        <is>
          <t>DOROTEA</t>
        </is>
      </c>
      <c r="F966" t="inlineStr">
        <is>
          <t>SCA</t>
        </is>
      </c>
      <c r="G966" t="n">
        <v>6.2</v>
      </c>
      <c r="H966" t="n">
        <v>0</v>
      </c>
      <c r="I966" t="n">
        <v>0</v>
      </c>
      <c r="J966" t="n">
        <v>1</v>
      </c>
      <c r="K966" t="n">
        <v>0</v>
      </c>
      <c r="L966" t="n">
        <v>0</v>
      </c>
      <c r="M966" t="n">
        <v>0</v>
      </c>
      <c r="N966" t="n">
        <v>0</v>
      </c>
      <c r="O966" t="n">
        <v>1</v>
      </c>
      <c r="P966" t="n">
        <v>0</v>
      </c>
      <c r="Q966" t="n">
        <v>1</v>
      </c>
      <c r="R966" s="2" t="inlineStr">
        <is>
          <t>Ullticka</t>
        </is>
      </c>
      <c r="S966">
        <f>HYPERLINK("https://klasma.github.io/Logging_2425/artfynd/A 56202-2024 artfynd.xlsx", "A 56202-2024")</f>
        <v/>
      </c>
      <c r="T966">
        <f>HYPERLINK("https://klasma.github.io/Logging_2425/kartor/A 56202-2024 karta.png", "A 56202-2024")</f>
        <v/>
      </c>
      <c r="V966">
        <f>HYPERLINK("https://klasma.github.io/Logging_2425/klagomål/A 56202-2024 FSC-klagomål.docx", "A 56202-2024")</f>
        <v/>
      </c>
      <c r="W966">
        <f>HYPERLINK("https://klasma.github.io/Logging_2425/klagomålsmail/A 56202-2024 FSC-klagomål mail.docx", "A 56202-2024")</f>
        <v/>
      </c>
      <c r="X966">
        <f>HYPERLINK("https://klasma.github.io/Logging_2425/tillsyn/A 56202-2024 tillsynsbegäran.docx", "A 56202-2024")</f>
        <v/>
      </c>
      <c r="Y966">
        <f>HYPERLINK("https://klasma.github.io/Logging_2425/tillsynsmail/A 56202-2024 tillsynsbegäran mail.docx", "A 56202-2024")</f>
        <v/>
      </c>
    </row>
    <row r="967" ht="15" customHeight="1">
      <c r="A967" t="inlineStr">
        <is>
          <t>A 41055-2023</t>
        </is>
      </c>
      <c r="B967" s="1" t="n">
        <v>45173</v>
      </c>
      <c r="C967" s="1" t="n">
        <v>45971</v>
      </c>
      <c r="D967" t="inlineStr">
        <is>
          <t>VÄSTERBOTTENS LÄN</t>
        </is>
      </c>
      <c r="E967" t="inlineStr">
        <is>
          <t>SKELLEFTEÅ</t>
        </is>
      </c>
      <c r="F967" t="inlineStr">
        <is>
          <t>Holmen skog AB</t>
        </is>
      </c>
      <c r="G967" t="n">
        <v>4.4</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41055-2023 artfynd.xlsx", "A 41055-2023")</f>
        <v/>
      </c>
      <c r="T967">
        <f>HYPERLINK("https://klasma.github.io/Logging_2482/kartor/A 41055-2023 karta.png", "A 41055-2023")</f>
        <v/>
      </c>
      <c r="V967">
        <f>HYPERLINK("https://klasma.github.io/Logging_2482/klagomål/A 41055-2023 FSC-klagomål.docx", "A 41055-2023")</f>
        <v/>
      </c>
      <c r="W967">
        <f>HYPERLINK("https://klasma.github.io/Logging_2482/klagomålsmail/A 41055-2023 FSC-klagomål mail.docx", "A 41055-2023")</f>
        <v/>
      </c>
      <c r="X967">
        <f>HYPERLINK("https://klasma.github.io/Logging_2482/tillsyn/A 41055-2023 tillsynsbegäran.docx", "A 41055-2023")</f>
        <v/>
      </c>
      <c r="Y967">
        <f>HYPERLINK("https://klasma.github.io/Logging_2482/tillsynsmail/A 41055-2023 tillsynsbegäran mail.docx", "A 41055-2023")</f>
        <v/>
      </c>
    </row>
    <row r="968" ht="15" customHeight="1">
      <c r="A968" t="inlineStr">
        <is>
          <t>A 49359-2023</t>
        </is>
      </c>
      <c r="B968" s="1" t="n">
        <v>45211.33486111111</v>
      </c>
      <c r="C968" s="1" t="n">
        <v>45971</v>
      </c>
      <c r="D968" t="inlineStr">
        <is>
          <t>VÄSTERBOTTENS LÄN</t>
        </is>
      </c>
      <c r="E968" t="inlineStr">
        <is>
          <t>UMEÅ</t>
        </is>
      </c>
      <c r="G968" t="n">
        <v>5.2</v>
      </c>
      <c r="H968" t="n">
        <v>1</v>
      </c>
      <c r="I968" t="n">
        <v>0</v>
      </c>
      <c r="J968" t="n">
        <v>0</v>
      </c>
      <c r="K968" t="n">
        <v>0</v>
      </c>
      <c r="L968" t="n">
        <v>0</v>
      </c>
      <c r="M968" t="n">
        <v>0</v>
      </c>
      <c r="N968" t="n">
        <v>0</v>
      </c>
      <c r="O968" t="n">
        <v>0</v>
      </c>
      <c r="P968" t="n">
        <v>0</v>
      </c>
      <c r="Q968" t="n">
        <v>1</v>
      </c>
      <c r="R968" s="2" t="inlineStr">
        <is>
          <t>Orre</t>
        </is>
      </c>
      <c r="S968">
        <f>HYPERLINK("https://klasma.github.io/Logging_2480/artfynd/A 49359-2023 artfynd.xlsx", "A 49359-2023")</f>
        <v/>
      </c>
      <c r="T968">
        <f>HYPERLINK("https://klasma.github.io/Logging_2480/kartor/A 49359-2023 karta.png", "A 49359-2023")</f>
        <v/>
      </c>
      <c r="V968">
        <f>HYPERLINK("https://klasma.github.io/Logging_2480/klagomål/A 49359-2023 FSC-klagomål.docx", "A 49359-2023")</f>
        <v/>
      </c>
      <c r="W968">
        <f>HYPERLINK("https://klasma.github.io/Logging_2480/klagomålsmail/A 49359-2023 FSC-klagomål mail.docx", "A 49359-2023")</f>
        <v/>
      </c>
      <c r="X968">
        <f>HYPERLINK("https://klasma.github.io/Logging_2480/tillsyn/A 49359-2023 tillsynsbegäran.docx", "A 49359-2023")</f>
        <v/>
      </c>
      <c r="Y968">
        <f>HYPERLINK("https://klasma.github.io/Logging_2480/tillsynsmail/A 49359-2023 tillsynsbegäran mail.docx", "A 49359-2023")</f>
        <v/>
      </c>
      <c r="Z968">
        <f>HYPERLINK("https://klasma.github.io/Logging_2480/fåglar/A 49359-2023 prioriterade fågelarter.docx", "A 49359-2023")</f>
        <v/>
      </c>
    </row>
    <row r="969" ht="15" customHeight="1">
      <c r="A969" t="inlineStr">
        <is>
          <t>A 50292-2025</t>
        </is>
      </c>
      <c r="B969" s="1" t="n">
        <v>45944.40802083333</v>
      </c>
      <c r="C969" s="1" t="n">
        <v>45971</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41848-2024</t>
        </is>
      </c>
      <c r="B970" s="1" t="n">
        <v>45561.43266203703</v>
      </c>
      <c r="C970" s="1" t="n">
        <v>45971</v>
      </c>
      <c r="D970" t="inlineStr">
        <is>
          <t>VÄSTERBOTTENS LÄN</t>
        </is>
      </c>
      <c r="E970" t="inlineStr">
        <is>
          <t>STORUMAN</t>
        </is>
      </c>
      <c r="F970" t="inlineStr">
        <is>
          <t>Sveaskog</t>
        </is>
      </c>
      <c r="G970" t="n">
        <v>4.1</v>
      </c>
      <c r="H970" t="n">
        <v>0</v>
      </c>
      <c r="I970" t="n">
        <v>1</v>
      </c>
      <c r="J970" t="n">
        <v>0</v>
      </c>
      <c r="K970" t="n">
        <v>0</v>
      </c>
      <c r="L970" t="n">
        <v>0</v>
      </c>
      <c r="M970" t="n">
        <v>0</v>
      </c>
      <c r="N970" t="n">
        <v>0</v>
      </c>
      <c r="O970" t="n">
        <v>0</v>
      </c>
      <c r="P970" t="n">
        <v>0</v>
      </c>
      <c r="Q970" t="n">
        <v>1</v>
      </c>
      <c r="R970" s="2" t="inlineStr">
        <is>
          <t>Skarp dropptaggsvamp</t>
        </is>
      </c>
      <c r="S970">
        <f>HYPERLINK("https://klasma.github.io/Logging_2421/artfynd/A 41848-2024 artfynd.xlsx", "A 41848-2024")</f>
        <v/>
      </c>
      <c r="T970">
        <f>HYPERLINK("https://klasma.github.io/Logging_2421/kartor/A 41848-2024 karta.png", "A 41848-2024")</f>
        <v/>
      </c>
      <c r="V970">
        <f>HYPERLINK("https://klasma.github.io/Logging_2421/klagomål/A 41848-2024 FSC-klagomål.docx", "A 41848-2024")</f>
        <v/>
      </c>
      <c r="W970">
        <f>HYPERLINK("https://klasma.github.io/Logging_2421/klagomålsmail/A 41848-2024 FSC-klagomål mail.docx", "A 41848-2024")</f>
        <v/>
      </c>
      <c r="X970">
        <f>HYPERLINK("https://klasma.github.io/Logging_2421/tillsyn/A 41848-2024 tillsynsbegäran.docx", "A 41848-2024")</f>
        <v/>
      </c>
      <c r="Y970">
        <f>HYPERLINK("https://klasma.github.io/Logging_2421/tillsynsmail/A 41848-2024 tillsynsbegäran mail.docx", "A 41848-2024")</f>
        <v/>
      </c>
    </row>
    <row r="971" ht="15" customHeight="1">
      <c r="A971" t="inlineStr">
        <is>
          <t>A 55566-2024</t>
        </is>
      </c>
      <c r="B971" s="1" t="n">
        <v>45622</v>
      </c>
      <c r="C971" s="1" t="n">
        <v>45971</v>
      </c>
      <c r="D971" t="inlineStr">
        <is>
          <t>VÄSTERBOTTENS LÄN</t>
        </is>
      </c>
      <c r="E971" t="inlineStr">
        <is>
          <t>LYCKSELE</t>
        </is>
      </c>
      <c r="F971" t="inlineStr">
        <is>
          <t>Sveaskog</t>
        </is>
      </c>
      <c r="G971" t="n">
        <v>1.8</v>
      </c>
      <c r="H971" t="n">
        <v>0</v>
      </c>
      <c r="I971" t="n">
        <v>0</v>
      </c>
      <c r="J971" t="n">
        <v>1</v>
      </c>
      <c r="K971" t="n">
        <v>0</v>
      </c>
      <c r="L971" t="n">
        <v>0</v>
      </c>
      <c r="M971" t="n">
        <v>0</v>
      </c>
      <c r="N971" t="n">
        <v>0</v>
      </c>
      <c r="O971" t="n">
        <v>1</v>
      </c>
      <c r="P971" t="n">
        <v>0</v>
      </c>
      <c r="Q971" t="n">
        <v>1</v>
      </c>
      <c r="R971" s="2" t="inlineStr">
        <is>
          <t>Harticka</t>
        </is>
      </c>
      <c r="S971">
        <f>HYPERLINK("https://klasma.github.io/Logging_2481/artfynd/A 55566-2024 artfynd.xlsx", "A 55566-2024")</f>
        <v/>
      </c>
      <c r="T971">
        <f>HYPERLINK("https://klasma.github.io/Logging_2481/kartor/A 55566-2024 karta.png", "A 55566-2024")</f>
        <v/>
      </c>
      <c r="V971">
        <f>HYPERLINK("https://klasma.github.io/Logging_2481/klagomål/A 55566-2024 FSC-klagomål.docx", "A 55566-2024")</f>
        <v/>
      </c>
      <c r="W971">
        <f>HYPERLINK("https://klasma.github.io/Logging_2481/klagomålsmail/A 55566-2024 FSC-klagomål mail.docx", "A 55566-2024")</f>
        <v/>
      </c>
      <c r="X971">
        <f>HYPERLINK("https://klasma.github.io/Logging_2481/tillsyn/A 55566-2024 tillsynsbegäran.docx", "A 55566-2024")</f>
        <v/>
      </c>
      <c r="Y971">
        <f>HYPERLINK("https://klasma.github.io/Logging_2481/tillsynsmail/A 55566-2024 tillsynsbegäran mail.docx", "A 55566-2024")</f>
        <v/>
      </c>
    </row>
    <row r="972" ht="15" customHeight="1">
      <c r="A972" t="inlineStr">
        <is>
          <t>A 24515-2025</t>
        </is>
      </c>
      <c r="B972" s="1" t="n">
        <v>45798</v>
      </c>
      <c r="C972" s="1" t="n">
        <v>45971</v>
      </c>
      <c r="D972" t="inlineStr">
        <is>
          <t>VÄSTERBOTTENS LÄN</t>
        </is>
      </c>
      <c r="E972" t="inlineStr">
        <is>
          <t>LYCKSELE</t>
        </is>
      </c>
      <c r="F972" t="inlineStr">
        <is>
          <t>Sveaskog</t>
        </is>
      </c>
      <c r="G972" t="n">
        <v>9.9</v>
      </c>
      <c r="H972" t="n">
        <v>1</v>
      </c>
      <c r="I972" t="n">
        <v>0</v>
      </c>
      <c r="J972" t="n">
        <v>1</v>
      </c>
      <c r="K972" t="n">
        <v>0</v>
      </c>
      <c r="L972" t="n">
        <v>0</v>
      </c>
      <c r="M972" t="n">
        <v>0</v>
      </c>
      <c r="N972" t="n">
        <v>0</v>
      </c>
      <c r="O972" t="n">
        <v>1</v>
      </c>
      <c r="P972" t="n">
        <v>0</v>
      </c>
      <c r="Q972" t="n">
        <v>1</v>
      </c>
      <c r="R972" s="2" t="inlineStr">
        <is>
          <t>Talltita</t>
        </is>
      </c>
      <c r="S972">
        <f>HYPERLINK("https://klasma.github.io/Logging_2481/artfynd/A 24515-2025 artfynd.xlsx", "A 24515-2025")</f>
        <v/>
      </c>
      <c r="T972">
        <f>HYPERLINK("https://klasma.github.io/Logging_2481/kartor/A 24515-2025 karta.png", "A 24515-2025")</f>
        <v/>
      </c>
      <c r="V972">
        <f>HYPERLINK("https://klasma.github.io/Logging_2481/klagomål/A 24515-2025 FSC-klagomål.docx", "A 24515-2025")</f>
        <v/>
      </c>
      <c r="W972">
        <f>HYPERLINK("https://klasma.github.io/Logging_2481/klagomålsmail/A 24515-2025 FSC-klagomål mail.docx", "A 24515-2025")</f>
        <v/>
      </c>
      <c r="X972">
        <f>HYPERLINK("https://klasma.github.io/Logging_2481/tillsyn/A 24515-2025 tillsynsbegäran.docx", "A 24515-2025")</f>
        <v/>
      </c>
      <c r="Y972">
        <f>HYPERLINK("https://klasma.github.io/Logging_2481/tillsynsmail/A 24515-2025 tillsynsbegäran mail.docx", "A 24515-2025")</f>
        <v/>
      </c>
      <c r="Z972">
        <f>HYPERLINK("https://klasma.github.io/Logging_2481/fåglar/A 24515-2025 prioriterade fågelarter.docx", "A 24515-2025")</f>
        <v/>
      </c>
    </row>
    <row r="973" ht="15" customHeight="1">
      <c r="A973" t="inlineStr">
        <is>
          <t>A 16839-2022</t>
        </is>
      </c>
      <c r="B973" s="1" t="n">
        <v>44673</v>
      </c>
      <c r="C973" s="1" t="n">
        <v>45971</v>
      </c>
      <c r="D973" t="inlineStr">
        <is>
          <t>VÄSTERBOTTENS LÄN</t>
        </is>
      </c>
      <c r="E973" t="inlineStr">
        <is>
          <t>UMEÅ</t>
        </is>
      </c>
      <c r="G973" t="n">
        <v>3</v>
      </c>
      <c r="H973" t="n">
        <v>1</v>
      </c>
      <c r="I973" t="n">
        <v>0</v>
      </c>
      <c r="J973" t="n">
        <v>1</v>
      </c>
      <c r="K973" t="n">
        <v>0</v>
      </c>
      <c r="L973" t="n">
        <v>0</v>
      </c>
      <c r="M973" t="n">
        <v>0</v>
      </c>
      <c r="N973" t="n">
        <v>0</v>
      </c>
      <c r="O973" t="n">
        <v>1</v>
      </c>
      <c r="P973" t="n">
        <v>0</v>
      </c>
      <c r="Q973" t="n">
        <v>1</v>
      </c>
      <c r="R973" s="2" t="inlineStr">
        <is>
          <t>Kråka</t>
        </is>
      </c>
      <c r="S973">
        <f>HYPERLINK("https://klasma.github.io/Logging_2480/artfynd/A 16839-2022 artfynd.xlsx", "A 16839-2022")</f>
        <v/>
      </c>
      <c r="T973">
        <f>HYPERLINK("https://klasma.github.io/Logging_2480/kartor/A 16839-2022 karta.png", "A 16839-2022")</f>
        <v/>
      </c>
      <c r="V973">
        <f>HYPERLINK("https://klasma.github.io/Logging_2480/klagomål/A 16839-2022 FSC-klagomål.docx", "A 16839-2022")</f>
        <v/>
      </c>
      <c r="W973">
        <f>HYPERLINK("https://klasma.github.io/Logging_2480/klagomålsmail/A 16839-2022 FSC-klagomål mail.docx", "A 16839-2022")</f>
        <v/>
      </c>
      <c r="X973">
        <f>HYPERLINK("https://klasma.github.io/Logging_2480/tillsyn/A 16839-2022 tillsynsbegäran.docx", "A 16839-2022")</f>
        <v/>
      </c>
      <c r="Y973">
        <f>HYPERLINK("https://klasma.github.io/Logging_2480/tillsynsmail/A 16839-2022 tillsynsbegäran mail.docx", "A 16839-2022")</f>
        <v/>
      </c>
      <c r="Z973">
        <f>HYPERLINK("https://klasma.github.io/Logging_2480/fåglar/A 16839-2022 prioriterade fågelarter.docx", "A 16839-2022")</f>
        <v/>
      </c>
    </row>
    <row r="974" ht="15" customHeight="1">
      <c r="A974" t="inlineStr">
        <is>
          <t>A 50942-2024</t>
        </is>
      </c>
      <c r="B974" s="1" t="n">
        <v>45602</v>
      </c>
      <c r="C974" s="1" t="n">
        <v>45971</v>
      </c>
      <c r="D974" t="inlineStr">
        <is>
          <t>VÄSTERBOTTENS LÄN</t>
        </is>
      </c>
      <c r="E974" t="inlineStr">
        <is>
          <t>STORUMAN</t>
        </is>
      </c>
      <c r="G974" t="n">
        <v>9.1</v>
      </c>
      <c r="H974" t="n">
        <v>1</v>
      </c>
      <c r="I974" t="n">
        <v>0</v>
      </c>
      <c r="J974" t="n">
        <v>0</v>
      </c>
      <c r="K974" t="n">
        <v>1</v>
      </c>
      <c r="L974" t="n">
        <v>0</v>
      </c>
      <c r="M974" t="n">
        <v>0</v>
      </c>
      <c r="N974" t="n">
        <v>0</v>
      </c>
      <c r="O974" t="n">
        <v>1</v>
      </c>
      <c r="P974" t="n">
        <v>1</v>
      </c>
      <c r="Q974" t="n">
        <v>1</v>
      </c>
      <c r="R974" s="2" t="inlineStr">
        <is>
          <t>Knärot</t>
        </is>
      </c>
      <c r="S974">
        <f>HYPERLINK("https://klasma.github.io/Logging_2421/artfynd/A 50942-2024 artfynd.xlsx", "A 50942-2024")</f>
        <v/>
      </c>
      <c r="T974">
        <f>HYPERLINK("https://klasma.github.io/Logging_2421/kartor/A 50942-2024 karta.png", "A 50942-2024")</f>
        <v/>
      </c>
      <c r="U974">
        <f>HYPERLINK("https://klasma.github.io/Logging_2421/knärot/A 50942-2024 karta knärot.png", "A 50942-2024")</f>
        <v/>
      </c>
      <c r="V974">
        <f>HYPERLINK("https://klasma.github.io/Logging_2421/klagomål/A 50942-2024 FSC-klagomål.docx", "A 50942-2024")</f>
        <v/>
      </c>
      <c r="W974">
        <f>HYPERLINK("https://klasma.github.io/Logging_2421/klagomålsmail/A 50942-2024 FSC-klagomål mail.docx", "A 50942-2024")</f>
        <v/>
      </c>
      <c r="X974">
        <f>HYPERLINK("https://klasma.github.io/Logging_2421/tillsyn/A 50942-2024 tillsynsbegäran.docx", "A 50942-2024")</f>
        <v/>
      </c>
      <c r="Y974">
        <f>HYPERLINK("https://klasma.github.io/Logging_2421/tillsynsmail/A 50942-2024 tillsynsbegäran mail.docx", "A 50942-2024")</f>
        <v/>
      </c>
    </row>
    <row r="975" ht="15" customHeight="1">
      <c r="A975" t="inlineStr">
        <is>
          <t>A 58766-2021</t>
        </is>
      </c>
      <c r="B975" s="1" t="n">
        <v>44489</v>
      </c>
      <c r="C975" s="1" t="n">
        <v>45971</v>
      </c>
      <c r="D975" t="inlineStr">
        <is>
          <t>VÄSTERBOTTENS LÄN</t>
        </is>
      </c>
      <c r="E975" t="inlineStr">
        <is>
          <t>SKELLEFTEÅ</t>
        </is>
      </c>
      <c r="G975" t="n">
        <v>5.5</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58766-2021 artfynd.xlsx", "A 58766-2021")</f>
        <v/>
      </c>
      <c r="T975">
        <f>HYPERLINK("https://klasma.github.io/Logging_2482/kartor/A 58766-2021 karta.png", "A 58766-2021")</f>
        <v/>
      </c>
      <c r="V975">
        <f>HYPERLINK("https://klasma.github.io/Logging_2482/klagomål/A 58766-2021 FSC-klagomål.docx", "A 58766-2021")</f>
        <v/>
      </c>
      <c r="W975">
        <f>HYPERLINK("https://klasma.github.io/Logging_2482/klagomålsmail/A 58766-2021 FSC-klagomål mail.docx", "A 58766-2021")</f>
        <v/>
      </c>
      <c r="X975">
        <f>HYPERLINK("https://klasma.github.io/Logging_2482/tillsyn/A 58766-2021 tillsynsbegäran.docx", "A 58766-2021")</f>
        <v/>
      </c>
      <c r="Y975">
        <f>HYPERLINK("https://klasma.github.io/Logging_2482/tillsynsmail/A 58766-2021 tillsynsbegäran mail.docx", "A 58766-2021")</f>
        <v/>
      </c>
    </row>
    <row r="976" ht="15" customHeight="1">
      <c r="A976" t="inlineStr">
        <is>
          <t>A 38282-2024</t>
        </is>
      </c>
      <c r="B976" s="1" t="n">
        <v>45545</v>
      </c>
      <c r="C976" s="1" t="n">
        <v>45971</v>
      </c>
      <c r="D976" t="inlineStr">
        <is>
          <t>VÄSTERBOTTENS LÄN</t>
        </is>
      </c>
      <c r="E976" t="inlineStr">
        <is>
          <t>VILHELMINA</t>
        </is>
      </c>
      <c r="F976" t="inlineStr">
        <is>
          <t>SCA</t>
        </is>
      </c>
      <c r="G976" t="n">
        <v>3.4</v>
      </c>
      <c r="H976" t="n">
        <v>0</v>
      </c>
      <c r="I976" t="n">
        <v>0</v>
      </c>
      <c r="J976" t="n">
        <v>1</v>
      </c>
      <c r="K976" t="n">
        <v>0</v>
      </c>
      <c r="L976" t="n">
        <v>0</v>
      </c>
      <c r="M976" t="n">
        <v>0</v>
      </c>
      <c r="N976" t="n">
        <v>0</v>
      </c>
      <c r="O976" t="n">
        <v>1</v>
      </c>
      <c r="P976" t="n">
        <v>0</v>
      </c>
      <c r="Q976" t="n">
        <v>1</v>
      </c>
      <c r="R976" s="2" t="inlineStr">
        <is>
          <t>Gränsticka</t>
        </is>
      </c>
      <c r="S976">
        <f>HYPERLINK("https://klasma.github.io/Logging_2462/artfynd/A 38282-2024 artfynd.xlsx", "A 38282-2024")</f>
        <v/>
      </c>
      <c r="T976">
        <f>HYPERLINK("https://klasma.github.io/Logging_2462/kartor/A 38282-2024 karta.png", "A 38282-2024")</f>
        <v/>
      </c>
      <c r="V976">
        <f>HYPERLINK("https://klasma.github.io/Logging_2462/klagomål/A 38282-2024 FSC-klagomål.docx", "A 38282-2024")</f>
        <v/>
      </c>
      <c r="W976">
        <f>HYPERLINK("https://klasma.github.io/Logging_2462/klagomålsmail/A 38282-2024 FSC-klagomål mail.docx", "A 38282-2024")</f>
        <v/>
      </c>
      <c r="X976">
        <f>HYPERLINK("https://klasma.github.io/Logging_2462/tillsyn/A 38282-2024 tillsynsbegäran.docx", "A 38282-2024")</f>
        <v/>
      </c>
      <c r="Y976">
        <f>HYPERLINK("https://klasma.github.io/Logging_2462/tillsynsmail/A 38282-2024 tillsynsbegäran mail.docx", "A 38282-2024")</f>
        <v/>
      </c>
    </row>
    <row r="977" ht="15" customHeight="1">
      <c r="A977" t="inlineStr">
        <is>
          <t>A 74395-2021</t>
        </is>
      </c>
      <c r="B977" s="1" t="n">
        <v>44560</v>
      </c>
      <c r="C977" s="1" t="n">
        <v>45971</v>
      </c>
      <c r="D977" t="inlineStr">
        <is>
          <t>VÄSTERBOTTENS LÄN</t>
        </is>
      </c>
      <c r="E977" t="inlineStr">
        <is>
          <t>VILHELMINA</t>
        </is>
      </c>
      <c r="G977" t="n">
        <v>37.6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74395-2021 artfynd.xlsx", "A 74395-2021")</f>
        <v/>
      </c>
      <c r="T977">
        <f>HYPERLINK("https://klasma.github.io/Logging_2462/kartor/A 74395-2021 karta.png", "A 74395-2021")</f>
        <v/>
      </c>
      <c r="V977">
        <f>HYPERLINK("https://klasma.github.io/Logging_2462/klagomål/A 74395-2021 FSC-klagomål.docx", "A 74395-2021")</f>
        <v/>
      </c>
      <c r="W977">
        <f>HYPERLINK("https://klasma.github.io/Logging_2462/klagomålsmail/A 74395-2021 FSC-klagomål mail.docx", "A 74395-2021")</f>
        <v/>
      </c>
      <c r="X977">
        <f>HYPERLINK("https://klasma.github.io/Logging_2462/tillsyn/A 74395-2021 tillsynsbegäran.docx", "A 74395-2021")</f>
        <v/>
      </c>
      <c r="Y977">
        <f>HYPERLINK("https://klasma.github.io/Logging_2462/tillsynsmail/A 74395-2021 tillsynsbegäran mail.docx", "A 74395-2021")</f>
        <v/>
      </c>
      <c r="Z977">
        <f>HYPERLINK("https://klasma.github.io/Logging_2462/fåglar/A 74395-2021 prioriterade fågelarter.docx", "A 74395-2021")</f>
        <v/>
      </c>
    </row>
    <row r="978" ht="15" customHeight="1">
      <c r="A978" t="inlineStr">
        <is>
          <t>A 25977-2025</t>
        </is>
      </c>
      <c r="B978" s="1" t="n">
        <v>45804</v>
      </c>
      <c r="C978" s="1" t="n">
        <v>45971</v>
      </c>
      <c r="D978" t="inlineStr">
        <is>
          <t>VÄSTERBOTTENS LÄN</t>
        </is>
      </c>
      <c r="E978" t="inlineStr">
        <is>
          <t>VILHELMINA</t>
        </is>
      </c>
      <c r="F978" t="inlineStr">
        <is>
          <t>SCA</t>
        </is>
      </c>
      <c r="G978" t="n">
        <v>6.2</v>
      </c>
      <c r="H978" t="n">
        <v>0</v>
      </c>
      <c r="I978" t="n">
        <v>0</v>
      </c>
      <c r="J978" t="n">
        <v>1</v>
      </c>
      <c r="K978" t="n">
        <v>0</v>
      </c>
      <c r="L978" t="n">
        <v>0</v>
      </c>
      <c r="M978" t="n">
        <v>0</v>
      </c>
      <c r="N978" t="n">
        <v>0</v>
      </c>
      <c r="O978" t="n">
        <v>1</v>
      </c>
      <c r="P978" t="n">
        <v>0</v>
      </c>
      <c r="Q978" t="n">
        <v>1</v>
      </c>
      <c r="R978" s="2" t="inlineStr">
        <is>
          <t>Rosenticka</t>
        </is>
      </c>
      <c r="S978">
        <f>HYPERLINK("https://klasma.github.io/Logging_2462/artfynd/A 25977-2025 artfynd.xlsx", "A 25977-2025")</f>
        <v/>
      </c>
      <c r="T978">
        <f>HYPERLINK("https://klasma.github.io/Logging_2462/kartor/A 25977-2025 karta.png", "A 25977-2025")</f>
        <v/>
      </c>
      <c r="V978">
        <f>HYPERLINK("https://klasma.github.io/Logging_2462/klagomål/A 25977-2025 FSC-klagomål.docx", "A 25977-2025")</f>
        <v/>
      </c>
      <c r="W978">
        <f>HYPERLINK("https://klasma.github.io/Logging_2462/klagomålsmail/A 25977-2025 FSC-klagomål mail.docx", "A 25977-2025")</f>
        <v/>
      </c>
      <c r="X978">
        <f>HYPERLINK("https://klasma.github.io/Logging_2462/tillsyn/A 25977-2025 tillsynsbegäran.docx", "A 25977-2025")</f>
        <v/>
      </c>
      <c r="Y978">
        <f>HYPERLINK("https://klasma.github.io/Logging_2462/tillsynsmail/A 25977-2025 tillsynsbegäran mail.docx", "A 25977-2025")</f>
        <v/>
      </c>
    </row>
    <row r="979" ht="15" customHeight="1">
      <c r="A979" t="inlineStr">
        <is>
          <t>A 6156-2025</t>
        </is>
      </c>
      <c r="B979" s="1" t="n">
        <v>45695</v>
      </c>
      <c r="C979" s="1" t="n">
        <v>45971</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55622-2024</t>
        </is>
      </c>
      <c r="B980" s="1" t="n">
        <v>45622.59461805555</v>
      </c>
      <c r="C980" s="1" t="n">
        <v>45971</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50463-2025</t>
        </is>
      </c>
      <c r="B981" s="1" t="n">
        <v>45945.34695601852</v>
      </c>
      <c r="C981" s="1" t="n">
        <v>45971</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50463-2025 artfynd.xlsx", "A 50463-2025")</f>
        <v/>
      </c>
      <c r="T981">
        <f>HYPERLINK("https://klasma.github.io/Logging_2481/kartor/A 50463-2025 karta.png", "A 50463-2025")</f>
        <v/>
      </c>
      <c r="V981">
        <f>HYPERLINK("https://klasma.github.io/Logging_2481/klagomål/A 50463-2025 FSC-klagomål.docx", "A 50463-2025")</f>
        <v/>
      </c>
      <c r="W981">
        <f>HYPERLINK("https://klasma.github.io/Logging_2481/klagomålsmail/A 50463-2025 FSC-klagomål mail.docx", "A 50463-2025")</f>
        <v/>
      </c>
      <c r="X981">
        <f>HYPERLINK("https://klasma.github.io/Logging_2481/tillsyn/A 50463-2025 tillsynsbegäran.docx", "A 50463-2025")</f>
        <v/>
      </c>
      <c r="Y981">
        <f>HYPERLINK("https://klasma.github.io/Logging_2481/tillsynsmail/A 50463-2025 tillsynsbegäran mail.docx", "A 50463-2025")</f>
        <v/>
      </c>
    </row>
    <row r="982" ht="15" customHeight="1">
      <c r="A982" t="inlineStr">
        <is>
          <t>A 42090-2025</t>
        </is>
      </c>
      <c r="B982" s="1" t="n">
        <v>45903.69844907407</v>
      </c>
      <c r="C982" s="1" t="n">
        <v>45971</v>
      </c>
      <c r="D982" t="inlineStr">
        <is>
          <t>VÄSTERBOTTENS LÄN</t>
        </is>
      </c>
      <c r="E982" t="inlineStr">
        <is>
          <t>ÅSELE</t>
        </is>
      </c>
      <c r="F982" t="inlineStr">
        <is>
          <t>SCA</t>
        </is>
      </c>
      <c r="G982" t="n">
        <v>2.8</v>
      </c>
      <c r="H982" t="n">
        <v>0</v>
      </c>
      <c r="I982" t="n">
        <v>0</v>
      </c>
      <c r="J982" t="n">
        <v>1</v>
      </c>
      <c r="K982" t="n">
        <v>0</v>
      </c>
      <c r="L982" t="n">
        <v>0</v>
      </c>
      <c r="M982" t="n">
        <v>0</v>
      </c>
      <c r="N982" t="n">
        <v>0</v>
      </c>
      <c r="O982" t="n">
        <v>1</v>
      </c>
      <c r="P982" t="n">
        <v>0</v>
      </c>
      <c r="Q982" t="n">
        <v>1</v>
      </c>
      <c r="R982" s="2" t="inlineStr">
        <is>
          <t>Granticka</t>
        </is>
      </c>
      <c r="S982">
        <f>HYPERLINK("https://klasma.github.io/Logging_2463/artfynd/A 42090-2025 artfynd.xlsx", "A 42090-2025")</f>
        <v/>
      </c>
      <c r="T982">
        <f>HYPERLINK("https://klasma.github.io/Logging_2463/kartor/A 42090-2025 karta.png", "A 42090-2025")</f>
        <v/>
      </c>
      <c r="V982">
        <f>HYPERLINK("https://klasma.github.io/Logging_2463/klagomål/A 42090-2025 FSC-klagomål.docx", "A 42090-2025")</f>
        <v/>
      </c>
      <c r="W982">
        <f>HYPERLINK("https://klasma.github.io/Logging_2463/klagomålsmail/A 42090-2025 FSC-klagomål mail.docx", "A 42090-2025")</f>
        <v/>
      </c>
      <c r="X982">
        <f>HYPERLINK("https://klasma.github.io/Logging_2463/tillsyn/A 42090-2025 tillsynsbegäran.docx", "A 42090-2025")</f>
        <v/>
      </c>
      <c r="Y982">
        <f>HYPERLINK("https://klasma.github.io/Logging_2463/tillsynsmail/A 42090-2025 tillsynsbegäran mail.docx", "A 42090-2025")</f>
        <v/>
      </c>
    </row>
    <row r="983" ht="15" customHeight="1">
      <c r="A983" t="inlineStr">
        <is>
          <t>A 19924-2025</t>
        </is>
      </c>
      <c r="B983" s="1" t="n">
        <v>45771</v>
      </c>
      <c r="C983" s="1" t="n">
        <v>45971</v>
      </c>
      <c r="D983" t="inlineStr">
        <is>
          <t>VÄSTERBOTTENS LÄN</t>
        </is>
      </c>
      <c r="E983" t="inlineStr">
        <is>
          <t>SKELLEFTEÅ</t>
        </is>
      </c>
      <c r="F983" t="inlineStr">
        <is>
          <t>Holmen skog AB</t>
        </is>
      </c>
      <c r="G983" t="n">
        <v>2.1</v>
      </c>
      <c r="H983" t="n">
        <v>0</v>
      </c>
      <c r="I983" t="n">
        <v>1</v>
      </c>
      <c r="J983" t="n">
        <v>0</v>
      </c>
      <c r="K983" t="n">
        <v>0</v>
      </c>
      <c r="L983" t="n">
        <v>0</v>
      </c>
      <c r="M983" t="n">
        <v>0</v>
      </c>
      <c r="N983" t="n">
        <v>0</v>
      </c>
      <c r="O983" t="n">
        <v>0</v>
      </c>
      <c r="P983" t="n">
        <v>0</v>
      </c>
      <c r="Q983" t="n">
        <v>1</v>
      </c>
      <c r="R983" s="2" t="inlineStr">
        <is>
          <t>Tibast</t>
        </is>
      </c>
      <c r="S983">
        <f>HYPERLINK("https://klasma.github.io/Logging_2482/artfynd/A 19924-2025 artfynd.xlsx", "A 19924-2025")</f>
        <v/>
      </c>
      <c r="T983">
        <f>HYPERLINK("https://klasma.github.io/Logging_2482/kartor/A 19924-2025 karta.png", "A 19924-2025")</f>
        <v/>
      </c>
      <c r="V983">
        <f>HYPERLINK("https://klasma.github.io/Logging_2482/klagomål/A 19924-2025 FSC-klagomål.docx", "A 19924-2025")</f>
        <v/>
      </c>
      <c r="W983">
        <f>HYPERLINK("https://klasma.github.io/Logging_2482/klagomålsmail/A 19924-2025 FSC-klagomål mail.docx", "A 19924-2025")</f>
        <v/>
      </c>
      <c r="X983">
        <f>HYPERLINK("https://klasma.github.io/Logging_2482/tillsyn/A 19924-2025 tillsynsbegäran.docx", "A 19924-2025")</f>
        <v/>
      </c>
      <c r="Y983">
        <f>HYPERLINK("https://klasma.github.io/Logging_2482/tillsynsmail/A 19924-2025 tillsynsbegäran mail.docx", "A 19924-2025")</f>
        <v/>
      </c>
    </row>
    <row r="984" ht="15" customHeight="1">
      <c r="A984" t="inlineStr">
        <is>
          <t>A 40851-2024</t>
        </is>
      </c>
      <c r="B984" s="1" t="n">
        <v>45558</v>
      </c>
      <c r="C984" s="1" t="n">
        <v>45971</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26867-2025</t>
        </is>
      </c>
      <c r="B985" s="1" t="n">
        <v>45810</v>
      </c>
      <c r="C985" s="1" t="n">
        <v>45971</v>
      </c>
      <c r="D985" t="inlineStr">
        <is>
          <t>VÄSTERBOTTENS LÄN</t>
        </is>
      </c>
      <c r="E985" t="inlineStr">
        <is>
          <t>ÅSELE</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HYPERLINK("https://klasma.github.io/Logging_2463/artfynd/A 26867-2025 artfynd.xlsx", "A 26867-2025")</f>
        <v/>
      </c>
      <c r="T985">
        <f>HYPERLINK("https://klasma.github.io/Logging_2463/kartor/A 26867-2025 karta.png", "A 26867-2025")</f>
        <v/>
      </c>
      <c r="U985">
        <f>HYPERLINK("https://klasma.github.io/Logging_2463/knärot/A 26867-2025 karta knärot.png", "A 26867-2025")</f>
        <v/>
      </c>
      <c r="V985">
        <f>HYPERLINK("https://klasma.github.io/Logging_2463/klagomål/A 26867-2025 FSC-klagomål.docx", "A 26867-2025")</f>
        <v/>
      </c>
      <c r="W985">
        <f>HYPERLINK("https://klasma.github.io/Logging_2463/klagomålsmail/A 26867-2025 FSC-klagomål mail.docx", "A 26867-2025")</f>
        <v/>
      </c>
      <c r="X985">
        <f>HYPERLINK("https://klasma.github.io/Logging_2463/tillsyn/A 26867-2025 tillsynsbegäran.docx", "A 26867-2025")</f>
        <v/>
      </c>
      <c r="Y985">
        <f>HYPERLINK("https://klasma.github.io/Logging_2463/tillsynsmail/A 26867-2025 tillsynsbegäran mail.docx", "A 26867-2025")</f>
        <v/>
      </c>
    </row>
    <row r="986" ht="15" customHeight="1">
      <c r="A986" t="inlineStr">
        <is>
          <t>A 15699-2024</t>
        </is>
      </c>
      <c r="B986" s="1" t="n">
        <v>45404</v>
      </c>
      <c r="C986" s="1" t="n">
        <v>45971</v>
      </c>
      <c r="D986" t="inlineStr">
        <is>
          <t>VÄSTERBOTTENS LÄN</t>
        </is>
      </c>
      <c r="E986" t="inlineStr">
        <is>
          <t>BJURHOLM</t>
        </is>
      </c>
      <c r="G986" t="n">
        <v>2.2</v>
      </c>
      <c r="H986" t="n">
        <v>0</v>
      </c>
      <c r="I986" t="n">
        <v>1</v>
      </c>
      <c r="J986" t="n">
        <v>0</v>
      </c>
      <c r="K986" t="n">
        <v>0</v>
      </c>
      <c r="L986" t="n">
        <v>0</v>
      </c>
      <c r="M986" t="n">
        <v>0</v>
      </c>
      <c r="N986" t="n">
        <v>0</v>
      </c>
      <c r="O986" t="n">
        <v>0</v>
      </c>
      <c r="P986" t="n">
        <v>0</v>
      </c>
      <c r="Q986" t="n">
        <v>1</v>
      </c>
      <c r="R986" s="2" t="inlineStr">
        <is>
          <t>Dropptaggsvamp</t>
        </is>
      </c>
      <c r="S986">
        <f>HYPERLINK("https://klasma.github.io/Logging_2403/artfynd/A 15699-2024 artfynd.xlsx", "A 15699-2024")</f>
        <v/>
      </c>
      <c r="T986">
        <f>HYPERLINK("https://klasma.github.io/Logging_2403/kartor/A 15699-2024 karta.png", "A 15699-2024")</f>
        <v/>
      </c>
      <c r="V986">
        <f>HYPERLINK("https://klasma.github.io/Logging_2403/klagomål/A 15699-2024 FSC-klagomål.docx", "A 15699-2024")</f>
        <v/>
      </c>
      <c r="W986">
        <f>HYPERLINK("https://klasma.github.io/Logging_2403/klagomålsmail/A 15699-2024 FSC-klagomål mail.docx", "A 15699-2024")</f>
        <v/>
      </c>
      <c r="X986">
        <f>HYPERLINK("https://klasma.github.io/Logging_2403/tillsyn/A 15699-2024 tillsynsbegäran.docx", "A 15699-2024")</f>
        <v/>
      </c>
      <c r="Y986">
        <f>HYPERLINK("https://klasma.github.io/Logging_2403/tillsynsmail/A 15699-2024 tillsynsbegäran mail.docx", "A 15699-2024")</f>
        <v/>
      </c>
    </row>
    <row r="987" ht="15" customHeight="1">
      <c r="A987" t="inlineStr">
        <is>
          <t>A 51288-2025</t>
        </is>
      </c>
      <c r="B987" s="1" t="n">
        <v>45950.34547453704</v>
      </c>
      <c r="C987" s="1" t="n">
        <v>45971</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43276-2025</t>
        </is>
      </c>
      <c r="B988" s="1" t="n">
        <v>45910</v>
      </c>
      <c r="C988" s="1" t="n">
        <v>45971</v>
      </c>
      <c r="D988" t="inlineStr">
        <is>
          <t>VÄSTERBOTTENS LÄN</t>
        </is>
      </c>
      <c r="E988" t="inlineStr">
        <is>
          <t>ÅSELE</t>
        </is>
      </c>
      <c r="F988" t="inlineStr">
        <is>
          <t>Kyrkan</t>
        </is>
      </c>
      <c r="G988" t="n">
        <v>4.9</v>
      </c>
      <c r="H988" t="n">
        <v>1</v>
      </c>
      <c r="I988" t="n">
        <v>0</v>
      </c>
      <c r="J988" t="n">
        <v>1</v>
      </c>
      <c r="K988" t="n">
        <v>0</v>
      </c>
      <c r="L988" t="n">
        <v>0</v>
      </c>
      <c r="M988" t="n">
        <v>0</v>
      </c>
      <c r="N988" t="n">
        <v>0</v>
      </c>
      <c r="O988" t="n">
        <v>1</v>
      </c>
      <c r="P988" t="n">
        <v>0</v>
      </c>
      <c r="Q988" t="n">
        <v>1</v>
      </c>
      <c r="R988" s="2" t="inlineStr">
        <is>
          <t>Tretåig hackspett</t>
        </is>
      </c>
      <c r="S988">
        <f>HYPERLINK("https://klasma.github.io/Logging_2463/artfynd/A 43276-2025 artfynd.xlsx", "A 43276-2025")</f>
        <v/>
      </c>
      <c r="T988">
        <f>HYPERLINK("https://klasma.github.io/Logging_2463/kartor/A 43276-2025 karta.png", "A 43276-2025")</f>
        <v/>
      </c>
      <c r="V988">
        <f>HYPERLINK("https://klasma.github.io/Logging_2463/klagomål/A 43276-2025 FSC-klagomål.docx", "A 43276-2025")</f>
        <v/>
      </c>
      <c r="W988">
        <f>HYPERLINK("https://klasma.github.io/Logging_2463/klagomålsmail/A 43276-2025 FSC-klagomål mail.docx", "A 43276-2025")</f>
        <v/>
      </c>
      <c r="X988">
        <f>HYPERLINK("https://klasma.github.io/Logging_2463/tillsyn/A 43276-2025 tillsynsbegäran.docx", "A 43276-2025")</f>
        <v/>
      </c>
      <c r="Y988">
        <f>HYPERLINK("https://klasma.github.io/Logging_2463/tillsynsmail/A 43276-2025 tillsynsbegäran mail.docx", "A 43276-2025")</f>
        <v/>
      </c>
      <c r="Z988">
        <f>HYPERLINK("https://klasma.github.io/Logging_2463/fåglar/A 43276-2025 prioriterade fågelarter.docx", "A 43276-2025")</f>
        <v/>
      </c>
    </row>
    <row r="989" ht="15" customHeight="1">
      <c r="A989" t="inlineStr">
        <is>
          <t>A 43228-2025</t>
        </is>
      </c>
      <c r="B989" s="1" t="n">
        <v>45910.49400462963</v>
      </c>
      <c r="C989" s="1" t="n">
        <v>45971</v>
      </c>
      <c r="D989" t="inlineStr">
        <is>
          <t>VÄSTERBOTTENS LÄN</t>
        </is>
      </c>
      <c r="E989" t="inlineStr">
        <is>
          <t>SKELLEFTEÅ</t>
        </is>
      </c>
      <c r="G989" t="n">
        <v>2.9</v>
      </c>
      <c r="H989" t="n">
        <v>0</v>
      </c>
      <c r="I989" t="n">
        <v>0</v>
      </c>
      <c r="J989" t="n">
        <v>1</v>
      </c>
      <c r="K989" t="n">
        <v>0</v>
      </c>
      <c r="L989" t="n">
        <v>0</v>
      </c>
      <c r="M989" t="n">
        <v>0</v>
      </c>
      <c r="N989" t="n">
        <v>0</v>
      </c>
      <c r="O989" t="n">
        <v>1</v>
      </c>
      <c r="P989" t="n">
        <v>0</v>
      </c>
      <c r="Q989" t="n">
        <v>1</v>
      </c>
      <c r="R989" s="2" t="inlineStr">
        <is>
          <t>Ullticka</t>
        </is>
      </c>
      <c r="S989">
        <f>HYPERLINK("https://klasma.github.io/Logging_2482/artfynd/A 43228-2025 artfynd.xlsx", "A 43228-2025")</f>
        <v/>
      </c>
      <c r="T989">
        <f>HYPERLINK("https://klasma.github.io/Logging_2482/kartor/A 43228-2025 karta.png", "A 43228-2025")</f>
        <v/>
      </c>
      <c r="V989">
        <f>HYPERLINK("https://klasma.github.io/Logging_2482/klagomål/A 43228-2025 FSC-klagomål.docx", "A 43228-2025")</f>
        <v/>
      </c>
      <c r="W989">
        <f>HYPERLINK("https://klasma.github.io/Logging_2482/klagomålsmail/A 43228-2025 FSC-klagomål mail.docx", "A 43228-2025")</f>
        <v/>
      </c>
      <c r="X989">
        <f>HYPERLINK("https://klasma.github.io/Logging_2482/tillsyn/A 43228-2025 tillsynsbegäran.docx", "A 43228-2025")</f>
        <v/>
      </c>
      <c r="Y989">
        <f>HYPERLINK("https://klasma.github.io/Logging_2482/tillsynsmail/A 43228-2025 tillsynsbegäran mail.docx", "A 43228-2025")</f>
        <v/>
      </c>
    </row>
    <row r="990" ht="15" customHeight="1">
      <c r="A990" t="inlineStr">
        <is>
          <t>A 41481-2024</t>
        </is>
      </c>
      <c r="B990" s="1" t="n">
        <v>45560.44495370371</v>
      </c>
      <c r="C990" s="1" t="n">
        <v>45971</v>
      </c>
      <c r="D990" t="inlineStr">
        <is>
          <t>VÄSTERBOTTENS LÄN</t>
        </is>
      </c>
      <c r="E990" t="inlineStr">
        <is>
          <t>VINDELN</t>
        </is>
      </c>
      <c r="F990" t="inlineStr">
        <is>
          <t>Sveaskog</t>
        </is>
      </c>
      <c r="G990" t="n">
        <v>29</v>
      </c>
      <c r="H990" t="n">
        <v>0</v>
      </c>
      <c r="I990" t="n">
        <v>0</v>
      </c>
      <c r="J990" t="n">
        <v>1</v>
      </c>
      <c r="K990" t="n">
        <v>0</v>
      </c>
      <c r="L990" t="n">
        <v>0</v>
      </c>
      <c r="M990" t="n">
        <v>0</v>
      </c>
      <c r="N990" t="n">
        <v>0</v>
      </c>
      <c r="O990" t="n">
        <v>1</v>
      </c>
      <c r="P990" t="n">
        <v>0</v>
      </c>
      <c r="Q990" t="n">
        <v>1</v>
      </c>
      <c r="R990" s="2" t="inlineStr">
        <is>
          <t>Tallvägstekel</t>
        </is>
      </c>
      <c r="S990">
        <f>HYPERLINK("https://klasma.github.io/Logging_2404/artfynd/A 41481-2024 artfynd.xlsx", "A 41481-2024")</f>
        <v/>
      </c>
      <c r="T990">
        <f>HYPERLINK("https://klasma.github.io/Logging_2404/kartor/A 41481-2024 karta.png", "A 41481-2024")</f>
        <v/>
      </c>
      <c r="V990">
        <f>HYPERLINK("https://klasma.github.io/Logging_2404/klagomål/A 41481-2024 FSC-klagomål.docx", "A 41481-2024")</f>
        <v/>
      </c>
      <c r="W990">
        <f>HYPERLINK("https://klasma.github.io/Logging_2404/klagomålsmail/A 41481-2024 FSC-klagomål mail.docx", "A 41481-2024")</f>
        <v/>
      </c>
      <c r="X990">
        <f>HYPERLINK("https://klasma.github.io/Logging_2404/tillsyn/A 41481-2024 tillsynsbegäran.docx", "A 41481-2024")</f>
        <v/>
      </c>
      <c r="Y990">
        <f>HYPERLINK("https://klasma.github.io/Logging_2404/tillsynsmail/A 41481-2024 tillsynsbegäran mail.docx", "A 41481-2024")</f>
        <v/>
      </c>
    </row>
    <row r="991" ht="15" customHeight="1">
      <c r="A991" t="inlineStr">
        <is>
          <t>A 53309-2022</t>
        </is>
      </c>
      <c r="B991" s="1" t="n">
        <v>44878.6125462963</v>
      </c>
      <c r="C991" s="1" t="n">
        <v>45971</v>
      </c>
      <c r="D991" t="inlineStr">
        <is>
          <t>VÄSTERBOTTENS LÄN</t>
        </is>
      </c>
      <c r="E991" t="inlineStr">
        <is>
          <t>DOROTEA</t>
        </is>
      </c>
      <c r="G991" t="n">
        <v>6.6</v>
      </c>
      <c r="H991" t="n">
        <v>1</v>
      </c>
      <c r="I991" t="n">
        <v>0</v>
      </c>
      <c r="J991" t="n">
        <v>0</v>
      </c>
      <c r="K991" t="n">
        <v>0</v>
      </c>
      <c r="L991" t="n">
        <v>0</v>
      </c>
      <c r="M991" t="n">
        <v>0</v>
      </c>
      <c r="N991" t="n">
        <v>0</v>
      </c>
      <c r="O991" t="n">
        <v>0</v>
      </c>
      <c r="P991" t="n">
        <v>0</v>
      </c>
      <c r="Q991" t="n">
        <v>1</v>
      </c>
      <c r="R991" s="2" t="inlineStr">
        <is>
          <t>Göktyta</t>
        </is>
      </c>
      <c r="S991">
        <f>HYPERLINK("https://klasma.github.io/Logging_2425/artfynd/A 53309-2022 artfynd.xlsx", "A 53309-2022")</f>
        <v/>
      </c>
      <c r="T991">
        <f>HYPERLINK("https://klasma.github.io/Logging_2425/kartor/A 53309-2022 karta.png", "A 53309-2022")</f>
        <v/>
      </c>
      <c r="V991">
        <f>HYPERLINK("https://klasma.github.io/Logging_2425/klagomål/A 53309-2022 FSC-klagomål.docx", "A 53309-2022")</f>
        <v/>
      </c>
      <c r="W991">
        <f>HYPERLINK("https://klasma.github.io/Logging_2425/klagomålsmail/A 53309-2022 FSC-klagomål mail.docx", "A 53309-2022")</f>
        <v/>
      </c>
      <c r="X991">
        <f>HYPERLINK("https://klasma.github.io/Logging_2425/tillsyn/A 53309-2022 tillsynsbegäran.docx", "A 53309-2022")</f>
        <v/>
      </c>
      <c r="Y991">
        <f>HYPERLINK("https://klasma.github.io/Logging_2425/tillsynsmail/A 53309-2022 tillsynsbegäran mail.docx", "A 53309-2022")</f>
        <v/>
      </c>
      <c r="Z991">
        <f>HYPERLINK("https://klasma.github.io/Logging_2425/fåglar/A 53309-2022 prioriterade fågelarter.docx", "A 53309-2022")</f>
        <v/>
      </c>
    </row>
    <row r="992" ht="15" customHeight="1">
      <c r="A992" t="inlineStr">
        <is>
          <t>A 27106-2025</t>
        </is>
      </c>
      <c r="B992" s="1" t="n">
        <v>45811</v>
      </c>
      <c r="C992" s="1" t="n">
        <v>45971</v>
      </c>
      <c r="D992" t="inlineStr">
        <is>
          <t>VÄSTERBOTTENS LÄN</t>
        </is>
      </c>
      <c r="E992" t="inlineStr">
        <is>
          <t>ÅSELE</t>
        </is>
      </c>
      <c r="F992" t="inlineStr">
        <is>
          <t>SCA</t>
        </is>
      </c>
      <c r="G992" t="n">
        <v>8.300000000000001</v>
      </c>
      <c r="H992" t="n">
        <v>0</v>
      </c>
      <c r="I992" t="n">
        <v>0</v>
      </c>
      <c r="J992" t="n">
        <v>1</v>
      </c>
      <c r="K992" t="n">
        <v>0</v>
      </c>
      <c r="L992" t="n">
        <v>0</v>
      </c>
      <c r="M992" t="n">
        <v>0</v>
      </c>
      <c r="N992" t="n">
        <v>0</v>
      </c>
      <c r="O992" t="n">
        <v>1</v>
      </c>
      <c r="P992" t="n">
        <v>0</v>
      </c>
      <c r="Q992" t="n">
        <v>1</v>
      </c>
      <c r="R992" s="2" t="inlineStr">
        <is>
          <t>Tallticka</t>
        </is>
      </c>
      <c r="S992">
        <f>HYPERLINK("https://klasma.github.io/Logging_2463/artfynd/A 27106-2025 artfynd.xlsx", "A 27106-2025")</f>
        <v/>
      </c>
      <c r="T992">
        <f>HYPERLINK("https://klasma.github.io/Logging_2463/kartor/A 27106-2025 karta.png", "A 27106-2025")</f>
        <v/>
      </c>
      <c r="V992">
        <f>HYPERLINK("https://klasma.github.io/Logging_2463/klagomål/A 27106-2025 FSC-klagomål.docx", "A 27106-2025")</f>
        <v/>
      </c>
      <c r="W992">
        <f>HYPERLINK("https://klasma.github.io/Logging_2463/klagomålsmail/A 27106-2025 FSC-klagomål mail.docx", "A 27106-2025")</f>
        <v/>
      </c>
      <c r="X992">
        <f>HYPERLINK("https://klasma.github.io/Logging_2463/tillsyn/A 27106-2025 tillsynsbegäran.docx", "A 27106-2025")</f>
        <v/>
      </c>
      <c r="Y992">
        <f>HYPERLINK("https://klasma.github.io/Logging_2463/tillsynsmail/A 27106-2025 tillsynsbegäran mail.docx", "A 27106-2025")</f>
        <v/>
      </c>
    </row>
    <row r="993" ht="15" customHeight="1">
      <c r="A993" t="inlineStr">
        <is>
          <t>A 9446-2025</t>
        </is>
      </c>
      <c r="B993" s="1" t="n">
        <v>45715.42019675926</v>
      </c>
      <c r="C993" s="1" t="n">
        <v>45971</v>
      </c>
      <c r="D993" t="inlineStr">
        <is>
          <t>VÄSTERBOTTENS LÄN</t>
        </is>
      </c>
      <c r="E993" t="inlineStr">
        <is>
          <t>SKELLEFTEÅ</t>
        </is>
      </c>
      <c r="G993" t="n">
        <v>1.8</v>
      </c>
      <c r="H993" t="n">
        <v>0</v>
      </c>
      <c r="I993" t="n">
        <v>1</v>
      </c>
      <c r="J993" t="n">
        <v>0</v>
      </c>
      <c r="K993" t="n">
        <v>0</v>
      </c>
      <c r="L993" t="n">
        <v>0</v>
      </c>
      <c r="M993" t="n">
        <v>0</v>
      </c>
      <c r="N993" t="n">
        <v>0</v>
      </c>
      <c r="O993" t="n">
        <v>0</v>
      </c>
      <c r="P993" t="n">
        <v>0</v>
      </c>
      <c r="Q993" t="n">
        <v>1</v>
      </c>
      <c r="R993" s="2" t="inlineStr">
        <is>
          <t>Vedticka</t>
        </is>
      </c>
      <c r="S993">
        <f>HYPERLINK("https://klasma.github.io/Logging_2482/artfynd/A 9446-2025 artfynd.xlsx", "A 9446-2025")</f>
        <v/>
      </c>
      <c r="T993">
        <f>HYPERLINK("https://klasma.github.io/Logging_2482/kartor/A 9446-2025 karta.png", "A 9446-2025")</f>
        <v/>
      </c>
      <c r="V993">
        <f>HYPERLINK("https://klasma.github.io/Logging_2482/klagomål/A 9446-2025 FSC-klagomål.docx", "A 9446-2025")</f>
        <v/>
      </c>
      <c r="W993">
        <f>HYPERLINK("https://klasma.github.io/Logging_2482/klagomålsmail/A 9446-2025 FSC-klagomål mail.docx", "A 9446-2025")</f>
        <v/>
      </c>
      <c r="X993">
        <f>HYPERLINK("https://klasma.github.io/Logging_2482/tillsyn/A 9446-2025 tillsynsbegäran.docx", "A 9446-2025")</f>
        <v/>
      </c>
      <c r="Y993">
        <f>HYPERLINK("https://klasma.github.io/Logging_2482/tillsynsmail/A 9446-2025 tillsynsbegäran mail.docx", "A 9446-2025")</f>
        <v/>
      </c>
    </row>
    <row r="994" ht="15" customHeight="1">
      <c r="A994" t="inlineStr">
        <is>
          <t>A 28307-2025</t>
        </is>
      </c>
      <c r="B994" s="1" t="n">
        <v>45818.61664351852</v>
      </c>
      <c r="C994" s="1" t="n">
        <v>45971</v>
      </c>
      <c r="D994" t="inlineStr">
        <is>
          <t>VÄSTERBOTTENS LÄN</t>
        </is>
      </c>
      <c r="E994" t="inlineStr">
        <is>
          <t>LYCKSELE</t>
        </is>
      </c>
      <c r="F994" t="inlineStr">
        <is>
          <t>Sveaskog</t>
        </is>
      </c>
      <c r="G994" t="n">
        <v>3.6</v>
      </c>
      <c r="H994" t="n">
        <v>0</v>
      </c>
      <c r="I994" t="n">
        <v>0</v>
      </c>
      <c r="J994" t="n">
        <v>1</v>
      </c>
      <c r="K994" t="n">
        <v>0</v>
      </c>
      <c r="L994" t="n">
        <v>0</v>
      </c>
      <c r="M994" t="n">
        <v>0</v>
      </c>
      <c r="N994" t="n">
        <v>0</v>
      </c>
      <c r="O994" t="n">
        <v>1</v>
      </c>
      <c r="P994" t="n">
        <v>0</v>
      </c>
      <c r="Q994" t="n">
        <v>1</v>
      </c>
      <c r="R994" s="2" t="inlineStr">
        <is>
          <t>Lunglav</t>
        </is>
      </c>
      <c r="S994">
        <f>HYPERLINK("https://klasma.github.io/Logging_2481/artfynd/A 28307-2025 artfynd.xlsx", "A 28307-2025")</f>
        <v/>
      </c>
      <c r="T994">
        <f>HYPERLINK("https://klasma.github.io/Logging_2481/kartor/A 28307-2025 karta.png", "A 28307-2025")</f>
        <v/>
      </c>
      <c r="V994">
        <f>HYPERLINK("https://klasma.github.io/Logging_2481/klagomål/A 28307-2025 FSC-klagomål.docx", "A 28307-2025")</f>
        <v/>
      </c>
      <c r="W994">
        <f>HYPERLINK("https://klasma.github.io/Logging_2481/klagomålsmail/A 28307-2025 FSC-klagomål mail.docx", "A 28307-2025")</f>
        <v/>
      </c>
      <c r="X994">
        <f>HYPERLINK("https://klasma.github.io/Logging_2481/tillsyn/A 28307-2025 tillsynsbegäran.docx", "A 28307-2025")</f>
        <v/>
      </c>
      <c r="Y994">
        <f>HYPERLINK("https://klasma.github.io/Logging_2481/tillsynsmail/A 28307-2025 tillsynsbegäran mail.docx", "A 28307-2025")</f>
        <v/>
      </c>
    </row>
    <row r="995" ht="15" customHeight="1">
      <c r="A995" t="inlineStr">
        <is>
          <t>A 28860-2025</t>
        </is>
      </c>
      <c r="B995" s="1" t="n">
        <v>45820.59178240741</v>
      </c>
      <c r="C995" s="1" t="n">
        <v>45971</v>
      </c>
      <c r="D995" t="inlineStr">
        <is>
          <t>VÄSTERBOTTENS LÄN</t>
        </is>
      </c>
      <c r="E995" t="inlineStr">
        <is>
          <t>SKELLEFTEÅ</t>
        </is>
      </c>
      <c r="F995" t="inlineStr">
        <is>
          <t>Holmen skog AB</t>
        </is>
      </c>
      <c r="G995" t="n">
        <v>3.2</v>
      </c>
      <c r="H995" t="n">
        <v>0</v>
      </c>
      <c r="I995" t="n">
        <v>0</v>
      </c>
      <c r="J995" t="n">
        <v>1</v>
      </c>
      <c r="K995" t="n">
        <v>0</v>
      </c>
      <c r="L995" t="n">
        <v>0</v>
      </c>
      <c r="M995" t="n">
        <v>0</v>
      </c>
      <c r="N995" t="n">
        <v>0</v>
      </c>
      <c r="O995" t="n">
        <v>1</v>
      </c>
      <c r="P995" t="n">
        <v>0</v>
      </c>
      <c r="Q995" t="n">
        <v>1</v>
      </c>
      <c r="R995" s="2" t="inlineStr">
        <is>
          <t>Vedskivlav</t>
        </is>
      </c>
      <c r="S995">
        <f>HYPERLINK("https://klasma.github.io/Logging_2482/artfynd/A 28860-2025 artfynd.xlsx", "A 28860-2025")</f>
        <v/>
      </c>
      <c r="T995">
        <f>HYPERLINK("https://klasma.github.io/Logging_2482/kartor/A 28860-2025 karta.png", "A 28860-2025")</f>
        <v/>
      </c>
      <c r="V995">
        <f>HYPERLINK("https://klasma.github.io/Logging_2482/klagomål/A 28860-2025 FSC-klagomål.docx", "A 28860-2025")</f>
        <v/>
      </c>
      <c r="W995">
        <f>HYPERLINK("https://klasma.github.io/Logging_2482/klagomålsmail/A 28860-2025 FSC-klagomål mail.docx", "A 28860-2025")</f>
        <v/>
      </c>
      <c r="X995">
        <f>HYPERLINK("https://klasma.github.io/Logging_2482/tillsyn/A 28860-2025 tillsynsbegäran.docx", "A 28860-2025")</f>
        <v/>
      </c>
      <c r="Y995">
        <f>HYPERLINK("https://klasma.github.io/Logging_2482/tillsynsmail/A 28860-2025 tillsynsbegäran mail.docx", "A 28860-2025")</f>
        <v/>
      </c>
    </row>
    <row r="996" ht="15" customHeight="1">
      <c r="A996" t="inlineStr">
        <is>
          <t>A 34769-2024</t>
        </is>
      </c>
      <c r="B996" s="1" t="n">
        <v>45526.62043981482</v>
      </c>
      <c r="C996" s="1" t="n">
        <v>45971</v>
      </c>
      <c r="D996" t="inlineStr">
        <is>
          <t>VÄSTERBOTTENS LÄN</t>
        </is>
      </c>
      <c r="E996" t="inlineStr">
        <is>
          <t>VILHELMINA</t>
        </is>
      </c>
      <c r="F996" t="inlineStr">
        <is>
          <t>SCA</t>
        </is>
      </c>
      <c r="G996" t="n">
        <v>6.7</v>
      </c>
      <c r="H996" t="n">
        <v>0</v>
      </c>
      <c r="I996" t="n">
        <v>0</v>
      </c>
      <c r="J996" t="n">
        <v>0</v>
      </c>
      <c r="K996" t="n">
        <v>1</v>
      </c>
      <c r="L996" t="n">
        <v>0</v>
      </c>
      <c r="M996" t="n">
        <v>0</v>
      </c>
      <c r="N996" t="n">
        <v>0</v>
      </c>
      <c r="O996" t="n">
        <v>1</v>
      </c>
      <c r="P996" t="n">
        <v>1</v>
      </c>
      <c r="Q996" t="n">
        <v>1</v>
      </c>
      <c r="R996" s="2" t="inlineStr">
        <is>
          <t>Rynkskinn</t>
        </is>
      </c>
      <c r="S996">
        <f>HYPERLINK("https://klasma.github.io/Logging_2462/artfynd/A 34769-2024 artfynd.xlsx", "A 34769-2024")</f>
        <v/>
      </c>
      <c r="T996">
        <f>HYPERLINK("https://klasma.github.io/Logging_2462/kartor/A 34769-2024 karta.png", "A 34769-2024")</f>
        <v/>
      </c>
      <c r="V996">
        <f>HYPERLINK("https://klasma.github.io/Logging_2462/klagomål/A 34769-2024 FSC-klagomål.docx", "A 34769-2024")</f>
        <v/>
      </c>
      <c r="W996">
        <f>HYPERLINK("https://klasma.github.io/Logging_2462/klagomålsmail/A 34769-2024 FSC-klagomål mail.docx", "A 34769-2024")</f>
        <v/>
      </c>
      <c r="X996">
        <f>HYPERLINK("https://klasma.github.io/Logging_2462/tillsyn/A 34769-2024 tillsynsbegäran.docx", "A 34769-2024")</f>
        <v/>
      </c>
      <c r="Y996">
        <f>HYPERLINK("https://klasma.github.io/Logging_2462/tillsynsmail/A 34769-2024 tillsynsbegäran mail.docx", "A 34769-2024")</f>
        <v/>
      </c>
    </row>
    <row r="997" ht="15" customHeight="1">
      <c r="A997" t="inlineStr">
        <is>
          <t>A 29376-2021</t>
        </is>
      </c>
      <c r="B997" s="1" t="n">
        <v>44361</v>
      </c>
      <c r="C997" s="1" t="n">
        <v>45971</v>
      </c>
      <c r="D997" t="inlineStr">
        <is>
          <t>VÄSTERBOTTENS LÄN</t>
        </is>
      </c>
      <c r="E997" t="inlineStr">
        <is>
          <t>VILHELMINA</t>
        </is>
      </c>
      <c r="F997" t="inlineStr">
        <is>
          <t>Allmännings- och besparingsskogar</t>
        </is>
      </c>
      <c r="G997" t="n">
        <v>110.8</v>
      </c>
      <c r="H997" t="n">
        <v>1</v>
      </c>
      <c r="I997" t="n">
        <v>0</v>
      </c>
      <c r="J997" t="n">
        <v>0</v>
      </c>
      <c r="K997" t="n">
        <v>0</v>
      </c>
      <c r="L997" t="n">
        <v>0</v>
      </c>
      <c r="M997" t="n">
        <v>0</v>
      </c>
      <c r="N997" t="n">
        <v>0</v>
      </c>
      <c r="O997" t="n">
        <v>0</v>
      </c>
      <c r="P997" t="n">
        <v>0</v>
      </c>
      <c r="Q997" t="n">
        <v>1</v>
      </c>
      <c r="R997" s="2" t="inlineStr">
        <is>
          <t>Lavskrika</t>
        </is>
      </c>
      <c r="S997">
        <f>HYPERLINK("https://klasma.github.io/Logging_2462/artfynd/A 29376-2021 artfynd.xlsx", "A 29376-2021")</f>
        <v/>
      </c>
      <c r="T997">
        <f>HYPERLINK("https://klasma.github.io/Logging_2462/kartor/A 29376-2021 karta.png", "A 29376-2021")</f>
        <v/>
      </c>
      <c r="V997">
        <f>HYPERLINK("https://klasma.github.io/Logging_2462/klagomål/A 29376-2021 FSC-klagomål.docx", "A 29376-2021")</f>
        <v/>
      </c>
      <c r="W997">
        <f>HYPERLINK("https://klasma.github.io/Logging_2462/klagomålsmail/A 29376-2021 FSC-klagomål mail.docx", "A 29376-2021")</f>
        <v/>
      </c>
      <c r="X997">
        <f>HYPERLINK("https://klasma.github.io/Logging_2462/tillsyn/A 29376-2021 tillsynsbegäran.docx", "A 29376-2021")</f>
        <v/>
      </c>
      <c r="Y997">
        <f>HYPERLINK("https://klasma.github.io/Logging_2462/tillsynsmail/A 29376-2021 tillsynsbegäran mail.docx", "A 29376-2021")</f>
        <v/>
      </c>
      <c r="Z997">
        <f>HYPERLINK("https://klasma.github.io/Logging_2462/fåglar/A 29376-2021 prioriterade fågelarter.docx", "A 29376-2021")</f>
        <v/>
      </c>
    </row>
    <row r="998" ht="15" customHeight="1">
      <c r="A998" t="inlineStr">
        <is>
          <t>A 28829-2025</t>
        </is>
      </c>
      <c r="B998" s="1" t="n">
        <v>45820.55273148148</v>
      </c>
      <c r="C998" s="1" t="n">
        <v>45971</v>
      </c>
      <c r="D998" t="inlineStr">
        <is>
          <t>VÄSTERBOTTENS LÄN</t>
        </is>
      </c>
      <c r="E998" t="inlineStr">
        <is>
          <t>LYCKSELE</t>
        </is>
      </c>
      <c r="F998" t="inlineStr">
        <is>
          <t>Sveaskog</t>
        </is>
      </c>
      <c r="G998" t="n">
        <v>9.9</v>
      </c>
      <c r="H998" t="n">
        <v>0</v>
      </c>
      <c r="I998" t="n">
        <v>1</v>
      </c>
      <c r="J998" t="n">
        <v>0</v>
      </c>
      <c r="K998" t="n">
        <v>0</v>
      </c>
      <c r="L998" t="n">
        <v>0</v>
      </c>
      <c r="M998" t="n">
        <v>0</v>
      </c>
      <c r="N998" t="n">
        <v>0</v>
      </c>
      <c r="O998" t="n">
        <v>0</v>
      </c>
      <c r="P998" t="n">
        <v>0</v>
      </c>
      <c r="Q998" t="n">
        <v>1</v>
      </c>
      <c r="R998" s="2" t="inlineStr">
        <is>
          <t>Skarp dropptaggsvamp</t>
        </is>
      </c>
      <c r="S998">
        <f>HYPERLINK("https://klasma.github.io/Logging_2481/artfynd/A 28829-2025 artfynd.xlsx", "A 28829-2025")</f>
        <v/>
      </c>
      <c r="T998">
        <f>HYPERLINK("https://klasma.github.io/Logging_2481/kartor/A 28829-2025 karta.png", "A 28829-2025")</f>
        <v/>
      </c>
      <c r="V998">
        <f>HYPERLINK("https://klasma.github.io/Logging_2481/klagomål/A 28829-2025 FSC-klagomål.docx", "A 28829-2025")</f>
        <v/>
      </c>
      <c r="W998">
        <f>HYPERLINK("https://klasma.github.io/Logging_2481/klagomålsmail/A 28829-2025 FSC-klagomål mail.docx", "A 28829-2025")</f>
        <v/>
      </c>
      <c r="X998">
        <f>HYPERLINK("https://klasma.github.io/Logging_2481/tillsyn/A 28829-2025 tillsynsbegäran.docx", "A 28829-2025")</f>
        <v/>
      </c>
      <c r="Y998">
        <f>HYPERLINK("https://klasma.github.io/Logging_2481/tillsynsmail/A 28829-2025 tillsynsbegäran mail.docx", "A 28829-2025")</f>
        <v/>
      </c>
    </row>
    <row r="999" ht="15" customHeight="1">
      <c r="A999" t="inlineStr">
        <is>
          <t>A 35641-2025</t>
        </is>
      </c>
      <c r="B999" s="1" t="n">
        <v>45859</v>
      </c>
      <c r="C999" s="1" t="n">
        <v>45971</v>
      </c>
      <c r="D999" t="inlineStr">
        <is>
          <t>VÄSTERBOTTENS LÄN</t>
        </is>
      </c>
      <c r="E999" t="inlineStr">
        <is>
          <t>STORUMAN</t>
        </is>
      </c>
      <c r="G999" t="n">
        <v>23.7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35641-2025 artfynd.xlsx", "A 35641-2025")</f>
        <v/>
      </c>
      <c r="T999">
        <f>HYPERLINK("https://klasma.github.io/Logging_2421/kartor/A 35641-2025 karta.png", "A 35641-2025")</f>
        <v/>
      </c>
      <c r="V999">
        <f>HYPERLINK("https://klasma.github.io/Logging_2421/klagomål/A 35641-2025 FSC-klagomål.docx", "A 35641-2025")</f>
        <v/>
      </c>
      <c r="W999">
        <f>HYPERLINK("https://klasma.github.io/Logging_2421/klagomålsmail/A 35641-2025 FSC-klagomål mail.docx", "A 35641-2025")</f>
        <v/>
      </c>
      <c r="X999">
        <f>HYPERLINK("https://klasma.github.io/Logging_2421/tillsyn/A 35641-2025 tillsynsbegäran.docx", "A 35641-2025")</f>
        <v/>
      </c>
      <c r="Y999">
        <f>HYPERLINK("https://klasma.github.io/Logging_2421/tillsynsmail/A 35641-2025 tillsynsbegäran mail.docx", "A 35641-2025")</f>
        <v/>
      </c>
      <c r="Z999">
        <f>HYPERLINK("https://klasma.github.io/Logging_2421/fåglar/A 35641-2025 prioriterade fågelarter.docx", "A 35641-2025")</f>
        <v/>
      </c>
    </row>
    <row r="1000" ht="15" customHeight="1">
      <c r="A1000" t="inlineStr">
        <is>
          <t>A 43701-2025</t>
        </is>
      </c>
      <c r="B1000" s="1" t="n">
        <v>45912</v>
      </c>
      <c r="C1000" s="1" t="n">
        <v>45971</v>
      </c>
      <c r="D1000" t="inlineStr">
        <is>
          <t>VÄSTERBOTTENS LÄN</t>
        </is>
      </c>
      <c r="E1000" t="inlineStr">
        <is>
          <t>ROBERTSFORS</t>
        </is>
      </c>
      <c r="F1000" t="inlineStr">
        <is>
          <t>Holmen skog AB</t>
        </is>
      </c>
      <c r="G1000" t="n">
        <v>1.7</v>
      </c>
      <c r="H1000" t="n">
        <v>0</v>
      </c>
      <c r="I1000" t="n">
        <v>1</v>
      </c>
      <c r="J1000" t="n">
        <v>0</v>
      </c>
      <c r="K1000" t="n">
        <v>0</v>
      </c>
      <c r="L1000" t="n">
        <v>0</v>
      </c>
      <c r="M1000" t="n">
        <v>0</v>
      </c>
      <c r="N1000" t="n">
        <v>0</v>
      </c>
      <c r="O1000" t="n">
        <v>0</v>
      </c>
      <c r="P1000" t="n">
        <v>0</v>
      </c>
      <c r="Q1000" t="n">
        <v>1</v>
      </c>
      <c r="R1000" s="2" t="inlineStr">
        <is>
          <t>Björksplintborre</t>
        </is>
      </c>
      <c r="S1000">
        <f>HYPERLINK("https://klasma.github.io/Logging_2409/artfynd/A 43701-2025 artfynd.xlsx", "A 43701-2025")</f>
        <v/>
      </c>
      <c r="T1000">
        <f>HYPERLINK("https://klasma.github.io/Logging_2409/kartor/A 43701-2025 karta.png", "A 43701-2025")</f>
        <v/>
      </c>
      <c r="V1000">
        <f>HYPERLINK("https://klasma.github.io/Logging_2409/klagomål/A 43701-2025 FSC-klagomål.docx", "A 43701-2025")</f>
        <v/>
      </c>
      <c r="W1000">
        <f>HYPERLINK("https://klasma.github.io/Logging_2409/klagomålsmail/A 43701-2025 FSC-klagomål mail.docx", "A 43701-2025")</f>
        <v/>
      </c>
      <c r="X1000">
        <f>HYPERLINK("https://klasma.github.io/Logging_2409/tillsyn/A 43701-2025 tillsynsbegäran.docx", "A 43701-2025")</f>
        <v/>
      </c>
      <c r="Y1000">
        <f>HYPERLINK("https://klasma.github.io/Logging_2409/tillsynsmail/A 43701-2025 tillsynsbegäran mail.docx", "A 43701-2025")</f>
        <v/>
      </c>
    </row>
    <row r="1001" ht="15" customHeight="1">
      <c r="A1001" t="inlineStr">
        <is>
          <t>A 28817-2025</t>
        </is>
      </c>
      <c r="B1001" s="1" t="n">
        <v>45820.53430555556</v>
      </c>
      <c r="C1001" s="1" t="n">
        <v>45971</v>
      </c>
      <c r="D1001" t="inlineStr">
        <is>
          <t>VÄSTERBOTTENS LÄN</t>
        </is>
      </c>
      <c r="E1001" t="inlineStr">
        <is>
          <t>NORDMALING</t>
        </is>
      </c>
      <c r="G1001" t="n">
        <v>6.5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HYPERLINK("https://klasma.github.io/Logging_2401/artfynd/A 28817-2025 artfynd.xlsx", "A 28817-2025")</f>
        <v/>
      </c>
      <c r="T1001">
        <f>HYPERLINK("https://klasma.github.io/Logging_2401/kartor/A 28817-2025 karta.png", "A 28817-2025")</f>
        <v/>
      </c>
      <c r="V1001">
        <f>HYPERLINK("https://klasma.github.io/Logging_2401/klagomål/A 28817-2025 FSC-klagomål.docx", "A 28817-2025")</f>
        <v/>
      </c>
      <c r="W1001">
        <f>HYPERLINK("https://klasma.github.io/Logging_2401/klagomålsmail/A 28817-2025 FSC-klagomål mail.docx", "A 28817-2025")</f>
        <v/>
      </c>
      <c r="X1001">
        <f>HYPERLINK("https://klasma.github.io/Logging_2401/tillsyn/A 28817-2025 tillsynsbegäran.docx", "A 28817-2025")</f>
        <v/>
      </c>
      <c r="Y1001">
        <f>HYPERLINK("https://klasma.github.io/Logging_2401/tillsynsmail/A 28817-2025 tillsynsbegäran mail.docx", "A 28817-2025")</f>
        <v/>
      </c>
      <c r="Z1001">
        <f>HYPERLINK("https://klasma.github.io/Logging_2401/fåglar/A 28817-2025 prioriterade fågelarter.docx", "A 28817-2025")</f>
        <v/>
      </c>
    </row>
    <row r="1002" ht="15" customHeight="1">
      <c r="A1002" t="inlineStr">
        <is>
          <t>A 48743-2023</t>
        </is>
      </c>
      <c r="B1002" s="1" t="n">
        <v>45208</v>
      </c>
      <c r="C1002" s="1" t="n">
        <v>45971</v>
      </c>
      <c r="D1002" t="inlineStr">
        <is>
          <t>VÄSTERBOTTENS LÄN</t>
        </is>
      </c>
      <c r="E1002" t="inlineStr">
        <is>
          <t>ÅSELE</t>
        </is>
      </c>
      <c r="G1002" t="n">
        <v>18.5</v>
      </c>
      <c r="H1002" t="n">
        <v>0</v>
      </c>
      <c r="I1002" t="n">
        <v>1</v>
      </c>
      <c r="J1002" t="n">
        <v>0</v>
      </c>
      <c r="K1002" t="n">
        <v>0</v>
      </c>
      <c r="L1002" t="n">
        <v>0</v>
      </c>
      <c r="M1002" t="n">
        <v>0</v>
      </c>
      <c r="N1002" t="n">
        <v>0</v>
      </c>
      <c r="O1002" t="n">
        <v>0</v>
      </c>
      <c r="P1002" t="n">
        <v>0</v>
      </c>
      <c r="Q1002" t="n">
        <v>1</v>
      </c>
      <c r="R1002" s="2" t="inlineStr">
        <is>
          <t>Skinnlav</t>
        </is>
      </c>
      <c r="S1002">
        <f>HYPERLINK("https://klasma.github.io/Logging_2463/artfynd/A 48743-2023 artfynd.xlsx", "A 48743-2023")</f>
        <v/>
      </c>
      <c r="T1002">
        <f>HYPERLINK("https://klasma.github.io/Logging_2463/kartor/A 48743-2023 karta.png", "A 48743-2023")</f>
        <v/>
      </c>
      <c r="V1002">
        <f>HYPERLINK("https://klasma.github.io/Logging_2463/klagomål/A 48743-2023 FSC-klagomål.docx", "A 48743-2023")</f>
        <v/>
      </c>
      <c r="W1002">
        <f>HYPERLINK("https://klasma.github.io/Logging_2463/klagomålsmail/A 48743-2023 FSC-klagomål mail.docx", "A 48743-2023")</f>
        <v/>
      </c>
      <c r="X1002">
        <f>HYPERLINK("https://klasma.github.io/Logging_2463/tillsyn/A 48743-2023 tillsynsbegäran.docx", "A 48743-2023")</f>
        <v/>
      </c>
      <c r="Y1002">
        <f>HYPERLINK("https://klasma.github.io/Logging_2463/tillsynsmail/A 48743-2023 tillsynsbegäran mail.docx", "A 48743-2023")</f>
        <v/>
      </c>
    </row>
    <row r="1003" ht="15" customHeight="1">
      <c r="A1003" t="inlineStr">
        <is>
          <t>A 29397-2025</t>
        </is>
      </c>
      <c r="B1003" s="1" t="n">
        <v>45824.60902777778</v>
      </c>
      <c r="C1003" s="1" t="n">
        <v>45971</v>
      </c>
      <c r="D1003" t="inlineStr">
        <is>
          <t>VÄSTERBOTTENS LÄN</t>
        </is>
      </c>
      <c r="E1003" t="inlineStr">
        <is>
          <t>UMEÅ</t>
        </is>
      </c>
      <c r="F1003" t="inlineStr">
        <is>
          <t>Holmen skog AB</t>
        </is>
      </c>
      <c r="G1003" t="n">
        <v>4</v>
      </c>
      <c r="H1003" t="n">
        <v>1</v>
      </c>
      <c r="I1003" t="n">
        <v>0</v>
      </c>
      <c r="J1003" t="n">
        <v>0</v>
      </c>
      <c r="K1003" t="n">
        <v>0</v>
      </c>
      <c r="L1003" t="n">
        <v>0</v>
      </c>
      <c r="M1003" t="n">
        <v>0</v>
      </c>
      <c r="N1003" t="n">
        <v>0</v>
      </c>
      <c r="O1003" t="n">
        <v>0</v>
      </c>
      <c r="P1003" t="n">
        <v>0</v>
      </c>
      <c r="Q1003" t="n">
        <v>1</v>
      </c>
      <c r="R1003" s="2" t="inlineStr">
        <is>
          <t>Tjäder</t>
        </is>
      </c>
      <c r="S1003">
        <f>HYPERLINK("https://klasma.github.io/Logging_2480/artfynd/A 29397-2025 artfynd.xlsx", "A 29397-2025")</f>
        <v/>
      </c>
      <c r="T1003">
        <f>HYPERLINK("https://klasma.github.io/Logging_2480/kartor/A 29397-2025 karta.png", "A 29397-2025")</f>
        <v/>
      </c>
      <c r="V1003">
        <f>HYPERLINK("https://klasma.github.io/Logging_2480/klagomål/A 29397-2025 FSC-klagomål.docx", "A 29397-2025")</f>
        <v/>
      </c>
      <c r="W1003">
        <f>HYPERLINK("https://klasma.github.io/Logging_2480/klagomålsmail/A 29397-2025 FSC-klagomål mail.docx", "A 29397-2025")</f>
        <v/>
      </c>
      <c r="X1003">
        <f>HYPERLINK("https://klasma.github.io/Logging_2480/tillsyn/A 29397-2025 tillsynsbegäran.docx", "A 29397-2025")</f>
        <v/>
      </c>
      <c r="Y1003">
        <f>HYPERLINK("https://klasma.github.io/Logging_2480/tillsynsmail/A 29397-2025 tillsynsbegäran mail.docx", "A 29397-2025")</f>
        <v/>
      </c>
      <c r="Z1003">
        <f>HYPERLINK("https://klasma.github.io/Logging_2480/fåglar/A 29397-2025 prioriterade fågelarter.docx", "A 29397-2025")</f>
        <v/>
      </c>
    </row>
    <row r="1004" ht="15" customHeight="1">
      <c r="A1004" t="inlineStr">
        <is>
          <t>A 24885-2022</t>
        </is>
      </c>
      <c r="B1004" s="1" t="n">
        <v>44728</v>
      </c>
      <c r="C1004" s="1" t="n">
        <v>45971</v>
      </c>
      <c r="D1004" t="inlineStr">
        <is>
          <t>VÄSTERBOTTENS LÄN</t>
        </is>
      </c>
      <c r="E1004" t="inlineStr">
        <is>
          <t>SKELLEFTEÅ</t>
        </is>
      </c>
      <c r="F1004" t="inlineStr">
        <is>
          <t>Holmen skog AB</t>
        </is>
      </c>
      <c r="G1004" t="n">
        <v>2.7</v>
      </c>
      <c r="H1004" t="n">
        <v>0</v>
      </c>
      <c r="I1004" t="n">
        <v>0</v>
      </c>
      <c r="J1004" t="n">
        <v>1</v>
      </c>
      <c r="K1004" t="n">
        <v>0</v>
      </c>
      <c r="L1004" t="n">
        <v>0</v>
      </c>
      <c r="M1004" t="n">
        <v>0</v>
      </c>
      <c r="N1004" t="n">
        <v>0</v>
      </c>
      <c r="O1004" t="n">
        <v>1</v>
      </c>
      <c r="P1004" t="n">
        <v>0</v>
      </c>
      <c r="Q1004" t="n">
        <v>1</v>
      </c>
      <c r="R1004" s="2" t="inlineStr">
        <is>
          <t>Lunglav</t>
        </is>
      </c>
      <c r="S1004">
        <f>HYPERLINK("https://klasma.github.io/Logging_2482/artfynd/A 24885-2022 artfynd.xlsx", "A 24885-2022")</f>
        <v/>
      </c>
      <c r="T1004">
        <f>HYPERLINK("https://klasma.github.io/Logging_2482/kartor/A 24885-2022 karta.png", "A 24885-2022")</f>
        <v/>
      </c>
      <c r="V1004">
        <f>HYPERLINK("https://klasma.github.io/Logging_2482/klagomål/A 24885-2022 FSC-klagomål.docx", "A 24885-2022")</f>
        <v/>
      </c>
      <c r="W1004">
        <f>HYPERLINK("https://klasma.github.io/Logging_2482/klagomålsmail/A 24885-2022 FSC-klagomål mail.docx", "A 24885-2022")</f>
        <v/>
      </c>
      <c r="X1004">
        <f>HYPERLINK("https://klasma.github.io/Logging_2482/tillsyn/A 24885-2022 tillsynsbegäran.docx", "A 24885-2022")</f>
        <v/>
      </c>
      <c r="Y1004">
        <f>HYPERLINK("https://klasma.github.io/Logging_2482/tillsynsmail/A 24885-2022 tillsynsbegäran mail.docx", "A 24885-2022")</f>
        <v/>
      </c>
    </row>
    <row r="1005" ht="15" customHeight="1">
      <c r="A1005" t="inlineStr">
        <is>
          <t>A 29121-2025</t>
        </is>
      </c>
      <c r="B1005" s="1" t="n">
        <v>45821</v>
      </c>
      <c r="C1005" s="1" t="n">
        <v>45971</v>
      </c>
      <c r="D1005" t="inlineStr">
        <is>
          <t>VÄSTERBOTTENS LÄN</t>
        </is>
      </c>
      <c r="E1005" t="inlineStr">
        <is>
          <t>VILHELMINA</t>
        </is>
      </c>
      <c r="F1005" t="inlineStr">
        <is>
          <t>SCA</t>
        </is>
      </c>
      <c r="G1005" t="n">
        <v>4.4</v>
      </c>
      <c r="H1005" t="n">
        <v>0</v>
      </c>
      <c r="I1005" t="n">
        <v>0</v>
      </c>
      <c r="J1005" t="n">
        <v>1</v>
      </c>
      <c r="K1005" t="n">
        <v>0</v>
      </c>
      <c r="L1005" t="n">
        <v>0</v>
      </c>
      <c r="M1005" t="n">
        <v>0</v>
      </c>
      <c r="N1005" t="n">
        <v>0</v>
      </c>
      <c r="O1005" t="n">
        <v>1</v>
      </c>
      <c r="P1005" t="n">
        <v>0</v>
      </c>
      <c r="Q1005" t="n">
        <v>1</v>
      </c>
      <c r="R1005" s="2" t="inlineStr">
        <is>
          <t>Ullticka</t>
        </is>
      </c>
      <c r="S1005">
        <f>HYPERLINK("https://klasma.github.io/Logging_2462/artfynd/A 29121-2025 artfynd.xlsx", "A 29121-2025")</f>
        <v/>
      </c>
      <c r="T1005">
        <f>HYPERLINK("https://klasma.github.io/Logging_2462/kartor/A 29121-2025 karta.png", "A 29121-2025")</f>
        <v/>
      </c>
      <c r="V1005">
        <f>HYPERLINK("https://klasma.github.io/Logging_2462/klagomål/A 29121-2025 FSC-klagomål.docx", "A 29121-2025")</f>
        <v/>
      </c>
      <c r="W1005">
        <f>HYPERLINK("https://klasma.github.io/Logging_2462/klagomålsmail/A 29121-2025 FSC-klagomål mail.docx", "A 29121-2025")</f>
        <v/>
      </c>
      <c r="X1005">
        <f>HYPERLINK("https://klasma.github.io/Logging_2462/tillsyn/A 29121-2025 tillsynsbegäran.docx", "A 29121-2025")</f>
        <v/>
      </c>
      <c r="Y1005">
        <f>HYPERLINK("https://klasma.github.io/Logging_2462/tillsynsmail/A 29121-2025 tillsynsbegäran mail.docx", "A 29121-2025")</f>
        <v/>
      </c>
    </row>
    <row r="1006" ht="15" customHeight="1">
      <c r="A1006" t="inlineStr">
        <is>
          <t>A 53869-2023</t>
        </is>
      </c>
      <c r="B1006" s="1" t="n">
        <v>45231</v>
      </c>
      <c r="C1006" s="1" t="n">
        <v>45971</v>
      </c>
      <c r="D1006" t="inlineStr">
        <is>
          <t>VÄSTERBOTTENS LÄN</t>
        </is>
      </c>
      <c r="E1006" t="inlineStr">
        <is>
          <t>LYCKSELE</t>
        </is>
      </c>
      <c r="F1006" t="inlineStr">
        <is>
          <t>Sveaskog</t>
        </is>
      </c>
      <c r="G1006" t="n">
        <v>5.6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53869-2023 artfynd.xlsx", "A 53869-2023")</f>
        <v/>
      </c>
      <c r="T1006">
        <f>HYPERLINK("https://klasma.github.io/Logging_2481/kartor/A 53869-2023 karta.png", "A 53869-2023")</f>
        <v/>
      </c>
      <c r="V1006">
        <f>HYPERLINK("https://klasma.github.io/Logging_2481/klagomål/A 53869-2023 FSC-klagomål.docx", "A 53869-2023")</f>
        <v/>
      </c>
      <c r="W1006">
        <f>HYPERLINK("https://klasma.github.io/Logging_2481/klagomålsmail/A 53869-2023 FSC-klagomål mail.docx", "A 53869-2023")</f>
        <v/>
      </c>
      <c r="X1006">
        <f>HYPERLINK("https://klasma.github.io/Logging_2481/tillsyn/A 53869-2023 tillsynsbegäran.docx", "A 53869-2023")</f>
        <v/>
      </c>
      <c r="Y1006">
        <f>HYPERLINK("https://klasma.github.io/Logging_2481/tillsynsmail/A 53869-2023 tillsynsbegäran mail.docx", "A 53869-2023")</f>
        <v/>
      </c>
    </row>
    <row r="1007" ht="15" customHeight="1">
      <c r="A1007" t="inlineStr">
        <is>
          <t>A 46815-2023</t>
        </is>
      </c>
      <c r="B1007" s="1" t="n">
        <v>45198</v>
      </c>
      <c r="C1007" s="1" t="n">
        <v>45971</v>
      </c>
      <c r="D1007" t="inlineStr">
        <is>
          <t>VÄSTERBOTTENS LÄN</t>
        </is>
      </c>
      <c r="E1007" t="inlineStr">
        <is>
          <t>DOROTEA</t>
        </is>
      </c>
      <c r="F1007" t="inlineStr">
        <is>
          <t>SCA</t>
        </is>
      </c>
      <c r="G1007" t="n">
        <v>3.7</v>
      </c>
      <c r="H1007" t="n">
        <v>0</v>
      </c>
      <c r="I1007" t="n">
        <v>0</v>
      </c>
      <c r="J1007" t="n">
        <v>1</v>
      </c>
      <c r="K1007" t="n">
        <v>0</v>
      </c>
      <c r="L1007" t="n">
        <v>0</v>
      </c>
      <c r="M1007" t="n">
        <v>0</v>
      </c>
      <c r="N1007" t="n">
        <v>0</v>
      </c>
      <c r="O1007" t="n">
        <v>1</v>
      </c>
      <c r="P1007" t="n">
        <v>0</v>
      </c>
      <c r="Q1007" t="n">
        <v>1</v>
      </c>
      <c r="R1007" s="2" t="inlineStr">
        <is>
          <t>Harticka</t>
        </is>
      </c>
      <c r="S1007">
        <f>HYPERLINK("https://klasma.github.io/Logging_2425/artfynd/A 46815-2023 artfynd.xlsx", "A 46815-2023")</f>
        <v/>
      </c>
      <c r="T1007">
        <f>HYPERLINK("https://klasma.github.io/Logging_2425/kartor/A 46815-2023 karta.png", "A 46815-2023")</f>
        <v/>
      </c>
      <c r="V1007">
        <f>HYPERLINK("https://klasma.github.io/Logging_2425/klagomål/A 46815-2023 FSC-klagomål.docx", "A 46815-2023")</f>
        <v/>
      </c>
      <c r="W1007">
        <f>HYPERLINK("https://klasma.github.io/Logging_2425/klagomålsmail/A 46815-2023 FSC-klagomål mail.docx", "A 46815-2023")</f>
        <v/>
      </c>
      <c r="X1007">
        <f>HYPERLINK("https://klasma.github.io/Logging_2425/tillsyn/A 46815-2023 tillsynsbegäran.docx", "A 46815-2023")</f>
        <v/>
      </c>
      <c r="Y1007">
        <f>HYPERLINK("https://klasma.github.io/Logging_2425/tillsynsmail/A 46815-2023 tillsynsbegäran mail.docx", "A 46815-2023")</f>
        <v/>
      </c>
    </row>
    <row r="1008" ht="15" customHeight="1">
      <c r="A1008" t="inlineStr">
        <is>
          <t>A 29611-2025</t>
        </is>
      </c>
      <c r="B1008" s="1" t="n">
        <v>45825</v>
      </c>
      <c r="C1008" s="1" t="n">
        <v>45971</v>
      </c>
      <c r="D1008" t="inlineStr">
        <is>
          <t>VÄSTERBOTTENS LÄN</t>
        </is>
      </c>
      <c r="E1008" t="inlineStr">
        <is>
          <t>VINDELN</t>
        </is>
      </c>
      <c r="G1008" t="n">
        <v>3</v>
      </c>
      <c r="H1008" t="n">
        <v>1</v>
      </c>
      <c r="I1008" t="n">
        <v>0</v>
      </c>
      <c r="J1008" t="n">
        <v>1</v>
      </c>
      <c r="K1008" t="n">
        <v>0</v>
      </c>
      <c r="L1008" t="n">
        <v>0</v>
      </c>
      <c r="M1008" t="n">
        <v>0</v>
      </c>
      <c r="N1008" t="n">
        <v>0</v>
      </c>
      <c r="O1008" t="n">
        <v>1</v>
      </c>
      <c r="P1008" t="n">
        <v>0</v>
      </c>
      <c r="Q1008" t="n">
        <v>1</v>
      </c>
      <c r="R1008" s="2" t="inlineStr">
        <is>
          <t>Slaguggla</t>
        </is>
      </c>
      <c r="S1008">
        <f>HYPERLINK("https://klasma.github.io/Logging_2404/artfynd/A 29611-2025 artfynd.xlsx", "A 29611-2025")</f>
        <v/>
      </c>
      <c r="T1008">
        <f>HYPERLINK("https://klasma.github.io/Logging_2404/kartor/A 29611-2025 karta.png", "A 29611-2025")</f>
        <v/>
      </c>
      <c r="V1008">
        <f>HYPERLINK("https://klasma.github.io/Logging_2404/klagomål/A 29611-2025 FSC-klagomål.docx", "A 29611-2025")</f>
        <v/>
      </c>
      <c r="W1008">
        <f>HYPERLINK("https://klasma.github.io/Logging_2404/klagomålsmail/A 29611-2025 FSC-klagomål mail.docx", "A 29611-2025")</f>
        <v/>
      </c>
      <c r="X1008">
        <f>HYPERLINK("https://klasma.github.io/Logging_2404/tillsyn/A 29611-2025 tillsynsbegäran.docx", "A 29611-2025")</f>
        <v/>
      </c>
      <c r="Y1008">
        <f>HYPERLINK("https://klasma.github.io/Logging_2404/tillsynsmail/A 29611-2025 tillsynsbegäran mail.docx", "A 29611-2025")</f>
        <v/>
      </c>
      <c r="Z1008">
        <f>HYPERLINK("https://klasma.github.io/Logging_2404/fåglar/A 29611-2025 prioriterade fågelarter.docx", "A 29611-2025")</f>
        <v/>
      </c>
    </row>
    <row r="1009" ht="15" customHeight="1">
      <c r="A1009" t="inlineStr">
        <is>
          <t>A 29623-2025</t>
        </is>
      </c>
      <c r="B1009" s="1" t="n">
        <v>45825.44150462963</v>
      </c>
      <c r="C1009" s="1" t="n">
        <v>45971</v>
      </c>
      <c r="D1009" t="inlineStr">
        <is>
          <t>VÄSTERBOTTENS LÄN</t>
        </is>
      </c>
      <c r="E1009" t="inlineStr">
        <is>
          <t>VINDELN</t>
        </is>
      </c>
      <c r="G1009" t="n">
        <v>7.2</v>
      </c>
      <c r="H1009" t="n">
        <v>1</v>
      </c>
      <c r="I1009" t="n">
        <v>0</v>
      </c>
      <c r="J1009" t="n">
        <v>0</v>
      </c>
      <c r="K1009" t="n">
        <v>1</v>
      </c>
      <c r="L1009" t="n">
        <v>0</v>
      </c>
      <c r="M1009" t="n">
        <v>0</v>
      </c>
      <c r="N1009" t="n">
        <v>0</v>
      </c>
      <c r="O1009" t="n">
        <v>1</v>
      </c>
      <c r="P1009" t="n">
        <v>1</v>
      </c>
      <c r="Q1009" t="n">
        <v>1</v>
      </c>
      <c r="R1009" s="2" t="inlineStr">
        <is>
          <t>Lappuggla</t>
        </is>
      </c>
      <c r="S1009">
        <f>HYPERLINK("https://klasma.github.io/Logging_2404/artfynd/A 29623-2025 artfynd.xlsx", "A 29623-2025")</f>
        <v/>
      </c>
      <c r="T1009">
        <f>HYPERLINK("https://klasma.github.io/Logging_2404/kartor/A 29623-2025 karta.png", "A 29623-2025")</f>
        <v/>
      </c>
      <c r="V1009">
        <f>HYPERLINK("https://klasma.github.io/Logging_2404/klagomål/A 29623-2025 FSC-klagomål.docx", "A 29623-2025")</f>
        <v/>
      </c>
      <c r="W1009">
        <f>HYPERLINK("https://klasma.github.io/Logging_2404/klagomålsmail/A 29623-2025 FSC-klagomål mail.docx", "A 29623-2025")</f>
        <v/>
      </c>
      <c r="X1009">
        <f>HYPERLINK("https://klasma.github.io/Logging_2404/tillsyn/A 29623-2025 tillsynsbegäran.docx", "A 29623-2025")</f>
        <v/>
      </c>
      <c r="Y1009">
        <f>HYPERLINK("https://klasma.github.io/Logging_2404/tillsynsmail/A 29623-2025 tillsynsbegäran mail.docx", "A 29623-2025")</f>
        <v/>
      </c>
      <c r="Z1009">
        <f>HYPERLINK("https://klasma.github.io/Logging_2404/fåglar/A 29623-2025 prioriterade fågelarter.docx", "A 29623-2025")</f>
        <v/>
      </c>
    </row>
    <row r="1010" ht="15" customHeight="1">
      <c r="A1010" t="inlineStr">
        <is>
          <t>A 29317-2023</t>
        </is>
      </c>
      <c r="B1010" s="1" t="n">
        <v>45105</v>
      </c>
      <c r="C1010" s="1" t="n">
        <v>45971</v>
      </c>
      <c r="D1010" t="inlineStr">
        <is>
          <t>VÄSTERBOTTENS LÄN</t>
        </is>
      </c>
      <c r="E1010" t="inlineStr">
        <is>
          <t>VILHELMINA</t>
        </is>
      </c>
      <c r="F1010" t="inlineStr">
        <is>
          <t>SCA</t>
        </is>
      </c>
      <c r="G1010" t="n">
        <v>18.8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HYPERLINK("https://klasma.github.io/Logging_2462/artfynd/A 29317-2023 artfynd.xlsx", "A 29317-2023")</f>
        <v/>
      </c>
      <c r="T1010">
        <f>HYPERLINK("https://klasma.github.io/Logging_2462/kartor/A 29317-2023 karta.png", "A 29317-2023")</f>
        <v/>
      </c>
      <c r="V1010">
        <f>HYPERLINK("https://klasma.github.io/Logging_2462/klagomål/A 29317-2023 FSC-klagomål.docx", "A 29317-2023")</f>
        <v/>
      </c>
      <c r="W1010">
        <f>HYPERLINK("https://klasma.github.io/Logging_2462/klagomålsmail/A 29317-2023 FSC-klagomål mail.docx", "A 29317-2023")</f>
        <v/>
      </c>
      <c r="X1010">
        <f>HYPERLINK("https://klasma.github.io/Logging_2462/tillsyn/A 29317-2023 tillsynsbegäran.docx", "A 29317-2023")</f>
        <v/>
      </c>
      <c r="Y1010">
        <f>HYPERLINK("https://klasma.github.io/Logging_2462/tillsynsmail/A 29317-2023 tillsynsbegäran mail.docx", "A 29317-2023")</f>
        <v/>
      </c>
      <c r="Z1010">
        <f>HYPERLINK("https://klasma.github.io/Logging_2462/fåglar/A 29317-2023 prioriterade fågelarter.docx", "A 29317-2023")</f>
        <v/>
      </c>
    </row>
    <row r="1011" ht="15" customHeight="1">
      <c r="A1011" t="inlineStr">
        <is>
          <t>A 94-2025</t>
        </is>
      </c>
      <c r="B1011" s="1" t="n">
        <v>45659</v>
      </c>
      <c r="C1011" s="1" t="n">
        <v>45971</v>
      </c>
      <c r="D1011" t="inlineStr">
        <is>
          <t>VÄSTERBOTTENS LÄN</t>
        </is>
      </c>
      <c r="E1011" t="inlineStr">
        <is>
          <t>BJURHOLM</t>
        </is>
      </c>
      <c r="G1011" t="n">
        <v>1.5</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94-2025 artfynd.xlsx", "A 94-2025")</f>
        <v/>
      </c>
      <c r="T1011">
        <f>HYPERLINK("https://klasma.github.io/Logging_2403/kartor/A 94-2025 karta.png", "A 94-2025")</f>
        <v/>
      </c>
      <c r="V1011">
        <f>HYPERLINK("https://klasma.github.io/Logging_2403/klagomål/A 94-2025 FSC-klagomål.docx", "A 94-2025")</f>
        <v/>
      </c>
      <c r="W1011">
        <f>HYPERLINK("https://klasma.github.io/Logging_2403/klagomålsmail/A 94-2025 FSC-klagomål mail.docx", "A 94-2025")</f>
        <v/>
      </c>
      <c r="X1011">
        <f>HYPERLINK("https://klasma.github.io/Logging_2403/tillsyn/A 94-2025 tillsynsbegäran.docx", "A 94-2025")</f>
        <v/>
      </c>
      <c r="Y1011">
        <f>HYPERLINK("https://klasma.github.io/Logging_2403/tillsynsmail/A 94-2025 tillsynsbegäran mail.docx", "A 94-2025")</f>
        <v/>
      </c>
    </row>
    <row r="1012" ht="15" customHeight="1">
      <c r="A1012" t="inlineStr">
        <is>
          <t>A 36531-2022</t>
        </is>
      </c>
      <c r="B1012" s="1" t="n">
        <v>44804</v>
      </c>
      <c r="C1012" s="1" t="n">
        <v>45971</v>
      </c>
      <c r="D1012" t="inlineStr">
        <is>
          <t>VÄSTERBOTTENS LÄN</t>
        </is>
      </c>
      <c r="E1012" t="inlineStr">
        <is>
          <t>SKELLEFTEÅ</t>
        </is>
      </c>
      <c r="F1012" t="inlineStr">
        <is>
          <t>Kommuner</t>
        </is>
      </c>
      <c r="G1012" t="n">
        <v>3.1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HYPERLINK("https://klasma.github.io/Logging_2482/artfynd/A 36531-2022 artfynd.xlsx", "A 36531-2022")</f>
        <v/>
      </c>
      <c r="T1012">
        <f>HYPERLINK("https://klasma.github.io/Logging_2482/kartor/A 36531-2022 karta.png", "A 36531-2022")</f>
        <v/>
      </c>
      <c r="V1012">
        <f>HYPERLINK("https://klasma.github.io/Logging_2482/klagomål/A 36531-2022 FSC-klagomål.docx", "A 36531-2022")</f>
        <v/>
      </c>
      <c r="W1012">
        <f>HYPERLINK("https://klasma.github.io/Logging_2482/klagomålsmail/A 36531-2022 FSC-klagomål mail.docx", "A 36531-2022")</f>
        <v/>
      </c>
      <c r="X1012">
        <f>HYPERLINK("https://klasma.github.io/Logging_2482/tillsyn/A 36531-2022 tillsynsbegäran.docx", "A 36531-2022")</f>
        <v/>
      </c>
      <c r="Y1012">
        <f>HYPERLINK("https://klasma.github.io/Logging_2482/tillsynsmail/A 36531-2022 tillsynsbegäran mail.docx", "A 36531-2022")</f>
        <v/>
      </c>
    </row>
    <row r="1013" ht="15" customHeight="1">
      <c r="A1013" t="inlineStr">
        <is>
          <t>A 37546-2023</t>
        </is>
      </c>
      <c r="B1013" s="1" t="n">
        <v>45158</v>
      </c>
      <c r="C1013" s="1" t="n">
        <v>45971</v>
      </c>
      <c r="D1013" t="inlineStr">
        <is>
          <t>VÄSTERBOTTENS LÄN</t>
        </is>
      </c>
      <c r="E1013" t="inlineStr">
        <is>
          <t>NORDMALING</t>
        </is>
      </c>
      <c r="G1013" t="n">
        <v>4.7</v>
      </c>
      <c r="H1013" t="n">
        <v>0</v>
      </c>
      <c r="I1013" t="n">
        <v>1</v>
      </c>
      <c r="J1013" t="n">
        <v>0</v>
      </c>
      <c r="K1013" t="n">
        <v>0</v>
      </c>
      <c r="L1013" t="n">
        <v>0</v>
      </c>
      <c r="M1013" t="n">
        <v>0</v>
      </c>
      <c r="N1013" t="n">
        <v>0</v>
      </c>
      <c r="O1013" t="n">
        <v>0</v>
      </c>
      <c r="P1013" t="n">
        <v>0</v>
      </c>
      <c r="Q1013" t="n">
        <v>1</v>
      </c>
      <c r="R1013" s="2" t="inlineStr">
        <is>
          <t>Vedticka</t>
        </is>
      </c>
      <c r="S1013">
        <f>HYPERLINK("https://klasma.github.io/Logging_2401/artfynd/A 37546-2023 artfynd.xlsx", "A 37546-2023")</f>
        <v/>
      </c>
      <c r="T1013">
        <f>HYPERLINK("https://klasma.github.io/Logging_2401/kartor/A 37546-2023 karta.png", "A 37546-2023")</f>
        <v/>
      </c>
      <c r="V1013">
        <f>HYPERLINK("https://klasma.github.io/Logging_2401/klagomål/A 37546-2023 FSC-klagomål.docx", "A 37546-2023")</f>
        <v/>
      </c>
      <c r="W1013">
        <f>HYPERLINK("https://klasma.github.io/Logging_2401/klagomålsmail/A 37546-2023 FSC-klagomål mail.docx", "A 37546-2023")</f>
        <v/>
      </c>
      <c r="X1013">
        <f>HYPERLINK("https://klasma.github.io/Logging_2401/tillsyn/A 37546-2023 tillsynsbegäran.docx", "A 37546-2023")</f>
        <v/>
      </c>
      <c r="Y1013">
        <f>HYPERLINK("https://klasma.github.io/Logging_2401/tillsynsmail/A 37546-2023 tillsynsbegäran mail.docx", "A 37546-2023")</f>
        <v/>
      </c>
    </row>
    <row r="1014" ht="15" customHeight="1">
      <c r="A1014" t="inlineStr">
        <is>
          <t>A 40802-2023</t>
        </is>
      </c>
      <c r="B1014" s="1" t="n">
        <v>45170</v>
      </c>
      <c r="C1014" s="1" t="n">
        <v>45971</v>
      </c>
      <c r="D1014" t="inlineStr">
        <is>
          <t>VÄSTERBOTTENS LÄN</t>
        </is>
      </c>
      <c r="E1014" t="inlineStr">
        <is>
          <t>VINDELN</t>
        </is>
      </c>
      <c r="F1014" t="inlineStr">
        <is>
          <t>SCA</t>
        </is>
      </c>
      <c r="G1014" t="n">
        <v>5.1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HYPERLINK("https://klasma.github.io/Logging_2404/artfynd/A 40802-2023 artfynd.xlsx", "A 40802-2023")</f>
        <v/>
      </c>
      <c r="T1014">
        <f>HYPERLINK("https://klasma.github.io/Logging_2404/kartor/A 40802-2023 karta.png", "A 40802-2023")</f>
        <v/>
      </c>
      <c r="V1014">
        <f>HYPERLINK("https://klasma.github.io/Logging_2404/klagomål/A 40802-2023 FSC-klagomål.docx", "A 40802-2023")</f>
        <v/>
      </c>
      <c r="W1014">
        <f>HYPERLINK("https://klasma.github.io/Logging_2404/klagomålsmail/A 40802-2023 FSC-klagomål mail.docx", "A 40802-2023")</f>
        <v/>
      </c>
      <c r="X1014">
        <f>HYPERLINK("https://klasma.github.io/Logging_2404/tillsyn/A 40802-2023 tillsynsbegäran.docx", "A 40802-2023")</f>
        <v/>
      </c>
      <c r="Y1014">
        <f>HYPERLINK("https://klasma.github.io/Logging_2404/tillsynsmail/A 40802-2023 tillsynsbegäran mail.docx", "A 40802-2023")</f>
        <v/>
      </c>
    </row>
    <row r="1015" ht="15" customHeight="1">
      <c r="A1015" t="inlineStr">
        <is>
          <t>A 30608-2025</t>
        </is>
      </c>
      <c r="B1015" s="1" t="n">
        <v>45831.45858796296</v>
      </c>
      <c r="C1015" s="1" t="n">
        <v>45971</v>
      </c>
      <c r="D1015" t="inlineStr">
        <is>
          <t>VÄSTERBOTTENS LÄN</t>
        </is>
      </c>
      <c r="E1015" t="inlineStr">
        <is>
          <t>LYCKSELE</t>
        </is>
      </c>
      <c r="F1015" t="inlineStr">
        <is>
          <t>Holmen skog AB</t>
        </is>
      </c>
      <c r="G1015" t="n">
        <v>3.2</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30608-2025 artfynd.xlsx", "A 30608-2025")</f>
        <v/>
      </c>
      <c r="T1015">
        <f>HYPERLINK("https://klasma.github.io/Logging_2481/kartor/A 30608-2025 karta.png", "A 30608-2025")</f>
        <v/>
      </c>
      <c r="V1015">
        <f>HYPERLINK("https://klasma.github.io/Logging_2481/klagomål/A 30608-2025 FSC-klagomål.docx", "A 30608-2025")</f>
        <v/>
      </c>
      <c r="W1015">
        <f>HYPERLINK("https://klasma.github.io/Logging_2481/klagomålsmail/A 30608-2025 FSC-klagomål mail.docx", "A 30608-2025")</f>
        <v/>
      </c>
      <c r="X1015">
        <f>HYPERLINK("https://klasma.github.io/Logging_2481/tillsyn/A 30608-2025 tillsynsbegäran.docx", "A 30608-2025")</f>
        <v/>
      </c>
      <c r="Y1015">
        <f>HYPERLINK("https://klasma.github.io/Logging_2481/tillsynsmail/A 30608-2025 tillsynsbegäran mail.docx", "A 30608-2025")</f>
        <v/>
      </c>
    </row>
    <row r="1016" ht="15" customHeight="1">
      <c r="A1016" t="inlineStr">
        <is>
          <t>A 30664-2025</t>
        </is>
      </c>
      <c r="B1016" s="1" t="n">
        <v>45831.51394675926</v>
      </c>
      <c r="C1016" s="1" t="n">
        <v>45971</v>
      </c>
      <c r="D1016" t="inlineStr">
        <is>
          <t>VÄSTERBOTTENS LÄN</t>
        </is>
      </c>
      <c r="E1016" t="inlineStr">
        <is>
          <t>LYCKSELE</t>
        </is>
      </c>
      <c r="F1016" t="inlineStr">
        <is>
          <t>Sveaskog</t>
        </is>
      </c>
      <c r="G1016" t="n">
        <v>7.1</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HYPERLINK("https://klasma.github.io/Logging_2481/artfynd/A 30664-2025 artfynd.xlsx", "A 30664-2025")</f>
        <v/>
      </c>
      <c r="T1016">
        <f>HYPERLINK("https://klasma.github.io/Logging_2481/kartor/A 30664-2025 karta.png", "A 30664-2025")</f>
        <v/>
      </c>
      <c r="V1016">
        <f>HYPERLINK("https://klasma.github.io/Logging_2481/klagomål/A 30664-2025 FSC-klagomål.docx", "A 30664-2025")</f>
        <v/>
      </c>
      <c r="W1016">
        <f>HYPERLINK("https://klasma.github.io/Logging_2481/klagomålsmail/A 30664-2025 FSC-klagomål mail.docx", "A 30664-2025")</f>
        <v/>
      </c>
      <c r="X1016">
        <f>HYPERLINK("https://klasma.github.io/Logging_2481/tillsyn/A 30664-2025 tillsynsbegäran.docx", "A 30664-2025")</f>
        <v/>
      </c>
      <c r="Y1016">
        <f>HYPERLINK("https://klasma.github.io/Logging_2481/tillsynsmail/A 30664-2025 tillsynsbegäran mail.docx", "A 30664-2025")</f>
        <v/>
      </c>
    </row>
    <row r="1017" ht="15" customHeight="1">
      <c r="A1017" t="inlineStr">
        <is>
          <t>A 53250-2025</t>
        </is>
      </c>
      <c r="B1017" s="1" t="n">
        <v>45958.66072916667</v>
      </c>
      <c r="C1017" s="1" t="n">
        <v>45971</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59283-2024</t>
        </is>
      </c>
      <c r="B1018" s="1" t="n">
        <v>45637.64248842592</v>
      </c>
      <c r="C1018" s="1" t="n">
        <v>45971</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59283-2024 artfynd.xlsx", "A 59283-2024")</f>
        <v/>
      </c>
      <c r="T1018">
        <f>HYPERLINK("https://klasma.github.io/Logging_2481/kartor/A 59283-2024 karta.png", "A 59283-2024")</f>
        <v/>
      </c>
      <c r="V1018">
        <f>HYPERLINK("https://klasma.github.io/Logging_2481/klagomål/A 59283-2024 FSC-klagomål.docx", "A 59283-2024")</f>
        <v/>
      </c>
      <c r="W1018">
        <f>HYPERLINK("https://klasma.github.io/Logging_2481/klagomålsmail/A 59283-2024 FSC-klagomål mail.docx", "A 59283-2024")</f>
        <v/>
      </c>
      <c r="X1018">
        <f>HYPERLINK("https://klasma.github.io/Logging_2481/tillsyn/A 59283-2024 tillsynsbegäran.docx", "A 59283-2024")</f>
        <v/>
      </c>
      <c r="Y1018">
        <f>HYPERLINK("https://klasma.github.io/Logging_2481/tillsynsmail/A 59283-2024 tillsynsbegäran mail.docx", "A 59283-2024")</f>
        <v/>
      </c>
    </row>
    <row r="1019" ht="15" customHeight="1">
      <c r="A1019" t="inlineStr">
        <is>
          <t>A 44331-2025</t>
        </is>
      </c>
      <c r="B1019" s="1" t="n">
        <v>45916.42150462963</v>
      </c>
      <c r="C1019" s="1" t="n">
        <v>45971</v>
      </c>
      <c r="D1019" t="inlineStr">
        <is>
          <t>VÄSTERBOTTENS LÄN</t>
        </is>
      </c>
      <c r="E1019" t="inlineStr">
        <is>
          <t>LYCKSELE</t>
        </is>
      </c>
      <c r="F1019" t="inlineStr">
        <is>
          <t>Sveaskog</t>
        </is>
      </c>
      <c r="G1019" t="n">
        <v>4.8</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44331-2025 artfynd.xlsx", "A 44331-2025")</f>
        <v/>
      </c>
      <c r="T1019">
        <f>HYPERLINK("https://klasma.github.io/Logging_2481/kartor/A 44331-2025 karta.png", "A 44331-2025")</f>
        <v/>
      </c>
      <c r="V1019">
        <f>HYPERLINK("https://klasma.github.io/Logging_2481/klagomål/A 44331-2025 FSC-klagomål.docx", "A 44331-2025")</f>
        <v/>
      </c>
      <c r="W1019">
        <f>HYPERLINK("https://klasma.github.io/Logging_2481/klagomålsmail/A 44331-2025 FSC-klagomål mail.docx", "A 44331-2025")</f>
        <v/>
      </c>
      <c r="X1019">
        <f>HYPERLINK("https://klasma.github.io/Logging_2481/tillsyn/A 44331-2025 tillsynsbegäran.docx", "A 44331-2025")</f>
        <v/>
      </c>
      <c r="Y1019">
        <f>HYPERLINK("https://klasma.github.io/Logging_2481/tillsynsmail/A 44331-2025 tillsynsbegäran mail.docx", "A 44331-2025")</f>
        <v/>
      </c>
    </row>
    <row r="1020" ht="15" customHeight="1">
      <c r="A1020" t="inlineStr">
        <is>
          <t>A 30923-2025</t>
        </is>
      </c>
      <c r="B1020" s="1" t="n">
        <v>45832.38615740741</v>
      </c>
      <c r="C1020" s="1" t="n">
        <v>45971</v>
      </c>
      <c r="D1020" t="inlineStr">
        <is>
          <t>VÄSTERBOTTENS LÄN</t>
        </is>
      </c>
      <c r="E1020" t="inlineStr">
        <is>
          <t>VINDELN</t>
        </is>
      </c>
      <c r="G1020" t="n">
        <v>4.6</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HYPERLINK("https://klasma.github.io/Logging_2404/artfynd/A 30923-2025 artfynd.xlsx", "A 30923-2025")</f>
        <v/>
      </c>
      <c r="T1020">
        <f>HYPERLINK("https://klasma.github.io/Logging_2404/kartor/A 30923-2025 karta.png", "A 30923-2025")</f>
        <v/>
      </c>
      <c r="V1020">
        <f>HYPERLINK("https://klasma.github.io/Logging_2404/klagomål/A 30923-2025 FSC-klagomål.docx", "A 30923-2025")</f>
        <v/>
      </c>
      <c r="W1020">
        <f>HYPERLINK("https://klasma.github.io/Logging_2404/klagomålsmail/A 30923-2025 FSC-klagomål mail.docx", "A 30923-2025")</f>
        <v/>
      </c>
      <c r="X1020">
        <f>HYPERLINK("https://klasma.github.io/Logging_2404/tillsyn/A 30923-2025 tillsynsbegäran.docx", "A 30923-2025")</f>
        <v/>
      </c>
      <c r="Y1020">
        <f>HYPERLINK("https://klasma.github.io/Logging_2404/tillsynsmail/A 30923-2025 tillsynsbegäran mail.docx", "A 30923-2025")</f>
        <v/>
      </c>
    </row>
    <row r="1021" ht="15" customHeight="1">
      <c r="A1021" t="inlineStr">
        <is>
          <t>A 31162-2025</t>
        </is>
      </c>
      <c r="B1021" s="1" t="n">
        <v>45832.65657407408</v>
      </c>
      <c r="C1021" s="1" t="n">
        <v>45971</v>
      </c>
      <c r="D1021" t="inlineStr">
        <is>
          <t>VÄSTERBOTTENS LÄN</t>
        </is>
      </c>
      <c r="E1021" t="inlineStr">
        <is>
          <t>NORSJÖ</t>
        </is>
      </c>
      <c r="F1021" t="inlineStr">
        <is>
          <t>Sveaskog</t>
        </is>
      </c>
      <c r="G1021" t="n">
        <v>7.4</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HYPERLINK("https://klasma.github.io/Logging_2417/artfynd/A 31162-2025 artfynd.xlsx", "A 31162-2025")</f>
        <v/>
      </c>
      <c r="T1021">
        <f>HYPERLINK("https://klasma.github.io/Logging_2417/kartor/A 31162-2025 karta.png", "A 31162-2025")</f>
        <v/>
      </c>
      <c r="V1021">
        <f>HYPERLINK("https://klasma.github.io/Logging_2417/klagomål/A 31162-2025 FSC-klagomål.docx", "A 31162-2025")</f>
        <v/>
      </c>
      <c r="W1021">
        <f>HYPERLINK("https://klasma.github.io/Logging_2417/klagomålsmail/A 31162-2025 FSC-klagomål mail.docx", "A 31162-2025")</f>
        <v/>
      </c>
      <c r="X1021">
        <f>HYPERLINK("https://klasma.github.io/Logging_2417/tillsyn/A 31162-2025 tillsynsbegäran.docx", "A 31162-2025")</f>
        <v/>
      </c>
      <c r="Y1021">
        <f>HYPERLINK("https://klasma.github.io/Logging_2417/tillsynsmail/A 31162-2025 tillsynsbegäran mail.docx", "A 31162-2025")</f>
        <v/>
      </c>
    </row>
    <row r="1022" ht="15" customHeight="1">
      <c r="A1022" t="inlineStr">
        <is>
          <t>A 38131-2024</t>
        </is>
      </c>
      <c r="B1022" s="1" t="n">
        <v>45545</v>
      </c>
      <c r="C1022" s="1" t="n">
        <v>45971</v>
      </c>
      <c r="D1022" t="inlineStr">
        <is>
          <t>VÄSTERBOTTENS LÄN</t>
        </is>
      </c>
      <c r="E1022" t="inlineStr">
        <is>
          <t>VILHELMINA</t>
        </is>
      </c>
      <c r="F1022" t="inlineStr">
        <is>
          <t>SCA</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38131-2024 artfynd.xlsx", "A 38131-2024")</f>
        <v/>
      </c>
      <c r="T1022">
        <f>HYPERLINK("https://klasma.github.io/Logging_2462/kartor/A 38131-2024 karta.png", "A 38131-2024")</f>
        <v/>
      </c>
      <c r="V1022">
        <f>HYPERLINK("https://klasma.github.io/Logging_2462/klagomål/A 38131-2024 FSC-klagomål.docx", "A 38131-2024")</f>
        <v/>
      </c>
      <c r="W1022">
        <f>HYPERLINK("https://klasma.github.io/Logging_2462/klagomålsmail/A 38131-2024 FSC-klagomål mail.docx", "A 38131-2024")</f>
        <v/>
      </c>
      <c r="X1022">
        <f>HYPERLINK("https://klasma.github.io/Logging_2462/tillsyn/A 38131-2024 tillsynsbegäran.docx", "A 38131-2024")</f>
        <v/>
      </c>
      <c r="Y1022">
        <f>HYPERLINK("https://klasma.github.io/Logging_2462/tillsynsmail/A 38131-2024 tillsynsbegäran mail.docx", "A 38131-2024")</f>
        <v/>
      </c>
      <c r="Z1022">
        <f>HYPERLINK("https://klasma.github.io/Logging_2462/fåglar/A 38131-2024 prioriterade fågelarter.docx", "A 38131-2024")</f>
        <v/>
      </c>
    </row>
    <row r="1023" ht="15" customHeight="1">
      <c r="A1023" t="inlineStr">
        <is>
          <t>A 30756-2025</t>
        </is>
      </c>
      <c r="B1023" s="1" t="n">
        <v>45831</v>
      </c>
      <c r="C1023" s="1" t="n">
        <v>45971</v>
      </c>
      <c r="D1023" t="inlineStr">
        <is>
          <t>VÄSTERBOTTENS LÄN</t>
        </is>
      </c>
      <c r="E1023" t="inlineStr">
        <is>
          <t>DOROTEA</t>
        </is>
      </c>
      <c r="F1023" t="inlineStr">
        <is>
          <t>SCA</t>
        </is>
      </c>
      <c r="G1023" t="n">
        <v>6</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30756-2025 artfynd.xlsx", "A 30756-2025")</f>
        <v/>
      </c>
      <c r="T1023">
        <f>HYPERLINK("https://klasma.github.io/Logging_2425/kartor/A 30756-2025 karta.png", "A 30756-2025")</f>
        <v/>
      </c>
      <c r="V1023">
        <f>HYPERLINK("https://klasma.github.io/Logging_2425/klagomål/A 30756-2025 FSC-klagomål.docx", "A 30756-2025")</f>
        <v/>
      </c>
      <c r="W1023">
        <f>HYPERLINK("https://klasma.github.io/Logging_2425/klagomålsmail/A 30756-2025 FSC-klagomål mail.docx", "A 30756-2025")</f>
        <v/>
      </c>
      <c r="X1023">
        <f>HYPERLINK("https://klasma.github.io/Logging_2425/tillsyn/A 30756-2025 tillsynsbegäran.docx", "A 30756-2025")</f>
        <v/>
      </c>
      <c r="Y1023">
        <f>HYPERLINK("https://klasma.github.io/Logging_2425/tillsynsmail/A 30756-2025 tillsynsbegäran mail.docx", "A 30756-2025")</f>
        <v/>
      </c>
    </row>
    <row r="1024" ht="15" customHeight="1">
      <c r="A1024" t="inlineStr">
        <is>
          <t>A 53108-2025</t>
        </is>
      </c>
      <c r="B1024" s="1" t="n">
        <v>45958.43690972222</v>
      </c>
      <c r="C1024" s="1" t="n">
        <v>45971</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45971</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45971</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52805-2025</t>
        </is>
      </c>
      <c r="B1027" s="1" t="n">
        <v>45957.44629629629</v>
      </c>
      <c r="C1027" s="1" t="n">
        <v>45971</v>
      </c>
      <c r="D1027" t="inlineStr">
        <is>
          <t>VÄSTERBOTTENS LÄN</t>
        </is>
      </c>
      <c r="E1027" t="inlineStr">
        <is>
          <t>ROBERTSFORS</t>
        </is>
      </c>
      <c r="G1027" t="n">
        <v>7.7</v>
      </c>
      <c r="H1027" t="n">
        <v>1</v>
      </c>
      <c r="I1027" t="n">
        <v>0</v>
      </c>
      <c r="J1027" t="n">
        <v>0</v>
      </c>
      <c r="K1027" t="n">
        <v>0</v>
      </c>
      <c r="L1027" t="n">
        <v>0</v>
      </c>
      <c r="M1027" t="n">
        <v>0</v>
      </c>
      <c r="N1027" t="n">
        <v>0</v>
      </c>
      <c r="O1027" t="n">
        <v>0</v>
      </c>
      <c r="P1027" t="n">
        <v>0</v>
      </c>
      <c r="Q1027" t="n">
        <v>1</v>
      </c>
      <c r="R1027" s="2" t="inlineStr">
        <is>
          <t>Tjäder</t>
        </is>
      </c>
      <c r="S1027">
        <f>HYPERLINK("https://klasma.github.io/Logging_2409/artfynd/A 52805-2025 artfynd.xlsx", "A 52805-2025")</f>
        <v/>
      </c>
      <c r="T1027">
        <f>HYPERLINK("https://klasma.github.io/Logging_2409/kartor/A 52805-2025 karta.png", "A 52805-2025")</f>
        <v/>
      </c>
      <c r="V1027">
        <f>HYPERLINK("https://klasma.github.io/Logging_2409/klagomål/A 52805-2025 FSC-klagomål.docx", "A 52805-2025")</f>
        <v/>
      </c>
      <c r="W1027">
        <f>HYPERLINK("https://klasma.github.io/Logging_2409/klagomålsmail/A 52805-2025 FSC-klagomål mail.docx", "A 52805-2025")</f>
        <v/>
      </c>
      <c r="X1027">
        <f>HYPERLINK("https://klasma.github.io/Logging_2409/tillsyn/A 52805-2025 tillsynsbegäran.docx", "A 52805-2025")</f>
        <v/>
      </c>
      <c r="Y1027">
        <f>HYPERLINK("https://klasma.github.io/Logging_2409/tillsynsmail/A 52805-2025 tillsynsbegäran mail.docx", "A 52805-2025")</f>
        <v/>
      </c>
      <c r="Z1027">
        <f>HYPERLINK("https://klasma.github.io/Logging_2409/fåglar/A 52805-2025 prioriterade fågelarter.docx", "A 52805-2025")</f>
        <v/>
      </c>
    </row>
    <row r="1028" ht="15" customHeight="1">
      <c r="A1028" t="inlineStr">
        <is>
          <t>A 44079-2025</t>
        </is>
      </c>
      <c r="B1028" s="1" t="n">
        <v>45915.55253472222</v>
      </c>
      <c r="C1028" s="1" t="n">
        <v>45971</v>
      </c>
      <c r="D1028" t="inlineStr">
        <is>
          <t>VÄSTERBOTTENS LÄN</t>
        </is>
      </c>
      <c r="E1028" t="inlineStr">
        <is>
          <t>BJURHOLM</t>
        </is>
      </c>
      <c r="F1028" t="inlineStr">
        <is>
          <t>SCA</t>
        </is>
      </c>
      <c r="G1028" t="n">
        <v>3.6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HYPERLINK("https://klasma.github.io/Logging_2403/artfynd/A 44079-2025 artfynd.xlsx", "A 44079-2025")</f>
        <v/>
      </c>
      <c r="T1028">
        <f>HYPERLINK("https://klasma.github.io/Logging_2403/kartor/A 44079-2025 karta.png", "A 44079-2025")</f>
        <v/>
      </c>
      <c r="V1028">
        <f>HYPERLINK("https://klasma.github.io/Logging_2403/klagomål/A 44079-2025 FSC-klagomål.docx", "A 44079-2025")</f>
        <v/>
      </c>
      <c r="W1028">
        <f>HYPERLINK("https://klasma.github.io/Logging_2403/klagomålsmail/A 44079-2025 FSC-klagomål mail.docx", "A 44079-2025")</f>
        <v/>
      </c>
      <c r="X1028">
        <f>HYPERLINK("https://klasma.github.io/Logging_2403/tillsyn/A 44079-2025 tillsynsbegäran.docx", "A 44079-2025")</f>
        <v/>
      </c>
      <c r="Y1028">
        <f>HYPERLINK("https://klasma.github.io/Logging_2403/tillsynsmail/A 44079-2025 tillsynsbegäran mail.docx", "A 44079-2025")</f>
        <v/>
      </c>
    </row>
    <row r="1029" ht="15" customHeight="1">
      <c r="A1029" t="inlineStr">
        <is>
          <t>A 31266-2025</t>
        </is>
      </c>
      <c r="B1029" s="1" t="n">
        <v>45833.32979166666</v>
      </c>
      <c r="C1029" s="1" t="n">
        <v>45971</v>
      </c>
      <c r="D1029" t="inlineStr">
        <is>
          <t>VÄSTERBOTTENS LÄN</t>
        </is>
      </c>
      <c r="E1029" t="inlineStr">
        <is>
          <t>LYCKSELE</t>
        </is>
      </c>
      <c r="F1029" t="inlineStr">
        <is>
          <t>Sveaskog</t>
        </is>
      </c>
      <c r="G1029" t="n">
        <v>4.4</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HYPERLINK("https://klasma.github.io/Logging_2481/artfynd/A 31266-2025 artfynd.xlsx", "A 31266-2025")</f>
        <v/>
      </c>
      <c r="T1029">
        <f>HYPERLINK("https://klasma.github.io/Logging_2481/kartor/A 31266-2025 karta.png", "A 31266-2025")</f>
        <v/>
      </c>
      <c r="V1029">
        <f>HYPERLINK("https://klasma.github.io/Logging_2481/klagomål/A 31266-2025 FSC-klagomål.docx", "A 31266-2025")</f>
        <v/>
      </c>
      <c r="W1029">
        <f>HYPERLINK("https://klasma.github.io/Logging_2481/klagomålsmail/A 31266-2025 FSC-klagomål mail.docx", "A 31266-2025")</f>
        <v/>
      </c>
      <c r="X1029">
        <f>HYPERLINK("https://klasma.github.io/Logging_2481/tillsyn/A 31266-2025 tillsynsbegäran.docx", "A 31266-2025")</f>
        <v/>
      </c>
      <c r="Y1029">
        <f>HYPERLINK("https://klasma.github.io/Logging_2481/tillsynsmail/A 31266-2025 tillsynsbegäran mail.docx", "A 31266-2025")</f>
        <v/>
      </c>
    </row>
    <row r="1030" ht="15" customHeight="1">
      <c r="A1030" t="inlineStr">
        <is>
          <t>A 44809-2025</t>
        </is>
      </c>
      <c r="B1030" s="1" t="n">
        <v>45918.36953703704</v>
      </c>
      <c r="C1030" s="1" t="n">
        <v>45971</v>
      </c>
      <c r="D1030" t="inlineStr">
        <is>
          <t>VÄSTERBOTTENS LÄN</t>
        </is>
      </c>
      <c r="E1030" t="inlineStr">
        <is>
          <t>SKELLEFTEÅ</t>
        </is>
      </c>
      <c r="F1030" t="inlineStr">
        <is>
          <t>Holmen skog AB</t>
        </is>
      </c>
      <c r="G1030" t="n">
        <v>1.9</v>
      </c>
      <c r="H1030" t="n">
        <v>1</v>
      </c>
      <c r="I1030" t="n">
        <v>0</v>
      </c>
      <c r="J1030" t="n">
        <v>1</v>
      </c>
      <c r="K1030" t="n">
        <v>0</v>
      </c>
      <c r="L1030" t="n">
        <v>0</v>
      </c>
      <c r="M1030" t="n">
        <v>0</v>
      </c>
      <c r="N1030" t="n">
        <v>0</v>
      </c>
      <c r="O1030" t="n">
        <v>1</v>
      </c>
      <c r="P1030" t="n">
        <v>0</v>
      </c>
      <c r="Q1030" t="n">
        <v>1</v>
      </c>
      <c r="R1030" s="2" t="inlineStr">
        <is>
          <t>Utter</t>
        </is>
      </c>
      <c r="S1030">
        <f>HYPERLINK("https://klasma.github.io/Logging_2482/artfynd/A 44809-2025 artfynd.xlsx", "A 44809-2025")</f>
        <v/>
      </c>
      <c r="T1030">
        <f>HYPERLINK("https://klasma.github.io/Logging_2482/kartor/A 44809-2025 karta.png", "A 44809-2025")</f>
        <v/>
      </c>
      <c r="V1030">
        <f>HYPERLINK("https://klasma.github.io/Logging_2482/klagomål/A 44809-2025 FSC-klagomål.docx", "A 44809-2025")</f>
        <v/>
      </c>
      <c r="W1030">
        <f>HYPERLINK("https://klasma.github.io/Logging_2482/klagomålsmail/A 44809-2025 FSC-klagomål mail.docx", "A 44809-2025")</f>
        <v/>
      </c>
      <c r="X1030">
        <f>HYPERLINK("https://klasma.github.io/Logging_2482/tillsyn/A 44809-2025 tillsynsbegäran.docx", "A 44809-2025")</f>
        <v/>
      </c>
      <c r="Y1030">
        <f>HYPERLINK("https://klasma.github.io/Logging_2482/tillsynsmail/A 44809-2025 tillsynsbegäran mail.docx", "A 44809-2025")</f>
        <v/>
      </c>
    </row>
    <row r="1031" ht="15" customHeight="1">
      <c r="A1031" t="inlineStr">
        <is>
          <t>A 27583-2022</t>
        </is>
      </c>
      <c r="B1031" s="1" t="n">
        <v>44742</v>
      </c>
      <c r="C1031" s="1" t="n">
        <v>45971</v>
      </c>
      <c r="D1031" t="inlineStr">
        <is>
          <t>VÄSTERBOTTENS LÄN</t>
        </is>
      </c>
      <c r="E1031" t="inlineStr">
        <is>
          <t>VINDELN</t>
        </is>
      </c>
      <c r="F1031" t="inlineStr">
        <is>
          <t>SCA</t>
        </is>
      </c>
      <c r="G1031" t="n">
        <v>2.1</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27583-2022 artfynd.xlsx", "A 27583-2022")</f>
        <v/>
      </c>
      <c r="T1031">
        <f>HYPERLINK("https://klasma.github.io/Logging_2404/kartor/A 27583-2022 karta.png", "A 27583-2022")</f>
        <v/>
      </c>
      <c r="V1031">
        <f>HYPERLINK("https://klasma.github.io/Logging_2404/klagomål/A 27583-2022 FSC-klagomål.docx", "A 27583-2022")</f>
        <v/>
      </c>
      <c r="W1031">
        <f>HYPERLINK("https://klasma.github.io/Logging_2404/klagomålsmail/A 27583-2022 FSC-klagomål mail.docx", "A 27583-2022")</f>
        <v/>
      </c>
      <c r="X1031">
        <f>HYPERLINK("https://klasma.github.io/Logging_2404/tillsyn/A 27583-2022 tillsynsbegäran.docx", "A 27583-2022")</f>
        <v/>
      </c>
      <c r="Y1031">
        <f>HYPERLINK("https://klasma.github.io/Logging_2404/tillsynsmail/A 27583-2022 tillsynsbegäran mail.docx", "A 27583-2022")</f>
        <v/>
      </c>
    </row>
    <row r="1032" ht="15" customHeight="1">
      <c r="A1032" t="inlineStr">
        <is>
          <t>A 32234-2025</t>
        </is>
      </c>
      <c r="B1032" s="1" t="n">
        <v>45835.60891203704</v>
      </c>
      <c r="C1032" s="1" t="n">
        <v>45971</v>
      </c>
      <c r="D1032" t="inlineStr">
        <is>
          <t>VÄSTERBOTTENS LÄN</t>
        </is>
      </c>
      <c r="E1032" t="inlineStr">
        <is>
          <t>VINDELN</t>
        </is>
      </c>
      <c r="F1032" t="inlineStr">
        <is>
          <t>Sveaskog</t>
        </is>
      </c>
      <c r="G1032" t="n">
        <v>3.1</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32234-2025 artfynd.xlsx", "A 32234-2025")</f>
        <v/>
      </c>
      <c r="T1032">
        <f>HYPERLINK("https://klasma.github.io/Logging_2404/kartor/A 32234-2025 karta.png", "A 32234-2025")</f>
        <v/>
      </c>
      <c r="V1032">
        <f>HYPERLINK("https://klasma.github.io/Logging_2404/klagomål/A 32234-2025 FSC-klagomål.docx", "A 32234-2025")</f>
        <v/>
      </c>
      <c r="W1032">
        <f>HYPERLINK("https://klasma.github.io/Logging_2404/klagomålsmail/A 32234-2025 FSC-klagomål mail.docx", "A 32234-2025")</f>
        <v/>
      </c>
      <c r="X1032">
        <f>HYPERLINK("https://klasma.github.io/Logging_2404/tillsyn/A 32234-2025 tillsynsbegäran.docx", "A 32234-2025")</f>
        <v/>
      </c>
      <c r="Y1032">
        <f>HYPERLINK("https://klasma.github.io/Logging_2404/tillsynsmail/A 32234-2025 tillsynsbegäran mail.docx", "A 32234-2025")</f>
        <v/>
      </c>
    </row>
    <row r="1033" ht="15" customHeight="1">
      <c r="A1033" t="inlineStr">
        <is>
          <t>A 32269-2025</t>
        </is>
      </c>
      <c r="B1033" s="1" t="n">
        <v>45835</v>
      </c>
      <c r="C1033" s="1" t="n">
        <v>45971</v>
      </c>
      <c r="D1033" t="inlineStr">
        <is>
          <t>VÄSTERBOTTENS LÄN</t>
        </is>
      </c>
      <c r="E1033" t="inlineStr">
        <is>
          <t>ROBERTSFORS</t>
        </is>
      </c>
      <c r="G1033" t="n">
        <v>2.2</v>
      </c>
      <c r="H1033" t="n">
        <v>0</v>
      </c>
      <c r="I1033" t="n">
        <v>0</v>
      </c>
      <c r="J1033" t="n">
        <v>1</v>
      </c>
      <c r="K1033" t="n">
        <v>0</v>
      </c>
      <c r="L1033" t="n">
        <v>0</v>
      </c>
      <c r="M1033" t="n">
        <v>0</v>
      </c>
      <c r="N1033" t="n">
        <v>0</v>
      </c>
      <c r="O1033" t="n">
        <v>1</v>
      </c>
      <c r="P1033" t="n">
        <v>0</v>
      </c>
      <c r="Q1033" t="n">
        <v>1</v>
      </c>
      <c r="R1033" s="2" t="inlineStr">
        <is>
          <t>Skogshare</t>
        </is>
      </c>
      <c r="S1033">
        <f>HYPERLINK("https://klasma.github.io/Logging_2409/artfynd/A 32269-2025 artfynd.xlsx", "A 32269-2025")</f>
        <v/>
      </c>
      <c r="T1033">
        <f>HYPERLINK("https://klasma.github.io/Logging_2409/kartor/A 32269-2025 karta.png", "A 32269-2025")</f>
        <v/>
      </c>
      <c r="V1033">
        <f>HYPERLINK("https://klasma.github.io/Logging_2409/klagomål/A 32269-2025 FSC-klagomål.docx", "A 32269-2025")</f>
        <v/>
      </c>
      <c r="W1033">
        <f>HYPERLINK("https://klasma.github.io/Logging_2409/klagomålsmail/A 32269-2025 FSC-klagomål mail.docx", "A 32269-2025")</f>
        <v/>
      </c>
      <c r="X1033">
        <f>HYPERLINK("https://klasma.github.io/Logging_2409/tillsyn/A 32269-2025 tillsynsbegäran.docx", "A 32269-2025")</f>
        <v/>
      </c>
      <c r="Y1033">
        <f>HYPERLINK("https://klasma.github.io/Logging_2409/tillsynsmail/A 32269-2025 tillsynsbegäran mail.docx", "A 32269-2025")</f>
        <v/>
      </c>
    </row>
    <row r="1034" ht="15" customHeight="1">
      <c r="A1034" t="inlineStr">
        <is>
          <t>A 44974-2025</t>
        </is>
      </c>
      <c r="B1034" s="1" t="n">
        <v>45918.64247685186</v>
      </c>
      <c r="C1034" s="1" t="n">
        <v>45971</v>
      </c>
      <c r="D1034" t="inlineStr">
        <is>
          <t>VÄSTERBOTTENS LÄN</t>
        </is>
      </c>
      <c r="E1034" t="inlineStr">
        <is>
          <t>LYCKSELE</t>
        </is>
      </c>
      <c r="F1034" t="inlineStr">
        <is>
          <t>Sveaskog</t>
        </is>
      </c>
      <c r="G1034" t="n">
        <v>19.2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44974-2025 artfynd.xlsx", "A 44974-2025")</f>
        <v/>
      </c>
      <c r="T1034">
        <f>HYPERLINK("https://klasma.github.io/Logging_2481/kartor/A 44974-2025 karta.png", "A 44974-2025")</f>
        <v/>
      </c>
      <c r="V1034">
        <f>HYPERLINK("https://klasma.github.io/Logging_2481/klagomål/A 44974-2025 FSC-klagomål.docx", "A 44974-2025")</f>
        <v/>
      </c>
      <c r="W1034">
        <f>HYPERLINK("https://klasma.github.io/Logging_2481/klagomålsmail/A 44974-2025 FSC-klagomål mail.docx", "A 44974-2025")</f>
        <v/>
      </c>
      <c r="X1034">
        <f>HYPERLINK("https://klasma.github.io/Logging_2481/tillsyn/A 44974-2025 tillsynsbegäran.docx", "A 44974-2025")</f>
        <v/>
      </c>
      <c r="Y1034">
        <f>HYPERLINK("https://klasma.github.io/Logging_2481/tillsynsmail/A 44974-2025 tillsynsbegäran mail.docx", "A 44974-2025")</f>
        <v/>
      </c>
    </row>
    <row r="1035" ht="15" customHeight="1">
      <c r="A1035" t="inlineStr">
        <is>
          <t>A 45633-2024</t>
        </is>
      </c>
      <c r="B1035" s="1" t="n">
        <v>45579</v>
      </c>
      <c r="C1035" s="1" t="n">
        <v>45971</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58948-2023</t>
        </is>
      </c>
      <c r="B1036" s="1" t="n">
        <v>45252</v>
      </c>
      <c r="C1036" s="1" t="n">
        <v>45971</v>
      </c>
      <c r="D1036" t="inlineStr">
        <is>
          <t>VÄSTERBOTTENS LÄN</t>
        </is>
      </c>
      <c r="E1036" t="inlineStr">
        <is>
          <t>BJURHOLM</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58948-2023 artfynd.xlsx", "A 58948-2023")</f>
        <v/>
      </c>
      <c r="T1036">
        <f>HYPERLINK("https://klasma.github.io/Logging_2403/kartor/A 58948-2023 karta.png", "A 58948-2023")</f>
        <v/>
      </c>
      <c r="V1036">
        <f>HYPERLINK("https://klasma.github.io/Logging_2403/klagomål/A 58948-2023 FSC-klagomål.docx", "A 58948-2023")</f>
        <v/>
      </c>
      <c r="W1036">
        <f>HYPERLINK("https://klasma.github.io/Logging_2403/klagomålsmail/A 58948-2023 FSC-klagomål mail.docx", "A 58948-2023")</f>
        <v/>
      </c>
      <c r="X1036">
        <f>HYPERLINK("https://klasma.github.io/Logging_2403/tillsyn/A 58948-2023 tillsynsbegäran.docx", "A 58948-2023")</f>
        <v/>
      </c>
      <c r="Y1036">
        <f>HYPERLINK("https://klasma.github.io/Logging_2403/tillsynsmail/A 58948-2023 tillsynsbegäran mail.docx", "A 58948-2023")</f>
        <v/>
      </c>
    </row>
    <row r="1037" ht="15" customHeight="1">
      <c r="A1037" t="inlineStr">
        <is>
          <t>A 59075-2022</t>
        </is>
      </c>
      <c r="B1037" s="1" t="n">
        <v>44904</v>
      </c>
      <c r="C1037" s="1" t="n">
        <v>45971</v>
      </c>
      <c r="D1037" t="inlineStr">
        <is>
          <t>VÄSTERBOTTENS LÄN</t>
        </is>
      </c>
      <c r="E1037" t="inlineStr">
        <is>
          <t>UMEÅ</t>
        </is>
      </c>
      <c r="G1037" t="n">
        <v>0.4</v>
      </c>
      <c r="H1037" t="n">
        <v>0</v>
      </c>
      <c r="I1037" t="n">
        <v>1</v>
      </c>
      <c r="J1037" t="n">
        <v>0</v>
      </c>
      <c r="K1037" t="n">
        <v>0</v>
      </c>
      <c r="L1037" t="n">
        <v>0</v>
      </c>
      <c r="M1037" t="n">
        <v>0</v>
      </c>
      <c r="N1037" t="n">
        <v>0</v>
      </c>
      <c r="O1037" t="n">
        <v>0</v>
      </c>
      <c r="P1037" t="n">
        <v>0</v>
      </c>
      <c r="Q1037" t="n">
        <v>1</v>
      </c>
      <c r="R1037" s="2" t="inlineStr">
        <is>
          <t>Vedticka</t>
        </is>
      </c>
      <c r="S1037">
        <f>HYPERLINK("https://klasma.github.io/Logging_2480/artfynd/A 59075-2022 artfynd.xlsx", "A 59075-2022")</f>
        <v/>
      </c>
      <c r="T1037">
        <f>HYPERLINK("https://klasma.github.io/Logging_2480/kartor/A 59075-2022 karta.png", "A 59075-2022")</f>
        <v/>
      </c>
      <c r="V1037">
        <f>HYPERLINK("https://klasma.github.io/Logging_2480/klagomål/A 59075-2022 FSC-klagomål.docx", "A 59075-2022")</f>
        <v/>
      </c>
      <c r="W1037">
        <f>HYPERLINK("https://klasma.github.io/Logging_2480/klagomålsmail/A 59075-2022 FSC-klagomål mail.docx", "A 59075-2022")</f>
        <v/>
      </c>
      <c r="X1037">
        <f>HYPERLINK("https://klasma.github.io/Logging_2480/tillsyn/A 59075-2022 tillsynsbegäran.docx", "A 59075-2022")</f>
        <v/>
      </c>
      <c r="Y1037">
        <f>HYPERLINK("https://klasma.github.io/Logging_2480/tillsynsmail/A 59075-2022 tillsynsbegäran mail.docx", "A 59075-2022")</f>
        <v/>
      </c>
    </row>
    <row r="1038" ht="15" customHeight="1">
      <c r="A1038" t="inlineStr">
        <is>
          <t>A 14348-2025</t>
        </is>
      </c>
      <c r="B1038" s="1" t="n">
        <v>45741.34489583333</v>
      </c>
      <c r="C1038" s="1" t="n">
        <v>45971</v>
      </c>
      <c r="D1038" t="inlineStr">
        <is>
          <t>VÄSTERBOTTENS LÄN</t>
        </is>
      </c>
      <c r="E1038" t="inlineStr">
        <is>
          <t>VINDELN</t>
        </is>
      </c>
      <c r="F1038" t="inlineStr">
        <is>
          <t>Holmen skog AB</t>
        </is>
      </c>
      <c r="G1038" t="n">
        <v>7.6</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HYPERLINK("https://klasma.github.io/Logging_2404/artfynd/A 14348-2025 artfynd.xlsx", "A 14348-2025")</f>
        <v/>
      </c>
      <c r="T1038">
        <f>HYPERLINK("https://klasma.github.io/Logging_2404/kartor/A 14348-2025 karta.png", "A 14348-2025")</f>
        <v/>
      </c>
      <c r="V1038">
        <f>HYPERLINK("https://klasma.github.io/Logging_2404/klagomål/A 14348-2025 FSC-klagomål.docx", "A 14348-2025")</f>
        <v/>
      </c>
      <c r="W1038">
        <f>HYPERLINK("https://klasma.github.io/Logging_2404/klagomålsmail/A 14348-2025 FSC-klagomål mail.docx", "A 14348-2025")</f>
        <v/>
      </c>
      <c r="X1038">
        <f>HYPERLINK("https://klasma.github.io/Logging_2404/tillsyn/A 14348-2025 tillsynsbegäran.docx", "A 14348-2025")</f>
        <v/>
      </c>
      <c r="Y1038">
        <f>HYPERLINK("https://klasma.github.io/Logging_2404/tillsynsmail/A 14348-2025 tillsynsbegäran mail.docx", "A 14348-2025")</f>
        <v/>
      </c>
    </row>
    <row r="1039" ht="15" customHeight="1">
      <c r="A1039" t="inlineStr">
        <is>
          <t>A 33882-2025</t>
        </is>
      </c>
      <c r="B1039" s="1" t="n">
        <v>45842.56947916667</v>
      </c>
      <c r="C1039" s="1" t="n">
        <v>45971</v>
      </c>
      <c r="D1039" t="inlineStr">
        <is>
          <t>VÄSTERBOTTENS LÄN</t>
        </is>
      </c>
      <c r="E1039" t="inlineStr">
        <is>
          <t>STORUMAN</t>
        </is>
      </c>
      <c r="F1039" t="inlineStr">
        <is>
          <t>Sveaskog</t>
        </is>
      </c>
      <c r="G1039" t="n">
        <v>9.5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33882-2025 artfynd.xlsx", "A 33882-2025")</f>
        <v/>
      </c>
      <c r="T1039">
        <f>HYPERLINK("https://klasma.github.io/Logging_2421/kartor/A 33882-2025 karta.png", "A 33882-2025")</f>
        <v/>
      </c>
      <c r="V1039">
        <f>HYPERLINK("https://klasma.github.io/Logging_2421/klagomål/A 33882-2025 FSC-klagomål.docx", "A 33882-2025")</f>
        <v/>
      </c>
      <c r="W1039">
        <f>HYPERLINK("https://klasma.github.io/Logging_2421/klagomålsmail/A 33882-2025 FSC-klagomål mail.docx", "A 33882-2025")</f>
        <v/>
      </c>
      <c r="X1039">
        <f>HYPERLINK("https://klasma.github.io/Logging_2421/tillsyn/A 33882-2025 tillsynsbegäran.docx", "A 33882-2025")</f>
        <v/>
      </c>
      <c r="Y1039">
        <f>HYPERLINK("https://klasma.github.io/Logging_2421/tillsynsmail/A 33882-2025 tillsynsbegäran mail.docx", "A 33882-2025")</f>
        <v/>
      </c>
      <c r="Z1039">
        <f>HYPERLINK("https://klasma.github.io/Logging_2421/fåglar/A 33882-2025 prioriterade fågelarter.docx", "A 33882-2025")</f>
        <v/>
      </c>
    </row>
    <row r="1040" ht="15" customHeight="1">
      <c r="A1040" t="inlineStr">
        <is>
          <t>A 38507-2023</t>
        </is>
      </c>
      <c r="B1040" s="1" t="n">
        <v>45162.50637731481</v>
      </c>
      <c r="C1040" s="1" t="n">
        <v>45971</v>
      </c>
      <c r="D1040" t="inlineStr">
        <is>
          <t>VÄSTERBOTTENS LÄN</t>
        </is>
      </c>
      <c r="E1040" t="inlineStr">
        <is>
          <t>LYCKSELE</t>
        </is>
      </c>
      <c r="F1040" t="inlineStr">
        <is>
          <t>Sveaskog</t>
        </is>
      </c>
      <c r="G1040" t="n">
        <v>2.5</v>
      </c>
      <c r="H1040" t="n">
        <v>0</v>
      </c>
      <c r="I1040" t="n">
        <v>0</v>
      </c>
      <c r="J1040" t="n">
        <v>1</v>
      </c>
      <c r="K1040" t="n">
        <v>0</v>
      </c>
      <c r="L1040" t="n">
        <v>0</v>
      </c>
      <c r="M1040" t="n">
        <v>0</v>
      </c>
      <c r="N1040" t="n">
        <v>0</v>
      </c>
      <c r="O1040" t="n">
        <v>1</v>
      </c>
      <c r="P1040" t="n">
        <v>0</v>
      </c>
      <c r="Q1040" t="n">
        <v>1</v>
      </c>
      <c r="R1040" s="2" t="inlineStr">
        <is>
          <t>Blå taggsvamp</t>
        </is>
      </c>
      <c r="S1040">
        <f>HYPERLINK("https://klasma.github.io/Logging_2481/artfynd/A 38507-2023 artfynd.xlsx", "A 38507-2023")</f>
        <v/>
      </c>
      <c r="T1040">
        <f>HYPERLINK("https://klasma.github.io/Logging_2481/kartor/A 38507-2023 karta.png", "A 38507-2023")</f>
        <v/>
      </c>
      <c r="V1040">
        <f>HYPERLINK("https://klasma.github.io/Logging_2481/klagomål/A 38507-2023 FSC-klagomål.docx", "A 38507-2023")</f>
        <v/>
      </c>
      <c r="W1040">
        <f>HYPERLINK("https://klasma.github.io/Logging_2481/klagomålsmail/A 38507-2023 FSC-klagomål mail.docx", "A 38507-2023")</f>
        <v/>
      </c>
      <c r="X1040">
        <f>HYPERLINK("https://klasma.github.io/Logging_2481/tillsyn/A 38507-2023 tillsynsbegäran.docx", "A 38507-2023")</f>
        <v/>
      </c>
      <c r="Y1040">
        <f>HYPERLINK("https://klasma.github.io/Logging_2481/tillsynsmail/A 38507-2023 tillsynsbegäran mail.docx", "A 38507-2023")</f>
        <v/>
      </c>
    </row>
    <row r="1041" ht="15" customHeight="1">
      <c r="A1041" t="inlineStr">
        <is>
          <t>A 8820-2025</t>
        </is>
      </c>
      <c r="B1041" s="1" t="n">
        <v>45712.77329861111</v>
      </c>
      <c r="C1041" s="1" t="n">
        <v>45971</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53502-2025</t>
        </is>
      </c>
      <c r="B1042" s="1" t="n">
        <v>45960.34290509259</v>
      </c>
      <c r="C1042" s="1" t="n">
        <v>45971</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34007-2025</t>
        </is>
      </c>
      <c r="B1043" s="1" t="n">
        <v>45844.72150462963</v>
      </c>
      <c r="C1043" s="1" t="n">
        <v>45971</v>
      </c>
      <c r="D1043" t="inlineStr">
        <is>
          <t>VÄSTERBOTTENS LÄN</t>
        </is>
      </c>
      <c r="E1043" t="inlineStr">
        <is>
          <t>ROBERTSFORS</t>
        </is>
      </c>
      <c r="G1043" t="n">
        <v>1.3</v>
      </c>
      <c r="H1043" t="n">
        <v>0</v>
      </c>
      <c r="I1043" t="n">
        <v>0</v>
      </c>
      <c r="J1043" t="n">
        <v>1</v>
      </c>
      <c r="K1043" t="n">
        <v>0</v>
      </c>
      <c r="L1043" t="n">
        <v>0</v>
      </c>
      <c r="M1043" t="n">
        <v>0</v>
      </c>
      <c r="N1043" t="n">
        <v>0</v>
      </c>
      <c r="O1043" t="n">
        <v>1</v>
      </c>
      <c r="P1043" t="n">
        <v>0</v>
      </c>
      <c r="Q1043" t="n">
        <v>1</v>
      </c>
      <c r="R1043" s="2" t="inlineStr">
        <is>
          <t>Harticka</t>
        </is>
      </c>
      <c r="S1043">
        <f>HYPERLINK("https://klasma.github.io/Logging_2409/artfynd/A 34007-2025 artfynd.xlsx", "A 34007-2025")</f>
        <v/>
      </c>
      <c r="T1043">
        <f>HYPERLINK("https://klasma.github.io/Logging_2409/kartor/A 34007-2025 karta.png", "A 34007-2025")</f>
        <v/>
      </c>
      <c r="V1043">
        <f>HYPERLINK("https://klasma.github.io/Logging_2409/klagomål/A 34007-2025 FSC-klagomål.docx", "A 34007-2025")</f>
        <v/>
      </c>
      <c r="W1043">
        <f>HYPERLINK("https://klasma.github.io/Logging_2409/klagomålsmail/A 34007-2025 FSC-klagomål mail.docx", "A 34007-2025")</f>
        <v/>
      </c>
      <c r="X1043">
        <f>HYPERLINK("https://klasma.github.io/Logging_2409/tillsyn/A 34007-2025 tillsynsbegäran.docx", "A 34007-2025")</f>
        <v/>
      </c>
      <c r="Y1043">
        <f>HYPERLINK("https://klasma.github.io/Logging_2409/tillsynsmail/A 34007-2025 tillsynsbegäran mail.docx", "A 34007-2025")</f>
        <v/>
      </c>
    </row>
    <row r="1044" ht="15" customHeight="1">
      <c r="A1044" t="inlineStr">
        <is>
          <t>A 1830-2024</t>
        </is>
      </c>
      <c r="B1044" s="1" t="n">
        <v>45307</v>
      </c>
      <c r="C1044" s="1" t="n">
        <v>45971</v>
      </c>
      <c r="D1044" t="inlineStr">
        <is>
          <t>VÄSTERBOTTENS LÄN</t>
        </is>
      </c>
      <c r="E1044" t="inlineStr">
        <is>
          <t>ROBERTSFORS</t>
        </is>
      </c>
      <c r="F1044" t="inlineStr">
        <is>
          <t>Holmen skog AB</t>
        </is>
      </c>
      <c r="G1044" t="n">
        <v>0.6</v>
      </c>
      <c r="H1044" t="n">
        <v>0</v>
      </c>
      <c r="I1044" t="n">
        <v>0</v>
      </c>
      <c r="J1044" t="n">
        <v>1</v>
      </c>
      <c r="K1044" t="n">
        <v>0</v>
      </c>
      <c r="L1044" t="n">
        <v>0</v>
      </c>
      <c r="M1044" t="n">
        <v>0</v>
      </c>
      <c r="N1044" t="n">
        <v>0</v>
      </c>
      <c r="O1044" t="n">
        <v>1</v>
      </c>
      <c r="P1044" t="n">
        <v>0</v>
      </c>
      <c r="Q1044" t="n">
        <v>1</v>
      </c>
      <c r="R1044" s="2" t="inlineStr">
        <is>
          <t>Svart taggsvamp</t>
        </is>
      </c>
      <c r="S1044">
        <f>HYPERLINK("https://klasma.github.io/Logging_2409/artfynd/A 1830-2024 artfynd.xlsx", "A 1830-2024")</f>
        <v/>
      </c>
      <c r="T1044">
        <f>HYPERLINK("https://klasma.github.io/Logging_2409/kartor/A 1830-2024 karta.png", "A 1830-2024")</f>
        <v/>
      </c>
      <c r="V1044">
        <f>HYPERLINK("https://klasma.github.io/Logging_2409/klagomål/A 1830-2024 FSC-klagomål.docx", "A 1830-2024")</f>
        <v/>
      </c>
      <c r="W1044">
        <f>HYPERLINK("https://klasma.github.io/Logging_2409/klagomålsmail/A 1830-2024 FSC-klagomål mail.docx", "A 1830-2024")</f>
        <v/>
      </c>
      <c r="X1044">
        <f>HYPERLINK("https://klasma.github.io/Logging_2409/tillsyn/A 1830-2024 tillsynsbegäran.docx", "A 1830-2024")</f>
        <v/>
      </c>
      <c r="Y1044">
        <f>HYPERLINK("https://klasma.github.io/Logging_2409/tillsynsmail/A 1830-2024 tillsynsbegäran mail.docx", "A 1830-2024")</f>
        <v/>
      </c>
    </row>
    <row r="1045" ht="15" customHeight="1">
      <c r="A1045" t="inlineStr">
        <is>
          <t>A 57284-2023</t>
        </is>
      </c>
      <c r="B1045" s="1" t="n">
        <v>45245</v>
      </c>
      <c r="C1045" s="1" t="n">
        <v>45971</v>
      </c>
      <c r="D1045" t="inlineStr">
        <is>
          <t>VÄSTERBOTTENS LÄN</t>
        </is>
      </c>
      <c r="E1045" t="inlineStr">
        <is>
          <t>ROBERTSFORS</t>
        </is>
      </c>
      <c r="F1045" t="inlineStr">
        <is>
          <t>Holmen skog AB</t>
        </is>
      </c>
      <c r="G1045" t="n">
        <v>6.8</v>
      </c>
      <c r="H1045" t="n">
        <v>0</v>
      </c>
      <c r="I1045" t="n">
        <v>0</v>
      </c>
      <c r="J1045" t="n">
        <v>1</v>
      </c>
      <c r="K1045" t="n">
        <v>0</v>
      </c>
      <c r="L1045" t="n">
        <v>0</v>
      </c>
      <c r="M1045" t="n">
        <v>0</v>
      </c>
      <c r="N1045" t="n">
        <v>0</v>
      </c>
      <c r="O1045" t="n">
        <v>1</v>
      </c>
      <c r="P1045" t="n">
        <v>0</v>
      </c>
      <c r="Q1045" t="n">
        <v>1</v>
      </c>
      <c r="R1045" s="2" t="inlineStr">
        <is>
          <t>Tallticka</t>
        </is>
      </c>
      <c r="S1045">
        <f>HYPERLINK("https://klasma.github.io/Logging_2409/artfynd/A 57284-2023 artfynd.xlsx", "A 57284-2023")</f>
        <v/>
      </c>
      <c r="T1045">
        <f>HYPERLINK("https://klasma.github.io/Logging_2409/kartor/A 57284-2023 karta.png", "A 57284-2023")</f>
        <v/>
      </c>
      <c r="V1045">
        <f>HYPERLINK("https://klasma.github.io/Logging_2409/klagomål/A 57284-2023 FSC-klagomål.docx", "A 57284-2023")</f>
        <v/>
      </c>
      <c r="W1045">
        <f>HYPERLINK("https://klasma.github.io/Logging_2409/klagomålsmail/A 57284-2023 FSC-klagomål mail.docx", "A 57284-2023")</f>
        <v/>
      </c>
      <c r="X1045">
        <f>HYPERLINK("https://klasma.github.io/Logging_2409/tillsyn/A 57284-2023 tillsynsbegäran.docx", "A 57284-2023")</f>
        <v/>
      </c>
      <c r="Y1045">
        <f>HYPERLINK("https://klasma.github.io/Logging_2409/tillsynsmail/A 57284-2023 tillsynsbegäran mail.docx", "A 57284-2023")</f>
        <v/>
      </c>
    </row>
    <row r="1046" ht="15" customHeight="1">
      <c r="A1046" t="inlineStr">
        <is>
          <t>A 34496-2025</t>
        </is>
      </c>
      <c r="B1046" s="1" t="n">
        <v>45847</v>
      </c>
      <c r="C1046" s="1" t="n">
        <v>45971</v>
      </c>
      <c r="D1046" t="inlineStr">
        <is>
          <t>VÄSTERBOTTENS LÄN</t>
        </is>
      </c>
      <c r="E1046" t="inlineStr">
        <is>
          <t>UMEÅ</t>
        </is>
      </c>
      <c r="G1046" t="n">
        <v>4.6</v>
      </c>
      <c r="H1046" t="n">
        <v>1</v>
      </c>
      <c r="I1046" t="n">
        <v>0</v>
      </c>
      <c r="J1046" t="n">
        <v>0</v>
      </c>
      <c r="K1046" t="n">
        <v>0</v>
      </c>
      <c r="L1046" t="n">
        <v>0</v>
      </c>
      <c r="M1046" t="n">
        <v>0</v>
      </c>
      <c r="N1046" t="n">
        <v>0</v>
      </c>
      <c r="O1046" t="n">
        <v>0</v>
      </c>
      <c r="P1046" t="n">
        <v>0</v>
      </c>
      <c r="Q1046" t="n">
        <v>1</v>
      </c>
      <c r="R1046" s="2" t="inlineStr">
        <is>
          <t>Kungsfågel</t>
        </is>
      </c>
      <c r="S1046">
        <f>HYPERLINK("https://klasma.github.io/Logging_2480/artfynd/A 34496-2025 artfynd.xlsx", "A 34496-2025")</f>
        <v/>
      </c>
      <c r="T1046">
        <f>HYPERLINK("https://klasma.github.io/Logging_2480/kartor/A 34496-2025 karta.png", "A 34496-2025")</f>
        <v/>
      </c>
      <c r="V1046">
        <f>HYPERLINK("https://klasma.github.io/Logging_2480/klagomål/A 34496-2025 FSC-klagomål.docx", "A 34496-2025")</f>
        <v/>
      </c>
      <c r="W1046">
        <f>HYPERLINK("https://klasma.github.io/Logging_2480/klagomålsmail/A 34496-2025 FSC-klagomål mail.docx", "A 34496-2025")</f>
        <v/>
      </c>
      <c r="X1046">
        <f>HYPERLINK("https://klasma.github.io/Logging_2480/tillsyn/A 34496-2025 tillsynsbegäran.docx", "A 34496-2025")</f>
        <v/>
      </c>
      <c r="Y1046">
        <f>HYPERLINK("https://klasma.github.io/Logging_2480/tillsynsmail/A 34496-2025 tillsynsbegäran mail.docx", "A 34496-2025")</f>
        <v/>
      </c>
      <c r="Z1046">
        <f>HYPERLINK("https://klasma.github.io/Logging_2480/fåglar/A 34496-2025 prioriterade fågelarter.docx", "A 34496-2025")</f>
        <v/>
      </c>
    </row>
    <row r="1047" ht="15" customHeight="1">
      <c r="A1047" t="inlineStr">
        <is>
          <t>A 34497-2025</t>
        </is>
      </c>
      <c r="B1047" s="1" t="n">
        <v>45847.42752314815</v>
      </c>
      <c r="C1047" s="1" t="n">
        <v>45971</v>
      </c>
      <c r="D1047" t="inlineStr">
        <is>
          <t>VÄSTERBOTTENS LÄN</t>
        </is>
      </c>
      <c r="E1047" t="inlineStr">
        <is>
          <t>VINDELN</t>
        </is>
      </c>
      <c r="F1047" t="inlineStr">
        <is>
          <t>SCA</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HYPERLINK("https://klasma.github.io/Logging_2404/artfynd/A 34497-2025 artfynd.xlsx", "A 34497-2025")</f>
        <v/>
      </c>
      <c r="T1047">
        <f>HYPERLINK("https://klasma.github.io/Logging_2404/kartor/A 34497-2025 karta.png", "A 34497-2025")</f>
        <v/>
      </c>
      <c r="V1047">
        <f>HYPERLINK("https://klasma.github.io/Logging_2404/klagomål/A 34497-2025 FSC-klagomål.docx", "A 34497-2025")</f>
        <v/>
      </c>
      <c r="W1047">
        <f>HYPERLINK("https://klasma.github.io/Logging_2404/klagomålsmail/A 34497-2025 FSC-klagomål mail.docx", "A 34497-2025")</f>
        <v/>
      </c>
      <c r="X1047">
        <f>HYPERLINK("https://klasma.github.io/Logging_2404/tillsyn/A 34497-2025 tillsynsbegäran.docx", "A 34497-2025")</f>
        <v/>
      </c>
      <c r="Y1047">
        <f>HYPERLINK("https://klasma.github.io/Logging_2404/tillsynsmail/A 34497-2025 tillsynsbegäran mail.docx", "A 34497-2025")</f>
        <v/>
      </c>
    </row>
    <row r="1048" ht="15" customHeight="1">
      <c r="A1048" t="inlineStr">
        <is>
          <t>A 34758-2025</t>
        </is>
      </c>
      <c r="B1048" s="1" t="n">
        <v>45848.63575231482</v>
      </c>
      <c r="C1048" s="1" t="n">
        <v>45971</v>
      </c>
      <c r="D1048" t="inlineStr">
        <is>
          <t>VÄSTERBOTTENS LÄN</t>
        </is>
      </c>
      <c r="E1048" t="inlineStr">
        <is>
          <t>ROBERTSFORS</t>
        </is>
      </c>
      <c r="G1048" t="n">
        <v>5</v>
      </c>
      <c r="H1048" t="n">
        <v>1</v>
      </c>
      <c r="I1048" t="n">
        <v>0</v>
      </c>
      <c r="J1048" t="n">
        <v>0</v>
      </c>
      <c r="K1048" t="n">
        <v>0</v>
      </c>
      <c r="L1048" t="n">
        <v>0</v>
      </c>
      <c r="M1048" t="n">
        <v>0</v>
      </c>
      <c r="N1048" t="n">
        <v>0</v>
      </c>
      <c r="O1048" t="n">
        <v>0</v>
      </c>
      <c r="P1048" t="n">
        <v>0</v>
      </c>
      <c r="Q1048" t="n">
        <v>1</v>
      </c>
      <c r="R1048" s="2" t="inlineStr">
        <is>
          <t>Tjäder</t>
        </is>
      </c>
      <c r="S1048">
        <f>HYPERLINK("https://klasma.github.io/Logging_2409/artfynd/A 34758-2025 artfynd.xlsx", "A 34758-2025")</f>
        <v/>
      </c>
      <c r="T1048">
        <f>HYPERLINK("https://klasma.github.io/Logging_2409/kartor/A 34758-2025 karta.png", "A 34758-2025")</f>
        <v/>
      </c>
      <c r="V1048">
        <f>HYPERLINK("https://klasma.github.io/Logging_2409/klagomål/A 34758-2025 FSC-klagomål.docx", "A 34758-2025")</f>
        <v/>
      </c>
      <c r="W1048">
        <f>HYPERLINK("https://klasma.github.io/Logging_2409/klagomålsmail/A 34758-2025 FSC-klagomål mail.docx", "A 34758-2025")</f>
        <v/>
      </c>
      <c r="X1048">
        <f>HYPERLINK("https://klasma.github.io/Logging_2409/tillsyn/A 34758-2025 tillsynsbegäran.docx", "A 34758-2025")</f>
        <v/>
      </c>
      <c r="Y1048">
        <f>HYPERLINK("https://klasma.github.io/Logging_2409/tillsynsmail/A 34758-2025 tillsynsbegäran mail.docx", "A 34758-2025")</f>
        <v/>
      </c>
      <c r="Z1048">
        <f>HYPERLINK("https://klasma.github.io/Logging_2409/fåglar/A 34758-2025 prioriterade fågelarter.docx", "A 34758-2025")</f>
        <v/>
      </c>
    </row>
    <row r="1049" ht="15" customHeight="1">
      <c r="A1049" t="inlineStr">
        <is>
          <t>A 31318-2022</t>
        </is>
      </c>
      <c r="B1049" s="1" t="n">
        <v>44772</v>
      </c>
      <c r="C1049" s="1" t="n">
        <v>45971</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45473-2025</t>
        </is>
      </c>
      <c r="B1050" s="1" t="n">
        <v>45922.51494212963</v>
      </c>
      <c r="C1050" s="1" t="n">
        <v>45971</v>
      </c>
      <c r="D1050" t="inlineStr">
        <is>
          <t>VÄSTERBOTTENS LÄN</t>
        </is>
      </c>
      <c r="E1050" t="inlineStr">
        <is>
          <t>SORSELE</t>
        </is>
      </c>
      <c r="G1050" t="n">
        <v>4.2</v>
      </c>
      <c r="H1050" t="n">
        <v>0</v>
      </c>
      <c r="I1050" t="n">
        <v>0</v>
      </c>
      <c r="J1050" t="n">
        <v>1</v>
      </c>
      <c r="K1050" t="n">
        <v>0</v>
      </c>
      <c r="L1050" t="n">
        <v>0</v>
      </c>
      <c r="M1050" t="n">
        <v>0</v>
      </c>
      <c r="N1050" t="n">
        <v>0</v>
      </c>
      <c r="O1050" t="n">
        <v>1</v>
      </c>
      <c r="P1050" t="n">
        <v>0</v>
      </c>
      <c r="Q1050" t="n">
        <v>1</v>
      </c>
      <c r="R1050" s="2" t="inlineStr">
        <is>
          <t>Lunglav</t>
        </is>
      </c>
      <c r="S1050">
        <f>HYPERLINK("https://klasma.github.io/Logging_2422/artfynd/A 45473-2025 artfynd.xlsx", "A 45473-2025")</f>
        <v/>
      </c>
      <c r="T1050">
        <f>HYPERLINK("https://klasma.github.io/Logging_2422/kartor/A 45473-2025 karta.png", "A 45473-2025")</f>
        <v/>
      </c>
      <c r="V1050">
        <f>HYPERLINK("https://klasma.github.io/Logging_2422/klagomål/A 45473-2025 FSC-klagomål.docx", "A 45473-2025")</f>
        <v/>
      </c>
      <c r="W1050">
        <f>HYPERLINK("https://klasma.github.io/Logging_2422/klagomålsmail/A 45473-2025 FSC-klagomål mail.docx", "A 45473-2025")</f>
        <v/>
      </c>
      <c r="X1050">
        <f>HYPERLINK("https://klasma.github.io/Logging_2422/tillsyn/A 45473-2025 tillsynsbegäran.docx", "A 45473-2025")</f>
        <v/>
      </c>
      <c r="Y1050">
        <f>HYPERLINK("https://klasma.github.io/Logging_2422/tillsynsmail/A 45473-2025 tillsynsbegäran mail.docx", "A 45473-2025")</f>
        <v/>
      </c>
    </row>
    <row r="1051" ht="15" customHeight="1">
      <c r="A1051" t="inlineStr">
        <is>
          <t>A 65044-2023</t>
        </is>
      </c>
      <c r="B1051" s="1" t="n">
        <v>45283</v>
      </c>
      <c r="C1051" s="1" t="n">
        <v>45971</v>
      </c>
      <c r="D1051" t="inlineStr">
        <is>
          <t>VÄSTERBOTTENS LÄN</t>
        </is>
      </c>
      <c r="E1051" t="inlineStr">
        <is>
          <t>NORDMALING</t>
        </is>
      </c>
      <c r="F1051" t="inlineStr">
        <is>
          <t>Kommuner</t>
        </is>
      </c>
      <c r="G1051" t="n">
        <v>15.4</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HYPERLINK("https://klasma.github.io/Logging_2401/artfynd/A 65044-2023 artfynd.xlsx", "A 65044-2023")</f>
        <v/>
      </c>
      <c r="T1051">
        <f>HYPERLINK("https://klasma.github.io/Logging_2401/kartor/A 65044-2023 karta.png", "A 65044-2023")</f>
        <v/>
      </c>
      <c r="V1051">
        <f>HYPERLINK("https://klasma.github.io/Logging_2401/klagomål/A 65044-2023 FSC-klagomål.docx", "A 65044-2023")</f>
        <v/>
      </c>
      <c r="W1051">
        <f>HYPERLINK("https://klasma.github.io/Logging_2401/klagomålsmail/A 65044-2023 FSC-klagomål mail.docx", "A 65044-2023")</f>
        <v/>
      </c>
      <c r="X1051">
        <f>HYPERLINK("https://klasma.github.io/Logging_2401/tillsyn/A 65044-2023 tillsynsbegäran.docx", "A 65044-2023")</f>
        <v/>
      </c>
      <c r="Y1051">
        <f>HYPERLINK("https://klasma.github.io/Logging_2401/tillsynsmail/A 65044-2023 tillsynsbegäran mail.docx", "A 65044-2023")</f>
        <v/>
      </c>
      <c r="Z1051">
        <f>HYPERLINK("https://klasma.github.io/Logging_2401/fåglar/A 65044-2023 prioriterade fågelarter.docx", "A 65044-2023")</f>
        <v/>
      </c>
    </row>
    <row r="1052" ht="15" customHeight="1">
      <c r="A1052" t="inlineStr">
        <is>
          <t>A 64497-2023</t>
        </is>
      </c>
      <c r="B1052" s="1" t="n">
        <v>45280</v>
      </c>
      <c r="C1052" s="1" t="n">
        <v>45971</v>
      </c>
      <c r="D1052" t="inlineStr">
        <is>
          <t>VÄSTERBOTTENS LÄN</t>
        </is>
      </c>
      <c r="E1052" t="inlineStr">
        <is>
          <t>ÅSELE</t>
        </is>
      </c>
      <c r="F1052" t="inlineStr">
        <is>
          <t>SCA</t>
        </is>
      </c>
      <c r="G1052" t="n">
        <v>7.3</v>
      </c>
      <c r="H1052" t="n">
        <v>0</v>
      </c>
      <c r="I1052" t="n">
        <v>0</v>
      </c>
      <c r="J1052" t="n">
        <v>1</v>
      </c>
      <c r="K1052" t="n">
        <v>0</v>
      </c>
      <c r="L1052" t="n">
        <v>0</v>
      </c>
      <c r="M1052" t="n">
        <v>0</v>
      </c>
      <c r="N1052" t="n">
        <v>0</v>
      </c>
      <c r="O1052" t="n">
        <v>1</v>
      </c>
      <c r="P1052" t="n">
        <v>0</v>
      </c>
      <c r="Q1052" t="n">
        <v>1</v>
      </c>
      <c r="R1052" s="2" t="inlineStr">
        <is>
          <t>Harticka</t>
        </is>
      </c>
      <c r="S1052">
        <f>HYPERLINK("https://klasma.github.io/Logging_2463/artfynd/A 64497-2023 artfynd.xlsx", "A 64497-2023")</f>
        <v/>
      </c>
      <c r="T1052">
        <f>HYPERLINK("https://klasma.github.io/Logging_2463/kartor/A 64497-2023 karta.png", "A 64497-2023")</f>
        <v/>
      </c>
      <c r="V1052">
        <f>HYPERLINK("https://klasma.github.io/Logging_2463/klagomål/A 64497-2023 FSC-klagomål.docx", "A 64497-2023")</f>
        <v/>
      </c>
      <c r="W1052">
        <f>HYPERLINK("https://klasma.github.io/Logging_2463/klagomålsmail/A 64497-2023 FSC-klagomål mail.docx", "A 64497-2023")</f>
        <v/>
      </c>
      <c r="X1052">
        <f>HYPERLINK("https://klasma.github.io/Logging_2463/tillsyn/A 64497-2023 tillsynsbegäran.docx", "A 64497-2023")</f>
        <v/>
      </c>
      <c r="Y1052">
        <f>HYPERLINK("https://klasma.github.io/Logging_2463/tillsynsmail/A 64497-2023 tillsynsbegäran mail.docx", "A 64497-2023")</f>
        <v/>
      </c>
    </row>
    <row r="1053" ht="15" customHeight="1">
      <c r="A1053" t="inlineStr">
        <is>
          <t>A 50903-2025</t>
        </is>
      </c>
      <c r="B1053" s="1" t="n">
        <v>45946.64922453704</v>
      </c>
      <c r="C1053" s="1" t="n">
        <v>45971</v>
      </c>
      <c r="D1053" t="inlineStr">
        <is>
          <t>VÄSTERBOTTENS LÄN</t>
        </is>
      </c>
      <c r="E1053" t="inlineStr">
        <is>
          <t>NORSJÖ</t>
        </is>
      </c>
      <c r="G1053" t="n">
        <v>23.8</v>
      </c>
      <c r="H1053" t="n">
        <v>1</v>
      </c>
      <c r="I1053" t="n">
        <v>0</v>
      </c>
      <c r="J1053" t="n">
        <v>1</v>
      </c>
      <c r="K1053" t="n">
        <v>0</v>
      </c>
      <c r="L1053" t="n">
        <v>0</v>
      </c>
      <c r="M1053" t="n">
        <v>0</v>
      </c>
      <c r="N1053" t="n">
        <v>0</v>
      </c>
      <c r="O1053" t="n">
        <v>1</v>
      </c>
      <c r="P1053" t="n">
        <v>0</v>
      </c>
      <c r="Q1053" t="n">
        <v>1</v>
      </c>
      <c r="R1053" s="2" t="inlineStr">
        <is>
          <t>Talltita</t>
        </is>
      </c>
      <c r="S1053">
        <f>HYPERLINK("https://klasma.github.io/Logging_2417/artfynd/A 50903-2025 artfynd.xlsx", "A 50903-2025")</f>
        <v/>
      </c>
      <c r="T1053">
        <f>HYPERLINK("https://klasma.github.io/Logging_2417/kartor/A 50903-2025 karta.png", "A 50903-2025")</f>
        <v/>
      </c>
      <c r="V1053">
        <f>HYPERLINK("https://klasma.github.io/Logging_2417/klagomål/A 50903-2025 FSC-klagomål.docx", "A 50903-2025")</f>
        <v/>
      </c>
      <c r="W1053">
        <f>HYPERLINK("https://klasma.github.io/Logging_2417/klagomålsmail/A 50903-2025 FSC-klagomål mail.docx", "A 50903-2025")</f>
        <v/>
      </c>
      <c r="X1053">
        <f>HYPERLINK("https://klasma.github.io/Logging_2417/tillsyn/A 50903-2025 tillsynsbegäran.docx", "A 50903-2025")</f>
        <v/>
      </c>
      <c r="Y1053">
        <f>HYPERLINK("https://klasma.github.io/Logging_2417/tillsynsmail/A 50903-2025 tillsynsbegäran mail.docx", "A 50903-2025")</f>
        <v/>
      </c>
      <c r="Z1053">
        <f>HYPERLINK("https://klasma.github.io/Logging_2417/fåglar/A 50903-2025 prioriterade fågelarter.docx", "A 50903-2025")</f>
        <v/>
      </c>
    </row>
    <row r="1054" ht="15" customHeight="1">
      <c r="A1054" t="inlineStr">
        <is>
          <t>A 34958-2025</t>
        </is>
      </c>
      <c r="B1054" s="1" t="n">
        <v>45849.61287037037</v>
      </c>
      <c r="C1054" s="1" t="n">
        <v>45971</v>
      </c>
      <c r="D1054" t="inlineStr">
        <is>
          <t>VÄSTERBOTTENS LÄN</t>
        </is>
      </c>
      <c r="E1054" t="inlineStr">
        <is>
          <t>LYCKSELE</t>
        </is>
      </c>
      <c r="F1054" t="inlineStr">
        <is>
          <t>Sveaskog</t>
        </is>
      </c>
      <c r="G1054" t="n">
        <v>4.1</v>
      </c>
      <c r="H1054" t="n">
        <v>1</v>
      </c>
      <c r="I1054" t="n">
        <v>0</v>
      </c>
      <c r="J1054" t="n">
        <v>1</v>
      </c>
      <c r="K1054" t="n">
        <v>0</v>
      </c>
      <c r="L1054" t="n">
        <v>0</v>
      </c>
      <c r="M1054" t="n">
        <v>0</v>
      </c>
      <c r="N1054" t="n">
        <v>0</v>
      </c>
      <c r="O1054" t="n">
        <v>1</v>
      </c>
      <c r="P1054" t="n">
        <v>0</v>
      </c>
      <c r="Q1054" t="n">
        <v>1</v>
      </c>
      <c r="R1054" s="2" t="inlineStr">
        <is>
          <t>Spillkråka</t>
        </is>
      </c>
      <c r="S1054">
        <f>HYPERLINK("https://klasma.github.io/Logging_2481/artfynd/A 34958-2025 artfynd.xlsx", "A 34958-2025")</f>
        <v/>
      </c>
      <c r="T1054">
        <f>HYPERLINK("https://klasma.github.io/Logging_2481/kartor/A 34958-2025 karta.png", "A 34958-2025")</f>
        <v/>
      </c>
      <c r="V1054">
        <f>HYPERLINK("https://klasma.github.io/Logging_2481/klagomål/A 34958-2025 FSC-klagomål.docx", "A 34958-2025")</f>
        <v/>
      </c>
      <c r="W1054">
        <f>HYPERLINK("https://klasma.github.io/Logging_2481/klagomålsmail/A 34958-2025 FSC-klagomål mail.docx", "A 34958-2025")</f>
        <v/>
      </c>
      <c r="X1054">
        <f>HYPERLINK("https://klasma.github.io/Logging_2481/tillsyn/A 34958-2025 tillsynsbegäran.docx", "A 34958-2025")</f>
        <v/>
      </c>
      <c r="Y1054">
        <f>HYPERLINK("https://klasma.github.io/Logging_2481/tillsynsmail/A 34958-2025 tillsynsbegäran mail.docx", "A 34958-2025")</f>
        <v/>
      </c>
      <c r="Z1054">
        <f>HYPERLINK("https://klasma.github.io/Logging_2481/fåglar/A 34958-2025 prioriterade fågelarter.docx", "A 34958-2025")</f>
        <v/>
      </c>
    </row>
    <row r="1055" ht="15" customHeight="1">
      <c r="A1055" t="inlineStr">
        <is>
          <t>A 62578-2022</t>
        </is>
      </c>
      <c r="B1055" s="1" t="n">
        <v>44924</v>
      </c>
      <c r="C1055" s="1" t="n">
        <v>45971</v>
      </c>
      <c r="D1055" t="inlineStr">
        <is>
          <t>VÄSTERBOTTENS LÄN</t>
        </is>
      </c>
      <c r="E1055" t="inlineStr">
        <is>
          <t>VINDELN</t>
        </is>
      </c>
      <c r="G1055" t="n">
        <v>4.6</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HYPERLINK("https://klasma.github.io/Logging_2404/artfynd/A 62578-2022 artfynd.xlsx", "A 62578-2022")</f>
        <v/>
      </c>
      <c r="T1055">
        <f>HYPERLINK("https://klasma.github.io/Logging_2404/kartor/A 62578-2022 karta.png", "A 62578-2022")</f>
        <v/>
      </c>
      <c r="V1055">
        <f>HYPERLINK("https://klasma.github.io/Logging_2404/klagomål/A 62578-2022 FSC-klagomål.docx", "A 62578-2022")</f>
        <v/>
      </c>
      <c r="W1055">
        <f>HYPERLINK("https://klasma.github.io/Logging_2404/klagomålsmail/A 62578-2022 FSC-klagomål mail.docx", "A 62578-2022")</f>
        <v/>
      </c>
      <c r="X1055">
        <f>HYPERLINK("https://klasma.github.io/Logging_2404/tillsyn/A 62578-2022 tillsynsbegäran.docx", "A 62578-2022")</f>
        <v/>
      </c>
      <c r="Y1055">
        <f>HYPERLINK("https://klasma.github.io/Logging_2404/tillsynsmail/A 62578-2022 tillsynsbegäran mail.docx", "A 62578-2022")</f>
        <v/>
      </c>
      <c r="Z1055">
        <f>HYPERLINK("https://klasma.github.io/Logging_2404/fåglar/A 62578-2022 prioriterade fågelarter.docx", "A 62578-2022")</f>
        <v/>
      </c>
    </row>
    <row r="1056" ht="15" customHeight="1">
      <c r="A1056" t="inlineStr">
        <is>
          <t>A 1694-2025</t>
        </is>
      </c>
      <c r="B1056" s="1" t="n">
        <v>45670</v>
      </c>
      <c r="C1056" s="1" t="n">
        <v>45971</v>
      </c>
      <c r="D1056" t="inlineStr">
        <is>
          <t>VÄSTERBOTTENS LÄN</t>
        </is>
      </c>
      <c r="E1056" t="inlineStr">
        <is>
          <t>SKELLEFTEÅ</t>
        </is>
      </c>
      <c r="G1056" t="n">
        <v>1.8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1694-2025 artfynd.xlsx", "A 1694-2025")</f>
        <v/>
      </c>
      <c r="T1056">
        <f>HYPERLINK("https://klasma.github.io/Logging_2482/kartor/A 1694-2025 karta.png", "A 1694-2025")</f>
        <v/>
      </c>
      <c r="V1056">
        <f>HYPERLINK("https://klasma.github.io/Logging_2482/klagomål/A 1694-2025 FSC-klagomål.docx", "A 1694-2025")</f>
        <v/>
      </c>
      <c r="W1056">
        <f>HYPERLINK("https://klasma.github.io/Logging_2482/klagomålsmail/A 1694-2025 FSC-klagomål mail.docx", "A 1694-2025")</f>
        <v/>
      </c>
      <c r="X1056">
        <f>HYPERLINK("https://klasma.github.io/Logging_2482/tillsyn/A 1694-2025 tillsynsbegäran.docx", "A 1694-2025")</f>
        <v/>
      </c>
      <c r="Y1056">
        <f>HYPERLINK("https://klasma.github.io/Logging_2482/tillsynsmail/A 1694-2025 tillsynsbegäran mail.docx", "A 1694-2025")</f>
        <v/>
      </c>
      <c r="Z1056">
        <f>HYPERLINK("https://klasma.github.io/Logging_2482/fåglar/A 1694-2025 prioriterade fågelarter.docx", "A 1694-2025")</f>
        <v/>
      </c>
    </row>
    <row r="1057" ht="15" customHeight="1">
      <c r="A1057" t="inlineStr">
        <is>
          <t>A 39380-2022</t>
        </is>
      </c>
      <c r="B1057" s="1" t="n">
        <v>44817</v>
      </c>
      <c r="C1057" s="1" t="n">
        <v>45971</v>
      </c>
      <c r="D1057" t="inlineStr">
        <is>
          <t>VÄSTERBOTTENS LÄN</t>
        </is>
      </c>
      <c r="E1057" t="inlineStr">
        <is>
          <t>ÅSELE</t>
        </is>
      </c>
      <c r="F1057" t="inlineStr">
        <is>
          <t>SCA</t>
        </is>
      </c>
      <c r="G1057" t="n">
        <v>2.4</v>
      </c>
      <c r="H1057" t="n">
        <v>1</v>
      </c>
      <c r="I1057" t="n">
        <v>1</v>
      </c>
      <c r="J1057" t="n">
        <v>0</v>
      </c>
      <c r="K1057" t="n">
        <v>0</v>
      </c>
      <c r="L1057" t="n">
        <v>0</v>
      </c>
      <c r="M1057" t="n">
        <v>0</v>
      </c>
      <c r="N1057" t="n">
        <v>0</v>
      </c>
      <c r="O1057" t="n">
        <v>0</v>
      </c>
      <c r="P1057" t="n">
        <v>0</v>
      </c>
      <c r="Q1057" t="n">
        <v>1</v>
      </c>
      <c r="R1057" s="2" t="inlineStr">
        <is>
          <t>Lappranunkel</t>
        </is>
      </c>
      <c r="S1057">
        <f>HYPERLINK("https://klasma.github.io/Logging_2463/artfynd/A 39380-2022 artfynd.xlsx", "A 39380-2022")</f>
        <v/>
      </c>
      <c r="T1057">
        <f>HYPERLINK("https://klasma.github.io/Logging_2463/kartor/A 39380-2022 karta.png", "A 39380-2022")</f>
        <v/>
      </c>
      <c r="V1057">
        <f>HYPERLINK("https://klasma.github.io/Logging_2463/klagomål/A 39380-2022 FSC-klagomål.docx", "A 39380-2022")</f>
        <v/>
      </c>
      <c r="W1057">
        <f>HYPERLINK("https://klasma.github.io/Logging_2463/klagomålsmail/A 39380-2022 FSC-klagomål mail.docx", "A 39380-2022")</f>
        <v/>
      </c>
      <c r="X1057">
        <f>HYPERLINK("https://klasma.github.io/Logging_2463/tillsyn/A 39380-2022 tillsynsbegäran.docx", "A 39380-2022")</f>
        <v/>
      </c>
      <c r="Y1057">
        <f>HYPERLINK("https://klasma.github.io/Logging_2463/tillsynsmail/A 39380-2022 tillsynsbegäran mail.docx", "A 39380-2022")</f>
        <v/>
      </c>
    </row>
    <row r="1058" ht="15" customHeight="1">
      <c r="A1058" t="inlineStr">
        <is>
          <t>A 35226-2025</t>
        </is>
      </c>
      <c r="B1058" s="1" t="n">
        <v>45853.58109953703</v>
      </c>
      <c r="C1058" s="1" t="n">
        <v>45971</v>
      </c>
      <c r="D1058" t="inlineStr">
        <is>
          <t>VÄSTERBOTTENS LÄN</t>
        </is>
      </c>
      <c r="E1058" t="inlineStr">
        <is>
          <t>LYCKSELE</t>
        </is>
      </c>
      <c r="F1058" t="inlineStr">
        <is>
          <t>Sveaskog</t>
        </is>
      </c>
      <c r="G1058" t="n">
        <v>14.7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HYPERLINK("https://klasma.github.io/Logging_2481/artfynd/A 35226-2025 artfynd.xlsx", "A 35226-2025")</f>
        <v/>
      </c>
      <c r="T1058">
        <f>HYPERLINK("https://klasma.github.io/Logging_2481/kartor/A 35226-2025 karta.png", "A 35226-2025")</f>
        <v/>
      </c>
      <c r="V1058">
        <f>HYPERLINK("https://klasma.github.io/Logging_2481/klagomål/A 35226-2025 FSC-klagomål.docx", "A 35226-2025")</f>
        <v/>
      </c>
      <c r="W1058">
        <f>HYPERLINK("https://klasma.github.io/Logging_2481/klagomålsmail/A 35226-2025 FSC-klagomål mail.docx", "A 35226-2025")</f>
        <v/>
      </c>
      <c r="X1058">
        <f>HYPERLINK("https://klasma.github.io/Logging_2481/tillsyn/A 35226-2025 tillsynsbegäran.docx", "A 35226-2025")</f>
        <v/>
      </c>
      <c r="Y1058">
        <f>HYPERLINK("https://klasma.github.io/Logging_2481/tillsynsmail/A 35226-2025 tillsynsbegäran mail.docx", "A 35226-2025")</f>
        <v/>
      </c>
      <c r="Z1058">
        <f>HYPERLINK("https://klasma.github.io/Logging_2481/fåglar/A 35226-2025 prioriterade fågelarter.docx", "A 35226-2025")</f>
        <v/>
      </c>
    </row>
    <row r="1059" ht="15" customHeight="1">
      <c r="A1059" t="inlineStr">
        <is>
          <t>A 35233-2025</t>
        </is>
      </c>
      <c r="B1059" s="1" t="n">
        <v>45853.59981481481</v>
      </c>
      <c r="C1059" s="1" t="n">
        <v>45971</v>
      </c>
      <c r="D1059" t="inlineStr">
        <is>
          <t>VÄSTERBOTTENS LÄN</t>
        </is>
      </c>
      <c r="E1059" t="inlineStr">
        <is>
          <t>LYCKSELE</t>
        </is>
      </c>
      <c r="F1059" t="inlineStr">
        <is>
          <t>Sveaskog</t>
        </is>
      </c>
      <c r="G1059" t="n">
        <v>21.5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35233-2025 artfynd.xlsx", "A 35233-2025")</f>
        <v/>
      </c>
      <c r="T1059">
        <f>HYPERLINK("https://klasma.github.io/Logging_2481/kartor/A 35233-2025 karta.png", "A 35233-2025")</f>
        <v/>
      </c>
      <c r="V1059">
        <f>HYPERLINK("https://klasma.github.io/Logging_2481/klagomål/A 35233-2025 FSC-klagomål.docx", "A 35233-2025")</f>
        <v/>
      </c>
      <c r="W1059">
        <f>HYPERLINK("https://klasma.github.io/Logging_2481/klagomålsmail/A 35233-2025 FSC-klagomål mail.docx", "A 35233-2025")</f>
        <v/>
      </c>
      <c r="X1059">
        <f>HYPERLINK("https://klasma.github.io/Logging_2481/tillsyn/A 35233-2025 tillsynsbegäran.docx", "A 35233-2025")</f>
        <v/>
      </c>
      <c r="Y1059">
        <f>HYPERLINK("https://klasma.github.io/Logging_2481/tillsynsmail/A 35233-2025 tillsynsbegäran mail.docx", "A 35233-2025")</f>
        <v/>
      </c>
    </row>
    <row r="1060" ht="15" customHeight="1">
      <c r="A1060" t="inlineStr">
        <is>
          <t>A 35239-2025</t>
        </is>
      </c>
      <c r="B1060" s="1" t="n">
        <v>45853.61649305555</v>
      </c>
      <c r="C1060" s="1" t="n">
        <v>45971</v>
      </c>
      <c r="D1060" t="inlineStr">
        <is>
          <t>VÄSTERBOTTENS LÄN</t>
        </is>
      </c>
      <c r="E1060" t="inlineStr">
        <is>
          <t>LYCKSELE</t>
        </is>
      </c>
      <c r="F1060" t="inlineStr">
        <is>
          <t>Sveaskog</t>
        </is>
      </c>
      <c r="G1060" t="n">
        <v>8.699999999999999</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HYPERLINK("https://klasma.github.io/Logging_2481/artfynd/A 35239-2025 artfynd.xlsx", "A 35239-2025")</f>
        <v/>
      </c>
      <c r="T1060">
        <f>HYPERLINK("https://klasma.github.io/Logging_2481/kartor/A 35239-2025 karta.png", "A 35239-2025")</f>
        <v/>
      </c>
      <c r="V1060">
        <f>HYPERLINK("https://klasma.github.io/Logging_2481/klagomål/A 35239-2025 FSC-klagomål.docx", "A 35239-2025")</f>
        <v/>
      </c>
      <c r="W1060">
        <f>HYPERLINK("https://klasma.github.io/Logging_2481/klagomålsmail/A 35239-2025 FSC-klagomål mail.docx", "A 35239-2025")</f>
        <v/>
      </c>
      <c r="X1060">
        <f>HYPERLINK("https://klasma.github.io/Logging_2481/tillsyn/A 35239-2025 tillsynsbegäran.docx", "A 35239-2025")</f>
        <v/>
      </c>
      <c r="Y1060">
        <f>HYPERLINK("https://klasma.github.io/Logging_2481/tillsynsmail/A 35239-2025 tillsynsbegäran mail.docx", "A 35239-2025")</f>
        <v/>
      </c>
    </row>
    <row r="1061" ht="15" customHeight="1">
      <c r="A1061" t="inlineStr">
        <is>
          <t>A 35551-2025</t>
        </is>
      </c>
      <c r="B1061" s="1" t="n">
        <v>45856.49604166667</v>
      </c>
      <c r="C1061" s="1" t="n">
        <v>45971</v>
      </c>
      <c r="D1061" t="inlineStr">
        <is>
          <t>VÄSTERBOTTENS LÄN</t>
        </is>
      </c>
      <c r="E1061" t="inlineStr">
        <is>
          <t>ROBERTSFORS</t>
        </is>
      </c>
      <c r="G1061" t="n">
        <v>1</v>
      </c>
      <c r="H1061" t="n">
        <v>1</v>
      </c>
      <c r="I1061" t="n">
        <v>0</v>
      </c>
      <c r="J1061" t="n">
        <v>0</v>
      </c>
      <c r="K1061" t="n">
        <v>0</v>
      </c>
      <c r="L1061" t="n">
        <v>0</v>
      </c>
      <c r="M1061" t="n">
        <v>0</v>
      </c>
      <c r="N1061" t="n">
        <v>0</v>
      </c>
      <c r="O1061" t="n">
        <v>0</v>
      </c>
      <c r="P1061" t="n">
        <v>0</v>
      </c>
      <c r="Q1061" t="n">
        <v>1</v>
      </c>
      <c r="R1061" s="2" t="inlineStr">
        <is>
          <t>Tjäder</t>
        </is>
      </c>
      <c r="S1061">
        <f>HYPERLINK("https://klasma.github.io/Logging_2409/artfynd/A 35551-2025 artfynd.xlsx", "A 35551-2025")</f>
        <v/>
      </c>
      <c r="T1061">
        <f>HYPERLINK("https://klasma.github.io/Logging_2409/kartor/A 35551-2025 karta.png", "A 35551-2025")</f>
        <v/>
      </c>
      <c r="V1061">
        <f>HYPERLINK("https://klasma.github.io/Logging_2409/klagomål/A 35551-2025 FSC-klagomål.docx", "A 35551-2025")</f>
        <v/>
      </c>
      <c r="W1061">
        <f>HYPERLINK("https://klasma.github.io/Logging_2409/klagomålsmail/A 35551-2025 FSC-klagomål mail.docx", "A 35551-2025")</f>
        <v/>
      </c>
      <c r="X1061">
        <f>HYPERLINK("https://klasma.github.io/Logging_2409/tillsyn/A 35551-2025 tillsynsbegäran.docx", "A 35551-2025")</f>
        <v/>
      </c>
      <c r="Y1061">
        <f>HYPERLINK("https://klasma.github.io/Logging_2409/tillsynsmail/A 35551-2025 tillsynsbegäran mail.docx", "A 35551-2025")</f>
        <v/>
      </c>
      <c r="Z1061">
        <f>HYPERLINK("https://klasma.github.io/Logging_2409/fåglar/A 35551-2025 prioriterade fågelarter.docx", "A 35551-2025")</f>
        <v/>
      </c>
    </row>
    <row r="1062" ht="15" customHeight="1">
      <c r="A1062" t="inlineStr">
        <is>
          <t>A 45074-2025</t>
        </is>
      </c>
      <c r="B1062" s="1" t="n">
        <v>45919.36138888889</v>
      </c>
      <c r="C1062" s="1" t="n">
        <v>45971</v>
      </c>
      <c r="D1062" t="inlineStr">
        <is>
          <t>VÄSTERBOTTENS LÄN</t>
        </is>
      </c>
      <c r="E1062" t="inlineStr">
        <is>
          <t>VINDELN</t>
        </is>
      </c>
      <c r="G1062" t="n">
        <v>11.3</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45074-2025 artfynd.xlsx", "A 45074-2025")</f>
        <v/>
      </c>
      <c r="T1062">
        <f>HYPERLINK("https://klasma.github.io/Logging_2404/kartor/A 45074-2025 karta.png", "A 45074-2025")</f>
        <v/>
      </c>
      <c r="V1062">
        <f>HYPERLINK("https://klasma.github.io/Logging_2404/klagomål/A 45074-2025 FSC-klagomål.docx", "A 45074-2025")</f>
        <v/>
      </c>
      <c r="W1062">
        <f>HYPERLINK("https://klasma.github.io/Logging_2404/klagomålsmail/A 45074-2025 FSC-klagomål mail.docx", "A 45074-2025")</f>
        <v/>
      </c>
      <c r="X1062">
        <f>HYPERLINK("https://klasma.github.io/Logging_2404/tillsyn/A 45074-2025 tillsynsbegäran.docx", "A 45074-2025")</f>
        <v/>
      </c>
      <c r="Y1062">
        <f>HYPERLINK("https://klasma.github.io/Logging_2404/tillsynsmail/A 45074-2025 tillsynsbegäran mail.docx", "A 45074-2025")</f>
        <v/>
      </c>
    </row>
    <row r="1063" ht="15" customHeight="1">
      <c r="A1063" t="inlineStr">
        <is>
          <t>A 45127-2025</t>
        </is>
      </c>
      <c r="B1063" s="1" t="n">
        <v>45919.43388888889</v>
      </c>
      <c r="C1063" s="1" t="n">
        <v>45971</v>
      </c>
      <c r="D1063" t="inlineStr">
        <is>
          <t>VÄSTERBOTTENS LÄN</t>
        </is>
      </c>
      <c r="E1063" t="inlineStr">
        <is>
          <t>LYCKSELE</t>
        </is>
      </c>
      <c r="F1063" t="inlineStr">
        <is>
          <t>Sveaskog</t>
        </is>
      </c>
      <c r="G1063" t="n">
        <v>21.6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45127-2025 artfynd.xlsx", "A 45127-2025")</f>
        <v/>
      </c>
      <c r="T1063">
        <f>HYPERLINK("https://klasma.github.io/Logging_2481/kartor/A 45127-2025 karta.png", "A 45127-2025")</f>
        <v/>
      </c>
      <c r="V1063">
        <f>HYPERLINK("https://klasma.github.io/Logging_2481/klagomål/A 45127-2025 FSC-klagomål.docx", "A 45127-2025")</f>
        <v/>
      </c>
      <c r="W1063">
        <f>HYPERLINK("https://klasma.github.io/Logging_2481/klagomålsmail/A 45127-2025 FSC-klagomål mail.docx", "A 45127-2025")</f>
        <v/>
      </c>
      <c r="X1063">
        <f>HYPERLINK("https://klasma.github.io/Logging_2481/tillsyn/A 45127-2025 tillsynsbegäran.docx", "A 45127-2025")</f>
        <v/>
      </c>
      <c r="Y1063">
        <f>HYPERLINK("https://klasma.github.io/Logging_2481/tillsynsmail/A 45127-2025 tillsynsbegäran mail.docx", "A 45127-2025")</f>
        <v/>
      </c>
    </row>
    <row r="1064" ht="15" customHeight="1">
      <c r="A1064" t="inlineStr">
        <is>
          <t>A 29434-2025</t>
        </is>
      </c>
      <c r="B1064" s="1" t="n">
        <v>45824</v>
      </c>
      <c r="C1064" s="1" t="n">
        <v>45971</v>
      </c>
      <c r="D1064" t="inlineStr">
        <is>
          <t>VÄSTERBOTTENS LÄN</t>
        </is>
      </c>
      <c r="E1064" t="inlineStr">
        <is>
          <t>VILHELMINA</t>
        </is>
      </c>
      <c r="F1064" t="inlineStr">
        <is>
          <t>SCA</t>
        </is>
      </c>
      <c r="G1064" t="n">
        <v>5.9</v>
      </c>
      <c r="H1064" t="n">
        <v>0</v>
      </c>
      <c r="I1064" t="n">
        <v>1</v>
      </c>
      <c r="J1064" t="n">
        <v>0</v>
      </c>
      <c r="K1064" t="n">
        <v>0</v>
      </c>
      <c r="L1064" t="n">
        <v>0</v>
      </c>
      <c r="M1064" t="n">
        <v>0</v>
      </c>
      <c r="N1064" t="n">
        <v>0</v>
      </c>
      <c r="O1064" t="n">
        <v>0</v>
      </c>
      <c r="P1064" t="n">
        <v>0</v>
      </c>
      <c r="Q1064" t="n">
        <v>1</v>
      </c>
      <c r="R1064" s="2" t="inlineStr">
        <is>
          <t>Tibast</t>
        </is>
      </c>
      <c r="S1064">
        <f>HYPERLINK("https://klasma.github.io/Logging_2462/artfynd/A 29434-2025 artfynd.xlsx", "A 29434-2025")</f>
        <v/>
      </c>
      <c r="T1064">
        <f>HYPERLINK("https://klasma.github.io/Logging_2462/kartor/A 29434-2025 karta.png", "A 29434-2025")</f>
        <v/>
      </c>
      <c r="V1064">
        <f>HYPERLINK("https://klasma.github.io/Logging_2462/klagomål/A 29434-2025 FSC-klagomål.docx", "A 29434-2025")</f>
        <v/>
      </c>
      <c r="W1064">
        <f>HYPERLINK("https://klasma.github.io/Logging_2462/klagomålsmail/A 29434-2025 FSC-klagomål mail.docx", "A 29434-2025")</f>
        <v/>
      </c>
      <c r="X1064">
        <f>HYPERLINK("https://klasma.github.io/Logging_2462/tillsyn/A 29434-2025 tillsynsbegäran.docx", "A 29434-2025")</f>
        <v/>
      </c>
      <c r="Y1064">
        <f>HYPERLINK("https://klasma.github.io/Logging_2462/tillsynsmail/A 29434-2025 tillsynsbegäran mail.docx", "A 29434-2025")</f>
        <v/>
      </c>
    </row>
    <row r="1065" ht="15" customHeight="1">
      <c r="A1065" t="inlineStr">
        <is>
          <t>A 59709-2024</t>
        </is>
      </c>
      <c r="B1065" s="1" t="n">
        <v>45639.44667824074</v>
      </c>
      <c r="C1065" s="1" t="n">
        <v>45971</v>
      </c>
      <c r="D1065" t="inlineStr">
        <is>
          <t>VÄSTERBOTTENS LÄN</t>
        </is>
      </c>
      <c r="E1065" t="inlineStr">
        <is>
          <t>SKELLEFTEÅ</t>
        </is>
      </c>
      <c r="G1065" t="n">
        <v>2.7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59709-2024 artfynd.xlsx", "A 59709-2024")</f>
        <v/>
      </c>
      <c r="T1065">
        <f>HYPERLINK("https://klasma.github.io/Logging_2482/kartor/A 59709-2024 karta.png", "A 59709-2024")</f>
        <v/>
      </c>
      <c r="V1065">
        <f>HYPERLINK("https://klasma.github.io/Logging_2482/klagomål/A 59709-2024 FSC-klagomål.docx", "A 59709-2024")</f>
        <v/>
      </c>
      <c r="W1065">
        <f>HYPERLINK("https://klasma.github.io/Logging_2482/klagomålsmail/A 59709-2024 FSC-klagomål mail.docx", "A 59709-2024")</f>
        <v/>
      </c>
      <c r="X1065">
        <f>HYPERLINK("https://klasma.github.io/Logging_2482/tillsyn/A 59709-2024 tillsynsbegäran.docx", "A 59709-2024")</f>
        <v/>
      </c>
      <c r="Y1065">
        <f>HYPERLINK("https://klasma.github.io/Logging_2482/tillsynsmail/A 59709-2024 tillsynsbegäran mail.docx", "A 59709-2024")</f>
        <v/>
      </c>
      <c r="Z1065">
        <f>HYPERLINK("https://klasma.github.io/Logging_2482/fåglar/A 59709-2024 prioriterade fågelarter.docx", "A 59709-2024")</f>
        <v/>
      </c>
    </row>
    <row r="1066" ht="15" customHeight="1">
      <c r="A1066" t="inlineStr">
        <is>
          <t>A 57568-2024</t>
        </is>
      </c>
      <c r="B1066" s="1" t="n">
        <v>45630.46457175926</v>
      </c>
      <c r="C1066" s="1" t="n">
        <v>45971</v>
      </c>
      <c r="D1066" t="inlineStr">
        <is>
          <t>VÄSTERBOTTENS LÄN</t>
        </is>
      </c>
      <c r="E1066" t="inlineStr">
        <is>
          <t>SKELLEFTEÅ</t>
        </is>
      </c>
      <c r="F1066" t="inlineStr">
        <is>
          <t>Sveaskog</t>
        </is>
      </c>
      <c r="G1066" t="n">
        <v>7.3</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57568-2024 artfynd.xlsx", "A 57568-2024")</f>
        <v/>
      </c>
      <c r="T1066">
        <f>HYPERLINK("https://klasma.github.io/Logging_2482/kartor/A 57568-2024 karta.png", "A 57568-2024")</f>
        <v/>
      </c>
      <c r="V1066">
        <f>HYPERLINK("https://klasma.github.io/Logging_2482/klagomål/A 57568-2024 FSC-klagomål.docx", "A 57568-2024")</f>
        <v/>
      </c>
      <c r="W1066">
        <f>HYPERLINK("https://klasma.github.io/Logging_2482/klagomålsmail/A 57568-2024 FSC-klagomål mail.docx", "A 57568-2024")</f>
        <v/>
      </c>
      <c r="X1066">
        <f>HYPERLINK("https://klasma.github.io/Logging_2482/tillsyn/A 57568-2024 tillsynsbegäran.docx", "A 57568-2024")</f>
        <v/>
      </c>
      <c r="Y1066">
        <f>HYPERLINK("https://klasma.github.io/Logging_2482/tillsynsmail/A 57568-2024 tillsynsbegäran mail.docx", "A 57568-2024")</f>
        <v/>
      </c>
    </row>
    <row r="1067" ht="15" customHeight="1">
      <c r="A1067" t="inlineStr">
        <is>
          <t>A 41674-2023</t>
        </is>
      </c>
      <c r="B1067" s="1" t="n">
        <v>45176</v>
      </c>
      <c r="C1067" s="1" t="n">
        <v>45971</v>
      </c>
      <c r="D1067" t="inlineStr">
        <is>
          <t>VÄSTERBOTTENS LÄN</t>
        </is>
      </c>
      <c r="E1067" t="inlineStr">
        <is>
          <t>UMEÅ</t>
        </is>
      </c>
      <c r="F1067" t="inlineStr">
        <is>
          <t>Holmen skog AB</t>
        </is>
      </c>
      <c r="G1067" t="n">
        <v>4.1</v>
      </c>
      <c r="H1067" t="n">
        <v>1</v>
      </c>
      <c r="I1067" t="n">
        <v>0</v>
      </c>
      <c r="J1067" t="n">
        <v>1</v>
      </c>
      <c r="K1067" t="n">
        <v>0</v>
      </c>
      <c r="L1067" t="n">
        <v>0</v>
      </c>
      <c r="M1067" t="n">
        <v>0</v>
      </c>
      <c r="N1067" t="n">
        <v>0</v>
      </c>
      <c r="O1067" t="n">
        <v>1</v>
      </c>
      <c r="P1067" t="n">
        <v>0</v>
      </c>
      <c r="Q1067" t="n">
        <v>1</v>
      </c>
      <c r="R1067" s="2" t="inlineStr">
        <is>
          <t>Nordfladdermus</t>
        </is>
      </c>
      <c r="S1067">
        <f>HYPERLINK("https://klasma.github.io/Logging_2480/artfynd/A 41674-2023 artfynd.xlsx", "A 41674-2023")</f>
        <v/>
      </c>
      <c r="T1067">
        <f>HYPERLINK("https://klasma.github.io/Logging_2480/kartor/A 41674-2023 karta.png", "A 41674-2023")</f>
        <v/>
      </c>
      <c r="V1067">
        <f>HYPERLINK("https://klasma.github.io/Logging_2480/klagomål/A 41674-2023 FSC-klagomål.docx", "A 41674-2023")</f>
        <v/>
      </c>
      <c r="W1067">
        <f>HYPERLINK("https://klasma.github.io/Logging_2480/klagomålsmail/A 41674-2023 FSC-klagomål mail.docx", "A 41674-2023")</f>
        <v/>
      </c>
      <c r="X1067">
        <f>HYPERLINK("https://klasma.github.io/Logging_2480/tillsyn/A 41674-2023 tillsynsbegäran.docx", "A 41674-2023")</f>
        <v/>
      </c>
      <c r="Y1067">
        <f>HYPERLINK("https://klasma.github.io/Logging_2480/tillsynsmail/A 41674-2023 tillsynsbegäran mail.docx", "A 41674-2023")</f>
        <v/>
      </c>
    </row>
    <row r="1068" ht="15" customHeight="1">
      <c r="A1068" t="inlineStr">
        <is>
          <t>A 58657-2023</t>
        </is>
      </c>
      <c r="B1068" s="1" t="n">
        <v>45251</v>
      </c>
      <c r="C1068" s="1" t="n">
        <v>45971</v>
      </c>
      <c r="D1068" t="inlineStr">
        <is>
          <t>VÄSTERBOTTENS LÄN</t>
        </is>
      </c>
      <c r="E1068" t="inlineStr">
        <is>
          <t>LYCKSELE</t>
        </is>
      </c>
      <c r="F1068" t="inlineStr">
        <is>
          <t>Sveaskog</t>
        </is>
      </c>
      <c r="G1068" t="n">
        <v>14.4</v>
      </c>
      <c r="H1068" t="n">
        <v>0</v>
      </c>
      <c r="I1068" t="n">
        <v>1</v>
      </c>
      <c r="J1068" t="n">
        <v>0</v>
      </c>
      <c r="K1068" t="n">
        <v>0</v>
      </c>
      <c r="L1068" t="n">
        <v>0</v>
      </c>
      <c r="M1068" t="n">
        <v>0</v>
      </c>
      <c r="N1068" t="n">
        <v>0</v>
      </c>
      <c r="O1068" t="n">
        <v>0</v>
      </c>
      <c r="P1068" t="n">
        <v>0</v>
      </c>
      <c r="Q1068" t="n">
        <v>1</v>
      </c>
      <c r="R1068" s="2" t="inlineStr">
        <is>
          <t>Bollvitmossa</t>
        </is>
      </c>
      <c r="S1068">
        <f>HYPERLINK("https://klasma.github.io/Logging_2481/artfynd/A 58657-2023 artfynd.xlsx", "A 58657-2023")</f>
        <v/>
      </c>
      <c r="T1068">
        <f>HYPERLINK("https://klasma.github.io/Logging_2481/kartor/A 58657-2023 karta.png", "A 58657-2023")</f>
        <v/>
      </c>
      <c r="V1068">
        <f>HYPERLINK("https://klasma.github.io/Logging_2481/klagomål/A 58657-2023 FSC-klagomål.docx", "A 58657-2023")</f>
        <v/>
      </c>
      <c r="W1068">
        <f>HYPERLINK("https://klasma.github.io/Logging_2481/klagomålsmail/A 58657-2023 FSC-klagomål mail.docx", "A 58657-2023")</f>
        <v/>
      </c>
      <c r="X1068">
        <f>HYPERLINK("https://klasma.github.io/Logging_2481/tillsyn/A 58657-2023 tillsynsbegäran.docx", "A 58657-2023")</f>
        <v/>
      </c>
      <c r="Y1068">
        <f>HYPERLINK("https://klasma.github.io/Logging_2481/tillsynsmail/A 58657-2023 tillsynsbegäran mail.docx", "A 58657-2023")</f>
        <v/>
      </c>
    </row>
    <row r="1069" ht="15" customHeight="1">
      <c r="A1069" t="inlineStr">
        <is>
          <t>A 35910-2025</t>
        </is>
      </c>
      <c r="B1069" s="1" t="n">
        <v>45862.5197800926</v>
      </c>
      <c r="C1069" s="1" t="n">
        <v>45971</v>
      </c>
      <c r="D1069" t="inlineStr">
        <is>
          <t>VÄSTERBOTTENS LÄN</t>
        </is>
      </c>
      <c r="E1069" t="inlineStr">
        <is>
          <t>SKELLEFTEÅ</t>
        </is>
      </c>
      <c r="F1069" t="inlineStr">
        <is>
          <t>Holmen skog AB</t>
        </is>
      </c>
      <c r="G1069" t="n">
        <v>5.6</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35910-2025 artfynd.xlsx", "A 35910-2025")</f>
        <v/>
      </c>
      <c r="T1069">
        <f>HYPERLINK("https://klasma.github.io/Logging_2482/kartor/A 35910-2025 karta.png", "A 35910-2025")</f>
        <v/>
      </c>
      <c r="U1069">
        <f>HYPERLINK("https://klasma.github.io/Logging_2482/knärot/A 35910-2025 karta knärot.png", "A 35910-2025")</f>
        <v/>
      </c>
      <c r="V1069">
        <f>HYPERLINK("https://klasma.github.io/Logging_2482/klagomål/A 35910-2025 FSC-klagomål.docx", "A 35910-2025")</f>
        <v/>
      </c>
      <c r="W1069">
        <f>HYPERLINK("https://klasma.github.io/Logging_2482/klagomålsmail/A 35910-2025 FSC-klagomål mail.docx", "A 35910-2025")</f>
        <v/>
      </c>
      <c r="X1069">
        <f>HYPERLINK("https://klasma.github.io/Logging_2482/tillsyn/A 35910-2025 tillsynsbegäran.docx", "A 35910-2025")</f>
        <v/>
      </c>
      <c r="Y1069">
        <f>HYPERLINK("https://klasma.github.io/Logging_2482/tillsynsmail/A 35910-2025 tillsynsbegäran mail.docx", "A 35910-2025")</f>
        <v/>
      </c>
    </row>
    <row r="1070" ht="15" customHeight="1">
      <c r="A1070" t="inlineStr">
        <is>
          <t>A 59058-2023</t>
        </is>
      </c>
      <c r="B1070" s="1" t="n">
        <v>45252.8006712963</v>
      </c>
      <c r="C1070" s="1" t="n">
        <v>45971</v>
      </c>
      <c r="D1070" t="inlineStr">
        <is>
          <t>VÄSTERBOTTENS LÄN</t>
        </is>
      </c>
      <c r="E1070" t="inlineStr">
        <is>
          <t>STORUMAN</t>
        </is>
      </c>
      <c r="G1070" t="n">
        <v>15.3</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59058-2023 artfynd.xlsx", "A 59058-2023")</f>
        <v/>
      </c>
      <c r="T1070">
        <f>HYPERLINK("https://klasma.github.io/Logging_2421/kartor/A 59058-2023 karta.png", "A 59058-2023")</f>
        <v/>
      </c>
      <c r="V1070">
        <f>HYPERLINK("https://klasma.github.io/Logging_2421/klagomål/A 59058-2023 FSC-klagomål.docx", "A 59058-2023")</f>
        <v/>
      </c>
      <c r="W1070">
        <f>HYPERLINK("https://klasma.github.io/Logging_2421/klagomålsmail/A 59058-2023 FSC-klagomål mail.docx", "A 59058-2023")</f>
        <v/>
      </c>
      <c r="X1070">
        <f>HYPERLINK("https://klasma.github.io/Logging_2421/tillsyn/A 59058-2023 tillsynsbegäran.docx", "A 59058-2023")</f>
        <v/>
      </c>
      <c r="Y1070">
        <f>HYPERLINK("https://klasma.github.io/Logging_2421/tillsynsmail/A 59058-2023 tillsynsbegäran mail.docx", "A 59058-2023")</f>
        <v/>
      </c>
    </row>
    <row r="1071" ht="15" customHeight="1">
      <c r="A1071" t="inlineStr">
        <is>
          <t>A 45294-2025</t>
        </is>
      </c>
      <c r="B1071" s="1" t="n">
        <v>45920.55261574074</v>
      </c>
      <c r="C1071" s="1" t="n">
        <v>45971</v>
      </c>
      <c r="D1071" t="inlineStr">
        <is>
          <t>VÄSTERBOTTENS LÄN</t>
        </is>
      </c>
      <c r="E1071" t="inlineStr">
        <is>
          <t>NORDMALING</t>
        </is>
      </c>
      <c r="F1071" t="inlineStr">
        <is>
          <t>SCA</t>
        </is>
      </c>
      <c r="G1071" t="n">
        <v>7.2</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HYPERLINK("https://klasma.github.io/Logging_2401/artfynd/A 45294-2025 artfynd.xlsx", "A 45294-2025")</f>
        <v/>
      </c>
      <c r="T1071">
        <f>HYPERLINK("https://klasma.github.io/Logging_2401/kartor/A 45294-2025 karta.png", "A 45294-2025")</f>
        <v/>
      </c>
      <c r="V1071">
        <f>HYPERLINK("https://klasma.github.io/Logging_2401/klagomål/A 45294-2025 FSC-klagomål.docx", "A 45294-2025")</f>
        <v/>
      </c>
      <c r="W1071">
        <f>HYPERLINK("https://klasma.github.io/Logging_2401/klagomålsmail/A 45294-2025 FSC-klagomål mail.docx", "A 45294-2025")</f>
        <v/>
      </c>
      <c r="X1071">
        <f>HYPERLINK("https://klasma.github.io/Logging_2401/tillsyn/A 45294-2025 tillsynsbegäran.docx", "A 45294-2025")</f>
        <v/>
      </c>
      <c r="Y1071">
        <f>HYPERLINK("https://klasma.github.io/Logging_2401/tillsynsmail/A 45294-2025 tillsynsbegäran mail.docx", "A 45294-2025")</f>
        <v/>
      </c>
    </row>
    <row r="1072" ht="15" customHeight="1">
      <c r="A1072" t="inlineStr">
        <is>
          <t>A 35981-2025</t>
        </is>
      </c>
      <c r="B1072" s="1" t="n">
        <v>45863.44873842593</v>
      </c>
      <c r="C1072" s="1" t="n">
        <v>45971</v>
      </c>
      <c r="D1072" t="inlineStr">
        <is>
          <t>VÄSTERBOTTENS LÄN</t>
        </is>
      </c>
      <c r="E1072" t="inlineStr">
        <is>
          <t>LYCKSELE</t>
        </is>
      </c>
      <c r="F1072" t="inlineStr">
        <is>
          <t>Sveaskog</t>
        </is>
      </c>
      <c r="G1072" t="n">
        <v>6.1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35981-2025 artfynd.xlsx", "A 35981-2025")</f>
        <v/>
      </c>
      <c r="T1072">
        <f>HYPERLINK("https://klasma.github.io/Logging_2481/kartor/A 35981-2025 karta.png", "A 35981-2025")</f>
        <v/>
      </c>
      <c r="V1072">
        <f>HYPERLINK("https://klasma.github.io/Logging_2481/klagomål/A 35981-2025 FSC-klagomål.docx", "A 35981-2025")</f>
        <v/>
      </c>
      <c r="W1072">
        <f>HYPERLINK("https://klasma.github.io/Logging_2481/klagomålsmail/A 35981-2025 FSC-klagomål mail.docx", "A 35981-2025")</f>
        <v/>
      </c>
      <c r="X1072">
        <f>HYPERLINK("https://klasma.github.io/Logging_2481/tillsyn/A 35981-2025 tillsynsbegäran.docx", "A 35981-2025")</f>
        <v/>
      </c>
      <c r="Y1072">
        <f>HYPERLINK("https://klasma.github.io/Logging_2481/tillsynsmail/A 35981-2025 tillsynsbegäran mail.docx", "A 35981-2025")</f>
        <v/>
      </c>
    </row>
    <row r="1073" ht="15" customHeight="1">
      <c r="A1073" t="inlineStr">
        <is>
          <t>A 11781-2025</t>
        </is>
      </c>
      <c r="B1073" s="1" t="n">
        <v>45727</v>
      </c>
      <c r="C1073" s="1" t="n">
        <v>45971</v>
      </c>
      <c r="D1073" t="inlineStr">
        <is>
          <t>VÄSTERBOTTENS LÄN</t>
        </is>
      </c>
      <c r="E1073" t="inlineStr">
        <is>
          <t>UMEÅ</t>
        </is>
      </c>
      <c r="F1073" t="inlineStr">
        <is>
          <t>Kommuner</t>
        </is>
      </c>
      <c r="G1073" t="n">
        <v>0.5</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HYPERLINK("https://klasma.github.io/Logging_2480/artfynd/A 11781-2025 artfynd.xlsx", "A 11781-2025")</f>
        <v/>
      </c>
      <c r="T1073">
        <f>HYPERLINK("https://klasma.github.io/Logging_2480/kartor/A 11781-2025 karta.png", "A 11781-2025")</f>
        <v/>
      </c>
      <c r="V1073">
        <f>HYPERLINK("https://klasma.github.io/Logging_2480/klagomål/A 11781-2025 FSC-klagomål.docx", "A 11781-2025")</f>
        <v/>
      </c>
      <c r="W1073">
        <f>HYPERLINK("https://klasma.github.io/Logging_2480/klagomålsmail/A 11781-2025 FSC-klagomål mail.docx", "A 11781-2025")</f>
        <v/>
      </c>
      <c r="X1073">
        <f>HYPERLINK("https://klasma.github.io/Logging_2480/tillsyn/A 11781-2025 tillsynsbegäran.docx", "A 11781-2025")</f>
        <v/>
      </c>
      <c r="Y1073">
        <f>HYPERLINK("https://klasma.github.io/Logging_2480/tillsynsmail/A 11781-2025 tillsynsbegäran mail.docx", "A 11781-2025")</f>
        <v/>
      </c>
    </row>
    <row r="1074" ht="15" customHeight="1">
      <c r="A1074" t="inlineStr">
        <is>
          <t>A 50826-2024</t>
        </is>
      </c>
      <c r="B1074" s="1" t="n">
        <v>45602</v>
      </c>
      <c r="C1074" s="1" t="n">
        <v>45971</v>
      </c>
      <c r="D1074" t="inlineStr">
        <is>
          <t>VÄSTERBOTTENS LÄN</t>
        </is>
      </c>
      <c r="E1074" t="inlineStr">
        <is>
          <t>LYCKSELE</t>
        </is>
      </c>
      <c r="F1074" t="inlineStr">
        <is>
          <t>Sveaskog</t>
        </is>
      </c>
      <c r="G1074" t="n">
        <v>3.1</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50826-2024 artfynd.xlsx", "A 50826-2024")</f>
        <v/>
      </c>
      <c r="T1074">
        <f>HYPERLINK("https://klasma.github.io/Logging_2481/kartor/A 50826-2024 karta.png", "A 50826-2024")</f>
        <v/>
      </c>
      <c r="V1074">
        <f>HYPERLINK("https://klasma.github.io/Logging_2481/klagomål/A 50826-2024 FSC-klagomål.docx", "A 50826-2024")</f>
        <v/>
      </c>
      <c r="W1074">
        <f>HYPERLINK("https://klasma.github.io/Logging_2481/klagomålsmail/A 50826-2024 FSC-klagomål mail.docx", "A 50826-2024")</f>
        <v/>
      </c>
      <c r="X1074">
        <f>HYPERLINK("https://klasma.github.io/Logging_2481/tillsyn/A 50826-2024 tillsynsbegäran.docx", "A 50826-2024")</f>
        <v/>
      </c>
      <c r="Y1074">
        <f>HYPERLINK("https://klasma.github.io/Logging_2481/tillsynsmail/A 50826-2024 tillsynsbegäran mail.docx", "A 50826-2024")</f>
        <v/>
      </c>
    </row>
    <row r="1075" ht="15" customHeight="1">
      <c r="A1075" t="inlineStr">
        <is>
          <t>A 41840-2023</t>
        </is>
      </c>
      <c r="B1075" s="1" t="n">
        <v>45176</v>
      </c>
      <c r="C1075" s="1" t="n">
        <v>45971</v>
      </c>
      <c r="D1075" t="inlineStr">
        <is>
          <t>VÄSTERBOTTENS LÄN</t>
        </is>
      </c>
      <c r="E1075" t="inlineStr">
        <is>
          <t>MALÅ</t>
        </is>
      </c>
      <c r="F1075" t="inlineStr">
        <is>
          <t>Sveaskog</t>
        </is>
      </c>
      <c r="G1075" t="n">
        <v>15.9</v>
      </c>
      <c r="H1075" t="n">
        <v>0</v>
      </c>
      <c r="I1075" t="n">
        <v>1</v>
      </c>
      <c r="J1075" t="n">
        <v>0</v>
      </c>
      <c r="K1075" t="n">
        <v>0</v>
      </c>
      <c r="L1075" t="n">
        <v>0</v>
      </c>
      <c r="M1075" t="n">
        <v>0</v>
      </c>
      <c r="N1075" t="n">
        <v>0</v>
      </c>
      <c r="O1075" t="n">
        <v>0</v>
      </c>
      <c r="P1075" t="n">
        <v>0</v>
      </c>
      <c r="Q1075" t="n">
        <v>1</v>
      </c>
      <c r="R1075" s="2" t="inlineStr">
        <is>
          <t>Robust tickgnagare</t>
        </is>
      </c>
      <c r="S1075">
        <f>HYPERLINK("https://klasma.github.io/Logging_2418/artfynd/A 41840-2023 artfynd.xlsx", "A 41840-2023")</f>
        <v/>
      </c>
      <c r="T1075">
        <f>HYPERLINK("https://klasma.github.io/Logging_2418/kartor/A 41840-2023 karta.png", "A 41840-2023")</f>
        <v/>
      </c>
      <c r="V1075">
        <f>HYPERLINK("https://klasma.github.io/Logging_2418/klagomål/A 41840-2023 FSC-klagomål.docx", "A 41840-2023")</f>
        <v/>
      </c>
      <c r="W1075">
        <f>HYPERLINK("https://klasma.github.io/Logging_2418/klagomålsmail/A 41840-2023 FSC-klagomål mail.docx", "A 41840-2023")</f>
        <v/>
      </c>
      <c r="X1075">
        <f>HYPERLINK("https://klasma.github.io/Logging_2418/tillsyn/A 41840-2023 tillsynsbegäran.docx", "A 41840-2023")</f>
        <v/>
      </c>
      <c r="Y1075">
        <f>HYPERLINK("https://klasma.github.io/Logging_2418/tillsynsmail/A 41840-2023 tillsynsbegäran mail.docx", "A 41840-2023")</f>
        <v/>
      </c>
    </row>
    <row r="1076" ht="15" customHeight="1">
      <c r="A1076" t="inlineStr">
        <is>
          <t>A 63810-2023</t>
        </is>
      </c>
      <c r="B1076" s="1" t="n">
        <v>45275</v>
      </c>
      <c r="C1076" s="1" t="n">
        <v>45971</v>
      </c>
      <c r="D1076" t="inlineStr">
        <is>
          <t>VÄSTERBOTTENS LÄN</t>
        </is>
      </c>
      <c r="E1076" t="inlineStr">
        <is>
          <t>UMEÅ</t>
        </is>
      </c>
      <c r="G1076" t="n">
        <v>1.1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63810-2023 artfynd.xlsx", "A 63810-2023")</f>
        <v/>
      </c>
      <c r="T1076">
        <f>HYPERLINK("https://klasma.github.io/Logging_2480/kartor/A 63810-2023 karta.png", "A 63810-2023")</f>
        <v/>
      </c>
      <c r="V1076">
        <f>HYPERLINK("https://klasma.github.io/Logging_2480/klagomål/A 63810-2023 FSC-klagomål.docx", "A 63810-2023")</f>
        <v/>
      </c>
      <c r="W1076">
        <f>HYPERLINK("https://klasma.github.io/Logging_2480/klagomålsmail/A 63810-2023 FSC-klagomål mail.docx", "A 63810-2023")</f>
        <v/>
      </c>
      <c r="X1076">
        <f>HYPERLINK("https://klasma.github.io/Logging_2480/tillsyn/A 63810-2023 tillsynsbegäran.docx", "A 63810-2023")</f>
        <v/>
      </c>
      <c r="Y1076">
        <f>HYPERLINK("https://klasma.github.io/Logging_2480/tillsynsmail/A 63810-2023 tillsynsbegäran mail.docx", "A 63810-2023")</f>
        <v/>
      </c>
      <c r="Z1076">
        <f>HYPERLINK("https://klasma.github.io/Logging_2480/fåglar/A 63810-2023 prioriterade fågelarter.docx", "A 63810-2023")</f>
        <v/>
      </c>
    </row>
    <row r="1077" ht="15" customHeight="1">
      <c r="A1077" t="inlineStr">
        <is>
          <t>A 42835-2025</t>
        </is>
      </c>
      <c r="B1077" s="1" t="n">
        <v>45908</v>
      </c>
      <c r="C1077" s="1" t="n">
        <v>45971</v>
      </c>
      <c r="D1077" t="inlineStr">
        <is>
          <t>VÄSTERBOTTENS LÄN</t>
        </is>
      </c>
      <c r="E1077" t="inlineStr">
        <is>
          <t>UMEÅ</t>
        </is>
      </c>
      <c r="F1077" t="inlineStr">
        <is>
          <t>Övriga statliga verk och myndigheter</t>
        </is>
      </c>
      <c r="G1077" t="n">
        <v>1.1</v>
      </c>
      <c r="H1077" t="n">
        <v>0</v>
      </c>
      <c r="I1077" t="n">
        <v>0</v>
      </c>
      <c r="J1077" t="n">
        <v>1</v>
      </c>
      <c r="K1077" t="n">
        <v>0</v>
      </c>
      <c r="L1077" t="n">
        <v>0</v>
      </c>
      <c r="M1077" t="n">
        <v>0</v>
      </c>
      <c r="N1077" t="n">
        <v>0</v>
      </c>
      <c r="O1077" t="n">
        <v>1</v>
      </c>
      <c r="P1077" t="n">
        <v>0</v>
      </c>
      <c r="Q1077" t="n">
        <v>1</v>
      </c>
      <c r="R1077" s="2" t="inlineStr">
        <is>
          <t>Klofibbla</t>
        </is>
      </c>
      <c r="S1077">
        <f>HYPERLINK("https://klasma.github.io/Logging_2480/artfynd/A 42835-2025 artfynd.xlsx", "A 42835-2025")</f>
        <v/>
      </c>
      <c r="T1077">
        <f>HYPERLINK("https://klasma.github.io/Logging_2480/kartor/A 42835-2025 karta.png", "A 42835-2025")</f>
        <v/>
      </c>
      <c r="V1077">
        <f>HYPERLINK("https://klasma.github.io/Logging_2480/klagomål/A 42835-2025 FSC-klagomål.docx", "A 42835-2025")</f>
        <v/>
      </c>
      <c r="W1077">
        <f>HYPERLINK("https://klasma.github.io/Logging_2480/klagomålsmail/A 42835-2025 FSC-klagomål mail.docx", "A 42835-2025")</f>
        <v/>
      </c>
      <c r="X1077">
        <f>HYPERLINK("https://klasma.github.io/Logging_2480/tillsyn/A 42835-2025 tillsynsbegäran.docx", "A 42835-2025")</f>
        <v/>
      </c>
      <c r="Y1077">
        <f>HYPERLINK("https://klasma.github.io/Logging_2480/tillsynsmail/A 42835-2025 tillsynsbegäran mail.docx", "A 42835-2025")</f>
        <v/>
      </c>
    </row>
    <row r="1078" ht="15" customHeight="1">
      <c r="A1078" t="inlineStr">
        <is>
          <t>A 35915-2023</t>
        </is>
      </c>
      <c r="B1078" s="1" t="n">
        <v>45148</v>
      </c>
      <c r="C1078" s="1" t="n">
        <v>45971</v>
      </c>
      <c r="D1078" t="inlineStr">
        <is>
          <t>VÄSTERBOTTENS LÄN</t>
        </is>
      </c>
      <c r="E1078" t="inlineStr">
        <is>
          <t>VINDELN</t>
        </is>
      </c>
      <c r="G1078" t="n">
        <v>1.8</v>
      </c>
      <c r="H1078" t="n">
        <v>1</v>
      </c>
      <c r="I1078" t="n">
        <v>0</v>
      </c>
      <c r="J1078" t="n">
        <v>1</v>
      </c>
      <c r="K1078" t="n">
        <v>0</v>
      </c>
      <c r="L1078" t="n">
        <v>0</v>
      </c>
      <c r="M1078" t="n">
        <v>0</v>
      </c>
      <c r="N1078" t="n">
        <v>0</v>
      </c>
      <c r="O1078" t="n">
        <v>1</v>
      </c>
      <c r="P1078" t="n">
        <v>0</v>
      </c>
      <c r="Q1078" t="n">
        <v>1</v>
      </c>
      <c r="R1078" s="2" t="inlineStr">
        <is>
          <t>Järpe</t>
        </is>
      </c>
      <c r="S1078">
        <f>HYPERLINK("https://klasma.github.io/Logging_2404/artfynd/A 35915-2023 artfynd.xlsx", "A 35915-2023")</f>
        <v/>
      </c>
      <c r="T1078">
        <f>HYPERLINK("https://klasma.github.io/Logging_2404/kartor/A 35915-2023 karta.png", "A 35915-2023")</f>
        <v/>
      </c>
      <c r="V1078">
        <f>HYPERLINK("https://klasma.github.io/Logging_2404/klagomål/A 35915-2023 FSC-klagomål.docx", "A 35915-2023")</f>
        <v/>
      </c>
      <c r="W1078">
        <f>HYPERLINK("https://klasma.github.io/Logging_2404/klagomålsmail/A 35915-2023 FSC-klagomål mail.docx", "A 35915-2023")</f>
        <v/>
      </c>
      <c r="X1078">
        <f>HYPERLINK("https://klasma.github.io/Logging_2404/tillsyn/A 35915-2023 tillsynsbegäran.docx", "A 35915-2023")</f>
        <v/>
      </c>
      <c r="Y1078">
        <f>HYPERLINK("https://klasma.github.io/Logging_2404/tillsynsmail/A 35915-2023 tillsynsbegäran mail.docx", "A 35915-2023")</f>
        <v/>
      </c>
      <c r="Z1078">
        <f>HYPERLINK("https://klasma.github.io/Logging_2404/fåglar/A 35915-2023 prioriterade fågelarter.docx", "A 35915-2023")</f>
        <v/>
      </c>
    </row>
    <row r="1079" ht="15" customHeight="1">
      <c r="A1079" t="inlineStr">
        <is>
          <t>A 33633-2024</t>
        </is>
      </c>
      <c r="B1079" s="1" t="n">
        <v>45520.43246527778</v>
      </c>
      <c r="C1079" s="1" t="n">
        <v>45971</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Ögonpyrola</t>
        </is>
      </c>
      <c r="S1079">
        <f>HYPERLINK("https://klasma.github.io/Logging_2481/artfynd/A 33633-2024 artfynd.xlsx", "A 33633-2024")</f>
        <v/>
      </c>
      <c r="T1079">
        <f>HYPERLINK("https://klasma.github.io/Logging_2481/kartor/A 33633-2024 karta.png", "A 33633-2024")</f>
        <v/>
      </c>
      <c r="V1079">
        <f>HYPERLINK("https://klasma.github.io/Logging_2481/klagomål/A 33633-2024 FSC-klagomål.docx", "A 33633-2024")</f>
        <v/>
      </c>
      <c r="W1079">
        <f>HYPERLINK("https://klasma.github.io/Logging_2481/klagomålsmail/A 33633-2024 FSC-klagomål mail.docx", "A 33633-2024")</f>
        <v/>
      </c>
      <c r="X1079">
        <f>HYPERLINK("https://klasma.github.io/Logging_2481/tillsyn/A 33633-2024 tillsynsbegäran.docx", "A 33633-2024")</f>
        <v/>
      </c>
      <c r="Y1079">
        <f>HYPERLINK("https://klasma.github.io/Logging_2481/tillsynsmail/A 33633-2024 tillsynsbegäran mail.docx", "A 33633-2024")</f>
        <v/>
      </c>
    </row>
    <row r="1080" ht="15" customHeight="1">
      <c r="A1080" t="inlineStr">
        <is>
          <t>A 13523-2025</t>
        </is>
      </c>
      <c r="B1080" s="1" t="n">
        <v>45736</v>
      </c>
      <c r="C1080" s="1" t="n">
        <v>45971</v>
      </c>
      <c r="D1080" t="inlineStr">
        <is>
          <t>VÄSTERBOTTENS LÄN</t>
        </is>
      </c>
      <c r="E1080" t="inlineStr">
        <is>
          <t>VILHELMINA</t>
        </is>
      </c>
      <c r="F1080" t="inlineStr">
        <is>
          <t>SCA</t>
        </is>
      </c>
      <c r="G1080" t="n">
        <v>2.4</v>
      </c>
      <c r="H1080" t="n">
        <v>0</v>
      </c>
      <c r="I1080" t="n">
        <v>0</v>
      </c>
      <c r="J1080" t="n">
        <v>1</v>
      </c>
      <c r="K1080" t="n">
        <v>0</v>
      </c>
      <c r="L1080" t="n">
        <v>0</v>
      </c>
      <c r="M1080" t="n">
        <v>0</v>
      </c>
      <c r="N1080" t="n">
        <v>0</v>
      </c>
      <c r="O1080" t="n">
        <v>1</v>
      </c>
      <c r="P1080" t="n">
        <v>0</v>
      </c>
      <c r="Q1080" t="n">
        <v>1</v>
      </c>
      <c r="R1080" s="2" t="inlineStr">
        <is>
          <t>Lunglav</t>
        </is>
      </c>
      <c r="S1080">
        <f>HYPERLINK("https://klasma.github.io/Logging_2462/artfynd/A 13523-2025 artfynd.xlsx", "A 13523-2025")</f>
        <v/>
      </c>
      <c r="T1080">
        <f>HYPERLINK("https://klasma.github.io/Logging_2462/kartor/A 13523-2025 karta.png", "A 13523-2025")</f>
        <v/>
      </c>
      <c r="V1080">
        <f>HYPERLINK("https://klasma.github.io/Logging_2462/klagomål/A 13523-2025 FSC-klagomål.docx", "A 13523-2025")</f>
        <v/>
      </c>
      <c r="W1080">
        <f>HYPERLINK("https://klasma.github.io/Logging_2462/klagomålsmail/A 13523-2025 FSC-klagomål mail.docx", "A 13523-2025")</f>
        <v/>
      </c>
      <c r="X1080">
        <f>HYPERLINK("https://klasma.github.io/Logging_2462/tillsyn/A 13523-2025 tillsynsbegäran.docx", "A 13523-2025")</f>
        <v/>
      </c>
      <c r="Y1080">
        <f>HYPERLINK("https://klasma.github.io/Logging_2462/tillsynsmail/A 13523-2025 tillsynsbegäran mail.docx", "A 13523-2025")</f>
        <v/>
      </c>
    </row>
    <row r="1081" ht="15" customHeight="1">
      <c r="A1081" t="inlineStr">
        <is>
          <t>A 53071-2022</t>
        </is>
      </c>
      <c r="B1081" s="1" t="n">
        <v>44873</v>
      </c>
      <c r="C1081" s="1" t="n">
        <v>45971</v>
      </c>
      <c r="D1081" t="inlineStr">
        <is>
          <t>VÄSTERBOTTENS LÄN</t>
        </is>
      </c>
      <c r="E1081" t="inlineStr">
        <is>
          <t>SKELLEFTEÅ</t>
        </is>
      </c>
      <c r="G1081" t="n">
        <v>10.6</v>
      </c>
      <c r="H1081" t="n">
        <v>0</v>
      </c>
      <c r="I1081" t="n">
        <v>0</v>
      </c>
      <c r="J1081" t="n">
        <v>1</v>
      </c>
      <c r="K1081" t="n">
        <v>0</v>
      </c>
      <c r="L1081" t="n">
        <v>0</v>
      </c>
      <c r="M1081" t="n">
        <v>0</v>
      </c>
      <c r="N1081" t="n">
        <v>0</v>
      </c>
      <c r="O1081" t="n">
        <v>1</v>
      </c>
      <c r="P1081" t="n">
        <v>0</v>
      </c>
      <c r="Q1081" t="n">
        <v>1</v>
      </c>
      <c r="R1081" s="2" t="inlineStr">
        <is>
          <t>Granticka</t>
        </is>
      </c>
      <c r="S1081">
        <f>HYPERLINK("https://klasma.github.io/Logging_2482/artfynd/A 53071-2022 artfynd.xlsx", "A 53071-2022")</f>
        <v/>
      </c>
      <c r="T1081">
        <f>HYPERLINK("https://klasma.github.io/Logging_2482/kartor/A 53071-2022 karta.png", "A 53071-2022")</f>
        <v/>
      </c>
      <c r="V1081">
        <f>HYPERLINK("https://klasma.github.io/Logging_2482/klagomål/A 53071-2022 FSC-klagomål.docx", "A 53071-2022")</f>
        <v/>
      </c>
      <c r="W1081">
        <f>HYPERLINK("https://klasma.github.io/Logging_2482/klagomålsmail/A 53071-2022 FSC-klagomål mail.docx", "A 53071-2022")</f>
        <v/>
      </c>
      <c r="X1081">
        <f>HYPERLINK("https://klasma.github.io/Logging_2482/tillsyn/A 53071-2022 tillsynsbegäran.docx", "A 53071-2022")</f>
        <v/>
      </c>
      <c r="Y1081">
        <f>HYPERLINK("https://klasma.github.io/Logging_2482/tillsynsmail/A 53071-2022 tillsynsbegäran mail.docx", "A 53071-2022")</f>
        <v/>
      </c>
    </row>
    <row r="1082" ht="15" customHeight="1">
      <c r="A1082" t="inlineStr">
        <is>
          <t>A 36797-2025</t>
        </is>
      </c>
      <c r="B1082" s="1" t="n">
        <v>45873.65006944445</v>
      </c>
      <c r="C1082" s="1" t="n">
        <v>45971</v>
      </c>
      <c r="D1082" t="inlineStr">
        <is>
          <t>VÄSTERBOTTENS LÄN</t>
        </is>
      </c>
      <c r="E1082" t="inlineStr">
        <is>
          <t>ROBERTSFORS</t>
        </is>
      </c>
      <c r="G1082" t="n">
        <v>3.5</v>
      </c>
      <c r="H1082" t="n">
        <v>1</v>
      </c>
      <c r="I1082" t="n">
        <v>1</v>
      </c>
      <c r="J1082" t="n">
        <v>0</v>
      </c>
      <c r="K1082" t="n">
        <v>0</v>
      </c>
      <c r="L1082" t="n">
        <v>0</v>
      </c>
      <c r="M1082" t="n">
        <v>0</v>
      </c>
      <c r="N1082" t="n">
        <v>0</v>
      </c>
      <c r="O1082" t="n">
        <v>0</v>
      </c>
      <c r="P1082" t="n">
        <v>0</v>
      </c>
      <c r="Q1082" t="n">
        <v>1</v>
      </c>
      <c r="R1082" s="2" t="inlineStr">
        <is>
          <t>Korallrot</t>
        </is>
      </c>
      <c r="S1082">
        <f>HYPERLINK("https://klasma.github.io/Logging_2409/artfynd/A 36797-2025 artfynd.xlsx", "A 36797-2025")</f>
        <v/>
      </c>
      <c r="T1082">
        <f>HYPERLINK("https://klasma.github.io/Logging_2409/kartor/A 36797-2025 karta.png", "A 36797-2025")</f>
        <v/>
      </c>
      <c r="V1082">
        <f>HYPERLINK("https://klasma.github.io/Logging_2409/klagomål/A 36797-2025 FSC-klagomål.docx", "A 36797-2025")</f>
        <v/>
      </c>
      <c r="W1082">
        <f>HYPERLINK("https://klasma.github.io/Logging_2409/klagomålsmail/A 36797-2025 FSC-klagomål mail.docx", "A 36797-2025")</f>
        <v/>
      </c>
      <c r="X1082">
        <f>HYPERLINK("https://klasma.github.io/Logging_2409/tillsyn/A 36797-2025 tillsynsbegäran.docx", "A 36797-2025")</f>
        <v/>
      </c>
      <c r="Y1082">
        <f>HYPERLINK("https://klasma.github.io/Logging_2409/tillsynsmail/A 36797-2025 tillsynsbegäran mail.docx", "A 36797-2025")</f>
        <v/>
      </c>
    </row>
    <row r="1083" ht="15" customHeight="1">
      <c r="A1083" t="inlineStr">
        <is>
          <t>A 36880-2025</t>
        </is>
      </c>
      <c r="B1083" s="1" t="n">
        <v>45874.43534722222</v>
      </c>
      <c r="C1083" s="1" t="n">
        <v>45971</v>
      </c>
      <c r="D1083" t="inlineStr">
        <is>
          <t>VÄSTERBOTTENS LÄN</t>
        </is>
      </c>
      <c r="E1083" t="inlineStr">
        <is>
          <t>UMEÅ</t>
        </is>
      </c>
      <c r="G1083" t="n">
        <v>11.4</v>
      </c>
      <c r="H1083" t="n">
        <v>1</v>
      </c>
      <c r="I1083" t="n">
        <v>0</v>
      </c>
      <c r="J1083" t="n">
        <v>0</v>
      </c>
      <c r="K1083" t="n">
        <v>0</v>
      </c>
      <c r="L1083" t="n">
        <v>0</v>
      </c>
      <c r="M1083" t="n">
        <v>0</v>
      </c>
      <c r="N1083" t="n">
        <v>0</v>
      </c>
      <c r="O1083" t="n">
        <v>0</v>
      </c>
      <c r="P1083" t="n">
        <v>0</v>
      </c>
      <c r="Q1083" t="n">
        <v>1</v>
      </c>
      <c r="R1083" s="2" t="inlineStr">
        <is>
          <t>Vanlig groda</t>
        </is>
      </c>
      <c r="S1083">
        <f>HYPERLINK("https://klasma.github.io/Logging_2480/artfynd/A 36880-2025 artfynd.xlsx", "A 36880-2025")</f>
        <v/>
      </c>
      <c r="T1083">
        <f>HYPERLINK("https://klasma.github.io/Logging_2480/kartor/A 36880-2025 karta.png", "A 36880-2025")</f>
        <v/>
      </c>
      <c r="V1083">
        <f>HYPERLINK("https://klasma.github.io/Logging_2480/klagomål/A 36880-2025 FSC-klagomål.docx", "A 36880-2025")</f>
        <v/>
      </c>
      <c r="W1083">
        <f>HYPERLINK("https://klasma.github.io/Logging_2480/klagomålsmail/A 36880-2025 FSC-klagomål mail.docx", "A 36880-2025")</f>
        <v/>
      </c>
      <c r="X1083">
        <f>HYPERLINK("https://klasma.github.io/Logging_2480/tillsyn/A 36880-2025 tillsynsbegäran.docx", "A 36880-2025")</f>
        <v/>
      </c>
      <c r="Y1083">
        <f>HYPERLINK("https://klasma.github.io/Logging_2480/tillsynsmail/A 36880-2025 tillsynsbegäran mail.docx", "A 36880-2025")</f>
        <v/>
      </c>
    </row>
    <row r="1084" ht="15" customHeight="1">
      <c r="A1084" t="inlineStr">
        <is>
          <t>A 55328-2024</t>
        </is>
      </c>
      <c r="B1084" s="1" t="n">
        <v>45621.67853009259</v>
      </c>
      <c r="C1084" s="1" t="n">
        <v>45971</v>
      </c>
      <c r="D1084" t="inlineStr">
        <is>
          <t>VÄSTERBOTTENS LÄN</t>
        </is>
      </c>
      <c r="E1084" t="inlineStr">
        <is>
          <t>NORSJÖ</t>
        </is>
      </c>
      <c r="F1084" t="inlineStr">
        <is>
          <t>Sveaskog</t>
        </is>
      </c>
      <c r="G1084" t="n">
        <v>5.9</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HYPERLINK("https://klasma.github.io/Logging_2417/artfynd/A 55328-2024 artfynd.xlsx", "A 55328-2024")</f>
        <v/>
      </c>
      <c r="T1084">
        <f>HYPERLINK("https://klasma.github.io/Logging_2417/kartor/A 55328-2024 karta.png", "A 55328-2024")</f>
        <v/>
      </c>
      <c r="V1084">
        <f>HYPERLINK("https://klasma.github.io/Logging_2417/klagomål/A 55328-2024 FSC-klagomål.docx", "A 55328-2024")</f>
        <v/>
      </c>
      <c r="W1084">
        <f>HYPERLINK("https://klasma.github.io/Logging_2417/klagomålsmail/A 55328-2024 FSC-klagomål mail.docx", "A 55328-2024")</f>
        <v/>
      </c>
      <c r="X1084">
        <f>HYPERLINK("https://klasma.github.io/Logging_2417/tillsyn/A 55328-2024 tillsynsbegäran.docx", "A 55328-2024")</f>
        <v/>
      </c>
      <c r="Y1084">
        <f>HYPERLINK("https://klasma.github.io/Logging_2417/tillsynsmail/A 55328-2024 tillsynsbegäran mail.docx", "A 55328-2024")</f>
        <v/>
      </c>
    </row>
    <row r="1085" ht="15" customHeight="1">
      <c r="A1085" t="inlineStr">
        <is>
          <t>A 57851-2022</t>
        </is>
      </c>
      <c r="B1085" s="1" t="n">
        <v>44898</v>
      </c>
      <c r="C1085" s="1" t="n">
        <v>45971</v>
      </c>
      <c r="D1085" t="inlineStr">
        <is>
          <t>VÄSTERBOTTENS LÄN</t>
        </is>
      </c>
      <c r="E1085" t="inlineStr">
        <is>
          <t>SKELLEFTEÅ</t>
        </is>
      </c>
      <c r="F1085" t="inlineStr">
        <is>
          <t>Holmen skog AB</t>
        </is>
      </c>
      <c r="G1085" t="n">
        <v>4.6</v>
      </c>
      <c r="H1085" t="n">
        <v>1</v>
      </c>
      <c r="I1085" t="n">
        <v>0</v>
      </c>
      <c r="J1085" t="n">
        <v>1</v>
      </c>
      <c r="K1085" t="n">
        <v>0</v>
      </c>
      <c r="L1085" t="n">
        <v>0</v>
      </c>
      <c r="M1085" t="n">
        <v>0</v>
      </c>
      <c r="N1085" t="n">
        <v>0</v>
      </c>
      <c r="O1085" t="n">
        <v>1</v>
      </c>
      <c r="P1085" t="n">
        <v>0</v>
      </c>
      <c r="Q1085" t="n">
        <v>1</v>
      </c>
      <c r="R1085" s="2" t="inlineStr">
        <is>
          <t>Utter</t>
        </is>
      </c>
      <c r="S1085">
        <f>HYPERLINK("https://klasma.github.io/Logging_2482/artfynd/A 57851-2022 artfynd.xlsx", "A 57851-2022")</f>
        <v/>
      </c>
      <c r="T1085">
        <f>HYPERLINK("https://klasma.github.io/Logging_2482/kartor/A 57851-2022 karta.png", "A 57851-2022")</f>
        <v/>
      </c>
      <c r="V1085">
        <f>HYPERLINK("https://klasma.github.io/Logging_2482/klagomål/A 57851-2022 FSC-klagomål.docx", "A 57851-2022")</f>
        <v/>
      </c>
      <c r="W1085">
        <f>HYPERLINK("https://klasma.github.io/Logging_2482/klagomålsmail/A 57851-2022 FSC-klagomål mail.docx", "A 57851-2022")</f>
        <v/>
      </c>
      <c r="X1085">
        <f>HYPERLINK("https://klasma.github.io/Logging_2482/tillsyn/A 57851-2022 tillsynsbegäran.docx", "A 57851-2022")</f>
        <v/>
      </c>
      <c r="Y1085">
        <f>HYPERLINK("https://klasma.github.io/Logging_2482/tillsynsmail/A 57851-2022 tillsynsbegäran mail.docx", "A 57851-2022")</f>
        <v/>
      </c>
    </row>
    <row r="1086" ht="15" customHeight="1">
      <c r="A1086" t="inlineStr">
        <is>
          <t>A 37254-2025</t>
        </is>
      </c>
      <c r="B1086" s="1" t="n">
        <v>45875</v>
      </c>
      <c r="C1086" s="1" t="n">
        <v>45971</v>
      </c>
      <c r="D1086" t="inlineStr">
        <is>
          <t>VÄSTERBOTTENS LÄN</t>
        </is>
      </c>
      <c r="E1086" t="inlineStr">
        <is>
          <t>SKELLEFTEÅ</t>
        </is>
      </c>
      <c r="G1086" t="n">
        <v>11.4</v>
      </c>
      <c r="H1086" t="n">
        <v>0</v>
      </c>
      <c r="I1086" t="n">
        <v>0</v>
      </c>
      <c r="J1086" t="n">
        <v>1</v>
      </c>
      <c r="K1086" t="n">
        <v>0</v>
      </c>
      <c r="L1086" t="n">
        <v>0</v>
      </c>
      <c r="M1086" t="n">
        <v>0</v>
      </c>
      <c r="N1086" t="n">
        <v>0</v>
      </c>
      <c r="O1086" t="n">
        <v>1</v>
      </c>
      <c r="P1086" t="n">
        <v>0</v>
      </c>
      <c r="Q1086" t="n">
        <v>1</v>
      </c>
      <c r="R1086" s="2" t="inlineStr">
        <is>
          <t>Äggvaxskivling</t>
        </is>
      </c>
      <c r="S1086">
        <f>HYPERLINK("https://klasma.github.io/Logging_2482/artfynd/A 37254-2025 artfynd.xlsx", "A 37254-2025")</f>
        <v/>
      </c>
      <c r="T1086">
        <f>HYPERLINK("https://klasma.github.io/Logging_2482/kartor/A 37254-2025 karta.png", "A 37254-2025")</f>
        <v/>
      </c>
      <c r="V1086">
        <f>HYPERLINK("https://klasma.github.io/Logging_2482/klagomål/A 37254-2025 FSC-klagomål.docx", "A 37254-2025")</f>
        <v/>
      </c>
      <c r="W1086">
        <f>HYPERLINK("https://klasma.github.io/Logging_2482/klagomålsmail/A 37254-2025 FSC-klagomål mail.docx", "A 37254-2025")</f>
        <v/>
      </c>
      <c r="X1086">
        <f>HYPERLINK("https://klasma.github.io/Logging_2482/tillsyn/A 37254-2025 tillsynsbegäran.docx", "A 37254-2025")</f>
        <v/>
      </c>
      <c r="Y1086">
        <f>HYPERLINK("https://klasma.github.io/Logging_2482/tillsynsmail/A 37254-2025 tillsynsbegäran mail.docx", "A 37254-2025")</f>
        <v/>
      </c>
    </row>
    <row r="1087" ht="15" customHeight="1">
      <c r="A1087" t="inlineStr">
        <is>
          <t>A 4341-2023</t>
        </is>
      </c>
      <c r="B1087" s="1" t="n">
        <v>44953</v>
      </c>
      <c r="C1087" s="1" t="n">
        <v>45971</v>
      </c>
      <c r="D1087" t="inlineStr">
        <is>
          <t>VÄSTERBOTTENS LÄN</t>
        </is>
      </c>
      <c r="E1087" t="inlineStr">
        <is>
          <t>DOROTEA</t>
        </is>
      </c>
      <c r="F1087" t="inlineStr">
        <is>
          <t>SCA</t>
        </is>
      </c>
      <c r="G1087" t="n">
        <v>1.7</v>
      </c>
      <c r="H1087" t="n">
        <v>0</v>
      </c>
      <c r="I1087" t="n">
        <v>1</v>
      </c>
      <c r="J1087" t="n">
        <v>0</v>
      </c>
      <c r="K1087" t="n">
        <v>0</v>
      </c>
      <c r="L1087" t="n">
        <v>0</v>
      </c>
      <c r="M1087" t="n">
        <v>0</v>
      </c>
      <c r="N1087" t="n">
        <v>0</v>
      </c>
      <c r="O1087" t="n">
        <v>0</v>
      </c>
      <c r="P1087" t="n">
        <v>0</v>
      </c>
      <c r="Q1087" t="n">
        <v>1</v>
      </c>
      <c r="R1087" s="2" t="inlineStr">
        <is>
          <t>Luddlav</t>
        </is>
      </c>
      <c r="S1087">
        <f>HYPERLINK("https://klasma.github.io/Logging_2425/artfynd/A 4341-2023 artfynd.xlsx", "A 4341-2023")</f>
        <v/>
      </c>
      <c r="T1087">
        <f>HYPERLINK("https://klasma.github.io/Logging_2425/kartor/A 4341-2023 karta.png", "A 4341-2023")</f>
        <v/>
      </c>
      <c r="V1087">
        <f>HYPERLINK("https://klasma.github.io/Logging_2425/klagomål/A 4341-2023 FSC-klagomål.docx", "A 4341-2023")</f>
        <v/>
      </c>
      <c r="W1087">
        <f>HYPERLINK("https://klasma.github.io/Logging_2425/klagomålsmail/A 4341-2023 FSC-klagomål mail.docx", "A 4341-2023")</f>
        <v/>
      </c>
      <c r="X1087">
        <f>HYPERLINK("https://klasma.github.io/Logging_2425/tillsyn/A 4341-2023 tillsynsbegäran.docx", "A 4341-2023")</f>
        <v/>
      </c>
      <c r="Y1087">
        <f>HYPERLINK("https://klasma.github.io/Logging_2425/tillsynsmail/A 4341-2023 tillsynsbegäran mail.docx", "A 4341-2023")</f>
        <v/>
      </c>
    </row>
    <row r="1088" ht="15" customHeight="1">
      <c r="A1088" t="inlineStr">
        <is>
          <t>A 37568-2025</t>
        </is>
      </c>
      <c r="B1088" s="1" t="n">
        <v>45880.3647337963</v>
      </c>
      <c r="C1088" s="1" t="n">
        <v>45971</v>
      </c>
      <c r="D1088" t="inlineStr">
        <is>
          <t>VÄSTERBOTTENS LÄN</t>
        </is>
      </c>
      <c r="E1088" t="inlineStr">
        <is>
          <t>ÅSELE</t>
        </is>
      </c>
      <c r="F1088" t="inlineStr">
        <is>
          <t>Kyrkan</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HYPERLINK("https://klasma.github.io/Logging_2463/artfynd/A 37568-2025 artfynd.xlsx", "A 37568-2025")</f>
        <v/>
      </c>
      <c r="T1088">
        <f>HYPERLINK("https://klasma.github.io/Logging_2463/kartor/A 37568-2025 karta.png", "A 37568-2025")</f>
        <v/>
      </c>
      <c r="V1088">
        <f>HYPERLINK("https://klasma.github.io/Logging_2463/klagomål/A 37568-2025 FSC-klagomål.docx", "A 37568-2025")</f>
        <v/>
      </c>
      <c r="W1088">
        <f>HYPERLINK("https://klasma.github.io/Logging_2463/klagomålsmail/A 37568-2025 FSC-klagomål mail.docx", "A 37568-2025")</f>
        <v/>
      </c>
      <c r="X1088">
        <f>HYPERLINK("https://klasma.github.io/Logging_2463/tillsyn/A 37568-2025 tillsynsbegäran.docx", "A 37568-2025")</f>
        <v/>
      </c>
      <c r="Y1088">
        <f>HYPERLINK("https://klasma.github.io/Logging_2463/tillsynsmail/A 37568-2025 tillsynsbegäran mail.docx", "A 37568-2025")</f>
        <v/>
      </c>
    </row>
    <row r="1089" ht="15" customHeight="1">
      <c r="A1089" t="inlineStr">
        <is>
          <t>A 32677-2021</t>
        </is>
      </c>
      <c r="B1089" s="1" t="n">
        <v>44371</v>
      </c>
      <c r="C1089" s="1" t="n">
        <v>45971</v>
      </c>
      <c r="D1089" t="inlineStr">
        <is>
          <t>VÄSTERBOTTENS LÄN</t>
        </is>
      </c>
      <c r="E1089" t="inlineStr">
        <is>
          <t>VILHELMINA</t>
        </is>
      </c>
      <c r="G1089" t="n">
        <v>9.699999999999999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32677-2021 artfynd.xlsx", "A 32677-2021")</f>
        <v/>
      </c>
      <c r="T1089">
        <f>HYPERLINK("https://klasma.github.io/Logging_2462/kartor/A 32677-2021 karta.png", "A 32677-2021")</f>
        <v/>
      </c>
      <c r="V1089">
        <f>HYPERLINK("https://klasma.github.io/Logging_2462/klagomål/A 32677-2021 FSC-klagomål.docx", "A 32677-2021")</f>
        <v/>
      </c>
      <c r="W1089">
        <f>HYPERLINK("https://klasma.github.io/Logging_2462/klagomålsmail/A 32677-2021 FSC-klagomål mail.docx", "A 32677-2021")</f>
        <v/>
      </c>
      <c r="X1089">
        <f>HYPERLINK("https://klasma.github.io/Logging_2462/tillsyn/A 32677-2021 tillsynsbegäran.docx", "A 32677-2021")</f>
        <v/>
      </c>
      <c r="Y1089">
        <f>HYPERLINK("https://klasma.github.io/Logging_2462/tillsynsmail/A 32677-2021 tillsynsbegäran mail.docx", "A 32677-2021")</f>
        <v/>
      </c>
      <c r="Z1089">
        <f>HYPERLINK("https://klasma.github.io/Logging_2462/fåglar/A 32677-2021 prioriterade fågelarter.docx", "A 32677-2021")</f>
        <v/>
      </c>
    </row>
    <row r="1090" ht="15" customHeight="1">
      <c r="A1090" t="inlineStr">
        <is>
          <t>A 6210-2021</t>
        </is>
      </c>
      <c r="B1090" s="1" t="n">
        <v>44232</v>
      </c>
      <c r="C1090" s="1" t="n">
        <v>45971</v>
      </c>
      <c r="D1090" t="inlineStr">
        <is>
          <t>VÄSTERBOTTENS LÄN</t>
        </is>
      </c>
      <c r="E1090" t="inlineStr">
        <is>
          <t>STORUMAN</t>
        </is>
      </c>
      <c r="G1090" t="n">
        <v>14</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6210-2021 artfynd.xlsx", "A 6210-2021")</f>
        <v/>
      </c>
      <c r="T1090">
        <f>HYPERLINK("https://klasma.github.io/Logging_2421/kartor/A 6210-2021 karta.png", "A 6210-2021")</f>
        <v/>
      </c>
      <c r="V1090">
        <f>HYPERLINK("https://klasma.github.io/Logging_2421/klagomål/A 6210-2021 FSC-klagomål.docx", "A 6210-2021")</f>
        <v/>
      </c>
      <c r="W1090">
        <f>HYPERLINK("https://klasma.github.io/Logging_2421/klagomålsmail/A 6210-2021 FSC-klagomål mail.docx", "A 6210-2021")</f>
        <v/>
      </c>
      <c r="X1090">
        <f>HYPERLINK("https://klasma.github.io/Logging_2421/tillsyn/A 6210-2021 tillsynsbegäran.docx", "A 6210-2021")</f>
        <v/>
      </c>
      <c r="Y1090">
        <f>HYPERLINK("https://klasma.github.io/Logging_2421/tillsynsmail/A 6210-2021 tillsynsbegäran mail.docx", "A 6210-2021")</f>
        <v/>
      </c>
    </row>
    <row r="1091" ht="15" customHeight="1">
      <c r="A1091" t="inlineStr">
        <is>
          <t>A 67790-2021</t>
        </is>
      </c>
      <c r="B1091" s="1" t="n">
        <v>44526</v>
      </c>
      <c r="C1091" s="1" t="n">
        <v>45971</v>
      </c>
      <c r="D1091" t="inlineStr">
        <is>
          <t>VÄSTERBOTTENS LÄN</t>
        </is>
      </c>
      <c r="E1091" t="inlineStr">
        <is>
          <t>DOROTEA</t>
        </is>
      </c>
      <c r="F1091" t="inlineStr">
        <is>
          <t>Övriga statliga verk och myndigheter</t>
        </is>
      </c>
      <c r="G1091" t="n">
        <v>3.2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HYPERLINK("https://klasma.github.io/Logging_2425/artfynd/A 67790-2021 artfynd.xlsx", "A 67790-2021")</f>
        <v/>
      </c>
      <c r="T1091">
        <f>HYPERLINK("https://klasma.github.io/Logging_2425/kartor/A 67790-2021 karta.png", "A 67790-2021")</f>
        <v/>
      </c>
      <c r="V1091">
        <f>HYPERLINK("https://klasma.github.io/Logging_2425/klagomål/A 67790-2021 FSC-klagomål.docx", "A 67790-2021")</f>
        <v/>
      </c>
      <c r="W1091">
        <f>HYPERLINK("https://klasma.github.io/Logging_2425/klagomålsmail/A 67790-2021 FSC-klagomål mail.docx", "A 67790-2021")</f>
        <v/>
      </c>
      <c r="X1091">
        <f>HYPERLINK("https://klasma.github.io/Logging_2425/tillsyn/A 67790-2021 tillsynsbegäran.docx", "A 67790-2021")</f>
        <v/>
      </c>
      <c r="Y1091">
        <f>HYPERLINK("https://klasma.github.io/Logging_2425/tillsynsmail/A 67790-2021 tillsynsbegäran mail.docx", "A 67790-2021")</f>
        <v/>
      </c>
      <c r="Z1091">
        <f>HYPERLINK("https://klasma.github.io/Logging_2425/fåglar/A 67790-2021 prioriterade fågelarter.docx", "A 67790-2021")</f>
        <v/>
      </c>
    </row>
    <row r="1092" ht="15" customHeight="1">
      <c r="A1092" t="inlineStr">
        <is>
          <t>A 19153-2023</t>
        </is>
      </c>
      <c r="B1092" s="1" t="n">
        <v>45044</v>
      </c>
      <c r="C1092" s="1" t="n">
        <v>45971</v>
      </c>
      <c r="D1092" t="inlineStr">
        <is>
          <t>VÄSTERBOTTENS LÄN</t>
        </is>
      </c>
      <c r="E1092" t="inlineStr">
        <is>
          <t>STORUMAN</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HYPERLINK("https://klasma.github.io/Logging_2421/artfynd/A 19153-2023 artfynd.xlsx", "A 19153-2023")</f>
        <v/>
      </c>
      <c r="T1092">
        <f>HYPERLINK("https://klasma.github.io/Logging_2421/kartor/A 19153-2023 karta.png", "A 19153-2023")</f>
        <v/>
      </c>
      <c r="V1092">
        <f>HYPERLINK("https://klasma.github.io/Logging_2421/klagomål/A 19153-2023 FSC-klagomål.docx", "A 19153-2023")</f>
        <v/>
      </c>
      <c r="W1092">
        <f>HYPERLINK("https://klasma.github.io/Logging_2421/klagomålsmail/A 19153-2023 FSC-klagomål mail.docx", "A 19153-2023")</f>
        <v/>
      </c>
      <c r="X1092">
        <f>HYPERLINK("https://klasma.github.io/Logging_2421/tillsyn/A 19153-2023 tillsynsbegäran.docx", "A 19153-2023")</f>
        <v/>
      </c>
      <c r="Y1092">
        <f>HYPERLINK("https://klasma.github.io/Logging_2421/tillsynsmail/A 19153-2023 tillsynsbegäran mail.docx", "A 19153-2023")</f>
        <v/>
      </c>
    </row>
    <row r="1093" ht="15" customHeight="1">
      <c r="A1093" t="inlineStr">
        <is>
          <t>A 45754-2025</t>
        </is>
      </c>
      <c r="B1093" s="1" t="n">
        <v>45923.50239583333</v>
      </c>
      <c r="C1093" s="1" t="n">
        <v>45971</v>
      </c>
      <c r="D1093" t="inlineStr">
        <is>
          <t>VÄSTERBOTTENS LÄN</t>
        </is>
      </c>
      <c r="E1093" t="inlineStr">
        <is>
          <t>STORUMAN</t>
        </is>
      </c>
      <c r="G1093" t="n">
        <v>16.2</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45754-2025 artfynd.xlsx", "A 45754-2025")</f>
        <v/>
      </c>
      <c r="T1093">
        <f>HYPERLINK("https://klasma.github.io/Logging_2421/kartor/A 45754-2025 karta.png", "A 45754-2025")</f>
        <v/>
      </c>
      <c r="V1093">
        <f>HYPERLINK("https://klasma.github.io/Logging_2421/klagomål/A 45754-2025 FSC-klagomål.docx", "A 45754-2025")</f>
        <v/>
      </c>
      <c r="W1093">
        <f>HYPERLINK("https://klasma.github.io/Logging_2421/klagomålsmail/A 45754-2025 FSC-klagomål mail.docx", "A 45754-2025")</f>
        <v/>
      </c>
      <c r="X1093">
        <f>HYPERLINK("https://klasma.github.io/Logging_2421/tillsyn/A 45754-2025 tillsynsbegäran.docx", "A 45754-2025")</f>
        <v/>
      </c>
      <c r="Y1093">
        <f>HYPERLINK("https://klasma.github.io/Logging_2421/tillsynsmail/A 45754-2025 tillsynsbegäran mail.docx", "A 45754-2025")</f>
        <v/>
      </c>
      <c r="Z1093">
        <f>HYPERLINK("https://klasma.github.io/Logging_2421/fåglar/A 45754-2025 prioriterade fågelarter.docx", "A 45754-2025")</f>
        <v/>
      </c>
    </row>
    <row r="1094" ht="15" customHeight="1">
      <c r="A1094" t="inlineStr">
        <is>
          <t>A 37828-2025</t>
        </is>
      </c>
      <c r="B1094" s="1" t="n">
        <v>45881.41111111111</v>
      </c>
      <c r="C1094" s="1" t="n">
        <v>45971</v>
      </c>
      <c r="D1094" t="inlineStr">
        <is>
          <t>VÄSTERBOTTENS LÄN</t>
        </is>
      </c>
      <c r="E1094" t="inlineStr">
        <is>
          <t>LYCKSELE</t>
        </is>
      </c>
      <c r="F1094" t="inlineStr">
        <is>
          <t>Sveaskog</t>
        </is>
      </c>
      <c r="G1094" t="n">
        <v>28.4</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37828-2025 artfynd.xlsx", "A 37828-2025")</f>
        <v/>
      </c>
      <c r="T1094">
        <f>HYPERLINK("https://klasma.github.io/Logging_2481/kartor/A 37828-2025 karta.png", "A 37828-2025")</f>
        <v/>
      </c>
      <c r="V1094">
        <f>HYPERLINK("https://klasma.github.io/Logging_2481/klagomål/A 37828-2025 FSC-klagomål.docx", "A 37828-2025")</f>
        <v/>
      </c>
      <c r="W1094">
        <f>HYPERLINK("https://klasma.github.io/Logging_2481/klagomålsmail/A 37828-2025 FSC-klagomål mail.docx", "A 37828-2025")</f>
        <v/>
      </c>
      <c r="X1094">
        <f>HYPERLINK("https://klasma.github.io/Logging_2481/tillsyn/A 37828-2025 tillsynsbegäran.docx", "A 37828-2025")</f>
        <v/>
      </c>
      <c r="Y1094">
        <f>HYPERLINK("https://klasma.github.io/Logging_2481/tillsynsmail/A 37828-2025 tillsynsbegäran mail.docx", "A 37828-2025")</f>
        <v/>
      </c>
    </row>
    <row r="1095" ht="15" customHeight="1">
      <c r="A1095" t="inlineStr">
        <is>
          <t>A 45376-2024</t>
        </is>
      </c>
      <c r="B1095" s="1" t="n">
        <v>45576.51907407407</v>
      </c>
      <c r="C1095" s="1" t="n">
        <v>45971</v>
      </c>
      <c r="D1095" t="inlineStr">
        <is>
          <t>VÄSTERBOTTENS LÄN</t>
        </is>
      </c>
      <c r="E1095" t="inlineStr">
        <is>
          <t>SKELLEFTEÅ</t>
        </is>
      </c>
      <c r="G1095" t="n">
        <v>1.2</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45376-2024 artfynd.xlsx", "A 45376-2024")</f>
        <v/>
      </c>
      <c r="T1095">
        <f>HYPERLINK("https://klasma.github.io/Logging_2482/kartor/A 45376-2024 karta.png", "A 45376-2024")</f>
        <v/>
      </c>
      <c r="V1095">
        <f>HYPERLINK("https://klasma.github.io/Logging_2482/klagomål/A 45376-2024 FSC-klagomål.docx", "A 45376-2024")</f>
        <v/>
      </c>
      <c r="W1095">
        <f>HYPERLINK("https://klasma.github.io/Logging_2482/klagomålsmail/A 45376-2024 FSC-klagomål mail.docx", "A 45376-2024")</f>
        <v/>
      </c>
      <c r="X1095">
        <f>HYPERLINK("https://klasma.github.io/Logging_2482/tillsyn/A 45376-2024 tillsynsbegäran.docx", "A 45376-2024")</f>
        <v/>
      </c>
      <c r="Y1095">
        <f>HYPERLINK("https://klasma.github.io/Logging_2482/tillsynsmail/A 45376-2024 tillsynsbegäran mail.docx", "A 45376-2024")</f>
        <v/>
      </c>
    </row>
    <row r="1096" ht="15" customHeight="1">
      <c r="A1096" t="inlineStr">
        <is>
          <t>A 3826-2023</t>
        </is>
      </c>
      <c r="B1096" s="1" t="n">
        <v>44950</v>
      </c>
      <c r="C1096" s="1" t="n">
        <v>45971</v>
      </c>
      <c r="D1096" t="inlineStr">
        <is>
          <t>VÄSTERBOTTENS LÄN</t>
        </is>
      </c>
      <c r="E1096" t="inlineStr">
        <is>
          <t>STORUMAN</t>
        </is>
      </c>
      <c r="G1096" t="n">
        <v>0.7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HYPERLINK("https://klasma.github.io/Logging_2421/artfynd/A 3826-2023 artfynd.xlsx", "A 3826-2023")</f>
        <v/>
      </c>
      <c r="T1096">
        <f>HYPERLINK("https://klasma.github.io/Logging_2421/kartor/A 3826-2023 karta.png", "A 3826-2023")</f>
        <v/>
      </c>
      <c r="V1096">
        <f>HYPERLINK("https://klasma.github.io/Logging_2421/klagomål/A 3826-2023 FSC-klagomål.docx", "A 3826-2023")</f>
        <v/>
      </c>
      <c r="W1096">
        <f>HYPERLINK("https://klasma.github.io/Logging_2421/klagomålsmail/A 3826-2023 FSC-klagomål mail.docx", "A 3826-2023")</f>
        <v/>
      </c>
      <c r="X1096">
        <f>HYPERLINK("https://klasma.github.io/Logging_2421/tillsyn/A 3826-2023 tillsynsbegäran.docx", "A 3826-2023")</f>
        <v/>
      </c>
      <c r="Y1096">
        <f>HYPERLINK("https://klasma.github.io/Logging_2421/tillsynsmail/A 3826-2023 tillsynsbegäran mail.docx", "A 3826-2023")</f>
        <v/>
      </c>
      <c r="Z1096">
        <f>HYPERLINK("https://klasma.github.io/Logging_2421/fåglar/A 3826-2023 prioriterade fågelarter.docx", "A 3826-2023")</f>
        <v/>
      </c>
    </row>
    <row r="1097" ht="15" customHeight="1">
      <c r="A1097" t="inlineStr">
        <is>
          <t>A 42132-2024</t>
        </is>
      </c>
      <c r="B1097" s="1" t="n">
        <v>45562</v>
      </c>
      <c r="C1097" s="1" t="n">
        <v>45971</v>
      </c>
      <c r="D1097" t="inlineStr">
        <is>
          <t>VÄSTERBOTTENS LÄN</t>
        </is>
      </c>
      <c r="E1097" t="inlineStr">
        <is>
          <t>ÅSELE</t>
        </is>
      </c>
      <c r="F1097" t="inlineStr">
        <is>
          <t>Holmen skog AB</t>
        </is>
      </c>
      <c r="G1097" t="n">
        <v>18.5</v>
      </c>
      <c r="H1097" t="n">
        <v>0</v>
      </c>
      <c r="I1097" t="n">
        <v>0</v>
      </c>
      <c r="J1097" t="n">
        <v>1</v>
      </c>
      <c r="K1097" t="n">
        <v>0</v>
      </c>
      <c r="L1097" t="n">
        <v>0</v>
      </c>
      <c r="M1097" t="n">
        <v>0</v>
      </c>
      <c r="N1097" t="n">
        <v>0</v>
      </c>
      <c r="O1097" t="n">
        <v>1</v>
      </c>
      <c r="P1097" t="n">
        <v>0</v>
      </c>
      <c r="Q1097" t="n">
        <v>1</v>
      </c>
      <c r="R1097" s="2" t="inlineStr">
        <is>
          <t>Kolflarnlav</t>
        </is>
      </c>
      <c r="S1097">
        <f>HYPERLINK("https://klasma.github.io/Logging_2463/artfynd/A 42132-2024 artfynd.xlsx", "A 42132-2024")</f>
        <v/>
      </c>
      <c r="T1097">
        <f>HYPERLINK("https://klasma.github.io/Logging_2463/kartor/A 42132-2024 karta.png", "A 42132-2024")</f>
        <v/>
      </c>
      <c r="V1097">
        <f>HYPERLINK("https://klasma.github.io/Logging_2463/klagomål/A 42132-2024 FSC-klagomål.docx", "A 42132-2024")</f>
        <v/>
      </c>
      <c r="W1097">
        <f>HYPERLINK("https://klasma.github.io/Logging_2463/klagomålsmail/A 42132-2024 FSC-klagomål mail.docx", "A 42132-2024")</f>
        <v/>
      </c>
      <c r="X1097">
        <f>HYPERLINK("https://klasma.github.io/Logging_2463/tillsyn/A 42132-2024 tillsynsbegäran.docx", "A 42132-2024")</f>
        <v/>
      </c>
      <c r="Y1097">
        <f>HYPERLINK("https://klasma.github.io/Logging_2463/tillsynsmail/A 42132-2024 tillsynsbegäran mail.docx", "A 42132-2024")</f>
        <v/>
      </c>
    </row>
    <row r="1098" ht="15" customHeight="1">
      <c r="A1098" t="inlineStr">
        <is>
          <t>A 45429-2024</t>
        </is>
      </c>
      <c r="B1098" s="1" t="n">
        <v>45576</v>
      </c>
      <c r="C1098" s="1" t="n">
        <v>45971</v>
      </c>
      <c r="D1098" t="inlineStr">
        <is>
          <t>VÄSTERBOTTENS LÄN</t>
        </is>
      </c>
      <c r="E1098" t="inlineStr">
        <is>
          <t>UMEÅ</t>
        </is>
      </c>
      <c r="F1098" t="inlineStr">
        <is>
          <t>Sveaskog</t>
        </is>
      </c>
      <c r="G1098" t="n">
        <v>11.5</v>
      </c>
      <c r="H1098" t="n">
        <v>0</v>
      </c>
      <c r="I1098" t="n">
        <v>0</v>
      </c>
      <c r="J1098" t="n">
        <v>1</v>
      </c>
      <c r="K1098" t="n">
        <v>0</v>
      </c>
      <c r="L1098" t="n">
        <v>0</v>
      </c>
      <c r="M1098" t="n">
        <v>0</v>
      </c>
      <c r="N1098" t="n">
        <v>0</v>
      </c>
      <c r="O1098" t="n">
        <v>1</v>
      </c>
      <c r="P1098" t="n">
        <v>0</v>
      </c>
      <c r="Q1098" t="n">
        <v>1</v>
      </c>
      <c r="R1098" s="2" t="inlineStr">
        <is>
          <t>Motaggsvamp</t>
        </is>
      </c>
      <c r="S1098">
        <f>HYPERLINK("https://klasma.github.io/Logging_2480/artfynd/A 45429-2024 artfynd.xlsx", "A 45429-2024")</f>
        <v/>
      </c>
      <c r="T1098">
        <f>HYPERLINK("https://klasma.github.io/Logging_2480/kartor/A 45429-2024 karta.png", "A 45429-2024")</f>
        <v/>
      </c>
      <c r="V1098">
        <f>HYPERLINK("https://klasma.github.io/Logging_2480/klagomål/A 45429-2024 FSC-klagomål.docx", "A 45429-2024")</f>
        <v/>
      </c>
      <c r="W1098">
        <f>HYPERLINK("https://klasma.github.io/Logging_2480/klagomålsmail/A 45429-2024 FSC-klagomål mail.docx", "A 45429-2024")</f>
        <v/>
      </c>
      <c r="X1098">
        <f>HYPERLINK("https://klasma.github.io/Logging_2480/tillsyn/A 45429-2024 tillsynsbegäran.docx", "A 45429-2024")</f>
        <v/>
      </c>
      <c r="Y1098">
        <f>HYPERLINK("https://klasma.github.io/Logging_2480/tillsynsmail/A 45429-2024 tillsynsbegäran mail.docx", "A 45429-2024")</f>
        <v/>
      </c>
    </row>
    <row r="1099" ht="15" customHeight="1">
      <c r="A1099" t="inlineStr">
        <is>
          <t>A 41776-2024</t>
        </is>
      </c>
      <c r="B1099" s="1" t="n">
        <v>45561.34743055556</v>
      </c>
      <c r="C1099" s="1" t="n">
        <v>45971</v>
      </c>
      <c r="D1099" t="inlineStr">
        <is>
          <t>VÄSTERBOTTENS LÄN</t>
        </is>
      </c>
      <c r="E1099" t="inlineStr">
        <is>
          <t>LYCKSELE</t>
        </is>
      </c>
      <c r="F1099" t="inlineStr">
        <is>
          <t>Sveaskog</t>
        </is>
      </c>
      <c r="G1099" t="n">
        <v>1.1</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41776-2024 artfynd.xlsx", "A 41776-2024")</f>
        <v/>
      </c>
      <c r="T1099">
        <f>HYPERLINK("https://klasma.github.io/Logging_2481/kartor/A 41776-2024 karta.png", "A 41776-2024")</f>
        <v/>
      </c>
      <c r="V1099">
        <f>HYPERLINK("https://klasma.github.io/Logging_2481/klagomål/A 41776-2024 FSC-klagomål.docx", "A 41776-2024")</f>
        <v/>
      </c>
      <c r="W1099">
        <f>HYPERLINK("https://klasma.github.io/Logging_2481/klagomålsmail/A 41776-2024 FSC-klagomål mail.docx", "A 41776-2024")</f>
        <v/>
      </c>
      <c r="X1099">
        <f>HYPERLINK("https://klasma.github.io/Logging_2481/tillsyn/A 41776-2024 tillsynsbegäran.docx", "A 41776-2024")</f>
        <v/>
      </c>
      <c r="Y1099">
        <f>HYPERLINK("https://klasma.github.io/Logging_2481/tillsynsmail/A 41776-2024 tillsynsbegäran mail.docx", "A 41776-2024")</f>
        <v/>
      </c>
    </row>
    <row r="1100" ht="15" customHeight="1">
      <c r="A1100" t="inlineStr">
        <is>
          <t>A 48741-2025</t>
        </is>
      </c>
      <c r="B1100" s="1" t="n">
        <v>45936</v>
      </c>
      <c r="C1100" s="1" t="n">
        <v>45971</v>
      </c>
      <c r="D1100" t="inlineStr">
        <is>
          <t>VÄSTERBOTTENS LÄN</t>
        </is>
      </c>
      <c r="E1100" t="inlineStr">
        <is>
          <t>VILHELMINA</t>
        </is>
      </c>
      <c r="F1100" t="inlineStr">
        <is>
          <t>SCA</t>
        </is>
      </c>
      <c r="G1100" t="n">
        <v>4.6</v>
      </c>
      <c r="H1100" t="n">
        <v>0</v>
      </c>
      <c r="I1100" t="n">
        <v>0</v>
      </c>
      <c r="J1100" t="n">
        <v>1</v>
      </c>
      <c r="K1100" t="n">
        <v>0</v>
      </c>
      <c r="L1100" t="n">
        <v>0</v>
      </c>
      <c r="M1100" t="n">
        <v>0</v>
      </c>
      <c r="N1100" t="n">
        <v>0</v>
      </c>
      <c r="O1100" t="n">
        <v>1</v>
      </c>
      <c r="P1100" t="n">
        <v>0</v>
      </c>
      <c r="Q1100" t="n">
        <v>1</v>
      </c>
      <c r="R1100" s="2" t="inlineStr">
        <is>
          <t>Ullticka</t>
        </is>
      </c>
      <c r="S1100">
        <f>HYPERLINK("https://klasma.github.io/Logging_2462/artfynd/A 48741-2025 artfynd.xlsx", "A 48741-2025")</f>
        <v/>
      </c>
      <c r="T1100">
        <f>HYPERLINK("https://klasma.github.io/Logging_2462/kartor/A 48741-2025 karta.png", "A 48741-2025")</f>
        <v/>
      </c>
      <c r="V1100">
        <f>HYPERLINK("https://klasma.github.io/Logging_2462/klagomål/A 48741-2025 FSC-klagomål.docx", "A 48741-2025")</f>
        <v/>
      </c>
      <c r="W1100">
        <f>HYPERLINK("https://klasma.github.io/Logging_2462/klagomålsmail/A 48741-2025 FSC-klagomål mail.docx", "A 48741-2025")</f>
        <v/>
      </c>
      <c r="X1100">
        <f>HYPERLINK("https://klasma.github.io/Logging_2462/tillsyn/A 48741-2025 tillsynsbegäran.docx", "A 48741-2025")</f>
        <v/>
      </c>
      <c r="Y1100">
        <f>HYPERLINK("https://klasma.github.io/Logging_2462/tillsynsmail/A 48741-2025 tillsynsbegäran mail.docx", "A 48741-2025")</f>
        <v/>
      </c>
    </row>
    <row r="1101" ht="15" customHeight="1">
      <c r="A1101" t="inlineStr">
        <is>
          <t>A 46731-2025</t>
        </is>
      </c>
      <c r="B1101" s="1" t="n">
        <v>45926.59231481481</v>
      </c>
      <c r="C1101" s="1" t="n">
        <v>45971</v>
      </c>
      <c r="D1101" t="inlineStr">
        <is>
          <t>VÄSTERBOTTENS LÄN</t>
        </is>
      </c>
      <c r="E1101" t="inlineStr">
        <is>
          <t>SKELLEFTEÅ</t>
        </is>
      </c>
      <c r="F1101" t="inlineStr">
        <is>
          <t>Sveaskog</t>
        </is>
      </c>
      <c r="G1101" t="n">
        <v>17</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46731-2025 artfynd.xlsx", "A 46731-2025")</f>
        <v/>
      </c>
      <c r="T1101">
        <f>HYPERLINK("https://klasma.github.io/Logging_2482/kartor/A 46731-2025 karta.png", "A 46731-2025")</f>
        <v/>
      </c>
      <c r="V1101">
        <f>HYPERLINK("https://klasma.github.io/Logging_2482/klagomål/A 46731-2025 FSC-klagomål.docx", "A 46731-2025")</f>
        <v/>
      </c>
      <c r="W1101">
        <f>HYPERLINK("https://klasma.github.io/Logging_2482/klagomålsmail/A 46731-2025 FSC-klagomål mail.docx", "A 46731-2025")</f>
        <v/>
      </c>
      <c r="X1101">
        <f>HYPERLINK("https://klasma.github.io/Logging_2482/tillsyn/A 46731-2025 tillsynsbegäran.docx", "A 46731-2025")</f>
        <v/>
      </c>
      <c r="Y1101">
        <f>HYPERLINK("https://klasma.github.io/Logging_2482/tillsynsmail/A 46731-2025 tillsynsbegäran mail.docx", "A 46731-2025")</f>
        <v/>
      </c>
    </row>
    <row r="1102" ht="15" customHeight="1">
      <c r="A1102" t="inlineStr">
        <is>
          <t>A 46743-2025</t>
        </is>
      </c>
      <c r="B1102" s="1" t="n">
        <v>45926</v>
      </c>
      <c r="C1102" s="1" t="n">
        <v>45971</v>
      </c>
      <c r="D1102" t="inlineStr">
        <is>
          <t>VÄSTERBOTTENS LÄN</t>
        </is>
      </c>
      <c r="E1102" t="inlineStr">
        <is>
          <t>ROBERTSFORS</t>
        </is>
      </c>
      <c r="G1102" t="n">
        <v>1.8</v>
      </c>
      <c r="H1102" t="n">
        <v>0</v>
      </c>
      <c r="I1102" t="n">
        <v>0</v>
      </c>
      <c r="J1102" t="n">
        <v>1</v>
      </c>
      <c r="K1102" t="n">
        <v>0</v>
      </c>
      <c r="L1102" t="n">
        <v>0</v>
      </c>
      <c r="M1102" t="n">
        <v>0</v>
      </c>
      <c r="N1102" t="n">
        <v>0</v>
      </c>
      <c r="O1102" t="n">
        <v>1</v>
      </c>
      <c r="P1102" t="n">
        <v>0</v>
      </c>
      <c r="Q1102" t="n">
        <v>1</v>
      </c>
      <c r="R1102" s="2" t="inlineStr">
        <is>
          <t>Granticka</t>
        </is>
      </c>
      <c r="S1102">
        <f>HYPERLINK("https://klasma.github.io/Logging_2409/artfynd/A 46743-2025 artfynd.xlsx", "A 46743-2025")</f>
        <v/>
      </c>
      <c r="T1102">
        <f>HYPERLINK("https://klasma.github.io/Logging_2409/kartor/A 46743-2025 karta.png", "A 46743-2025")</f>
        <v/>
      </c>
      <c r="V1102">
        <f>HYPERLINK("https://klasma.github.io/Logging_2409/klagomål/A 46743-2025 FSC-klagomål.docx", "A 46743-2025")</f>
        <v/>
      </c>
      <c r="W1102">
        <f>HYPERLINK("https://klasma.github.io/Logging_2409/klagomålsmail/A 46743-2025 FSC-klagomål mail.docx", "A 46743-2025")</f>
        <v/>
      </c>
      <c r="X1102">
        <f>HYPERLINK("https://klasma.github.io/Logging_2409/tillsyn/A 46743-2025 tillsynsbegäran.docx", "A 46743-2025")</f>
        <v/>
      </c>
      <c r="Y1102">
        <f>HYPERLINK("https://klasma.github.io/Logging_2409/tillsynsmail/A 46743-2025 tillsynsbegäran mail.docx", "A 46743-2025")</f>
        <v/>
      </c>
    </row>
    <row r="1103" ht="15" customHeight="1">
      <c r="A1103" t="inlineStr">
        <is>
          <t>A 54875-2025</t>
        </is>
      </c>
      <c r="B1103" s="1" t="n">
        <v>45967.31410879629</v>
      </c>
      <c r="C1103" s="1" t="n">
        <v>45971</v>
      </c>
      <c r="D1103" t="inlineStr">
        <is>
          <t>VÄSTERBOTTENS LÄN</t>
        </is>
      </c>
      <c r="E1103" t="inlineStr">
        <is>
          <t>ROBERTSFORS</t>
        </is>
      </c>
      <c r="G1103" t="n">
        <v>6</v>
      </c>
      <c r="H1103" t="n">
        <v>1</v>
      </c>
      <c r="I1103" t="n">
        <v>0</v>
      </c>
      <c r="J1103" t="n">
        <v>0</v>
      </c>
      <c r="K1103" t="n">
        <v>0</v>
      </c>
      <c r="L1103" t="n">
        <v>0</v>
      </c>
      <c r="M1103" t="n">
        <v>0</v>
      </c>
      <c r="N1103" t="n">
        <v>0</v>
      </c>
      <c r="O1103" t="n">
        <v>0</v>
      </c>
      <c r="P1103" t="n">
        <v>0</v>
      </c>
      <c r="Q1103" t="n">
        <v>1</v>
      </c>
      <c r="R1103" s="2" t="inlineStr">
        <is>
          <t>Tjäder</t>
        </is>
      </c>
      <c r="S1103">
        <f>HYPERLINK("https://klasma.github.io/Logging_2409/artfynd/A 54875-2025 artfynd.xlsx", "A 54875-2025")</f>
        <v/>
      </c>
      <c r="T1103">
        <f>HYPERLINK("https://klasma.github.io/Logging_2409/kartor/A 54875-2025 karta.png", "A 54875-2025")</f>
        <v/>
      </c>
      <c r="V1103">
        <f>HYPERLINK("https://klasma.github.io/Logging_2409/klagomål/A 54875-2025 FSC-klagomål.docx", "A 54875-2025")</f>
        <v/>
      </c>
      <c r="W1103">
        <f>HYPERLINK("https://klasma.github.io/Logging_2409/klagomålsmail/A 54875-2025 FSC-klagomål mail.docx", "A 54875-2025")</f>
        <v/>
      </c>
      <c r="X1103">
        <f>HYPERLINK("https://klasma.github.io/Logging_2409/tillsyn/A 54875-2025 tillsynsbegäran.docx", "A 54875-2025")</f>
        <v/>
      </c>
      <c r="Y1103">
        <f>HYPERLINK("https://klasma.github.io/Logging_2409/tillsynsmail/A 54875-2025 tillsynsbegäran mail.docx", "A 54875-2025")</f>
        <v/>
      </c>
      <c r="Z1103">
        <f>HYPERLINK("https://klasma.github.io/Logging_2409/fåglar/A 54875-2025 prioriterade fågelarter.docx", "A 54875-2025")</f>
        <v/>
      </c>
    </row>
    <row r="1104" ht="15" customHeight="1">
      <c r="A1104" t="inlineStr">
        <is>
          <t>A 46249-2025</t>
        </is>
      </c>
      <c r="B1104" s="1" t="n">
        <v>45925.34439814815</v>
      </c>
      <c r="C1104" s="1" t="n">
        <v>45971</v>
      </c>
      <c r="D1104" t="inlineStr">
        <is>
          <t>VÄSTERBOTTENS LÄN</t>
        </is>
      </c>
      <c r="E1104" t="inlineStr">
        <is>
          <t>ÅSELE</t>
        </is>
      </c>
      <c r="F1104" t="inlineStr">
        <is>
          <t>SCA</t>
        </is>
      </c>
      <c r="G1104" t="n">
        <v>16.1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HYPERLINK("https://klasma.github.io/Logging_2463/artfynd/A 46249-2025 artfynd.xlsx", "A 46249-2025")</f>
        <v/>
      </c>
      <c r="T1104">
        <f>HYPERLINK("https://klasma.github.io/Logging_2463/kartor/A 46249-2025 karta.png", "A 46249-2025")</f>
        <v/>
      </c>
      <c r="V1104">
        <f>HYPERLINK("https://klasma.github.io/Logging_2463/klagomål/A 46249-2025 FSC-klagomål.docx", "A 46249-2025")</f>
        <v/>
      </c>
      <c r="W1104">
        <f>HYPERLINK("https://klasma.github.io/Logging_2463/klagomålsmail/A 46249-2025 FSC-klagomål mail.docx", "A 46249-2025")</f>
        <v/>
      </c>
      <c r="X1104">
        <f>HYPERLINK("https://klasma.github.io/Logging_2463/tillsyn/A 46249-2025 tillsynsbegäran.docx", "A 46249-2025")</f>
        <v/>
      </c>
      <c r="Y1104">
        <f>HYPERLINK("https://klasma.github.io/Logging_2463/tillsynsmail/A 46249-2025 tillsynsbegäran mail.docx", "A 46249-2025")</f>
        <v/>
      </c>
    </row>
    <row r="1105" ht="15" customHeight="1">
      <c r="A1105" t="inlineStr">
        <is>
          <t>A 34730-2024</t>
        </is>
      </c>
      <c r="B1105" s="1" t="n">
        <v>45526</v>
      </c>
      <c r="C1105" s="1" t="n">
        <v>45971</v>
      </c>
      <c r="D1105" t="inlineStr">
        <is>
          <t>VÄSTERBOTTENS LÄN</t>
        </is>
      </c>
      <c r="E1105" t="inlineStr">
        <is>
          <t>VILHELMINA</t>
        </is>
      </c>
      <c r="G1105" t="n">
        <v>19.2</v>
      </c>
      <c r="H1105" t="n">
        <v>0</v>
      </c>
      <c r="I1105" t="n">
        <v>0</v>
      </c>
      <c r="J1105" t="n">
        <v>1</v>
      </c>
      <c r="K1105" t="n">
        <v>0</v>
      </c>
      <c r="L1105" t="n">
        <v>0</v>
      </c>
      <c r="M1105" t="n">
        <v>0</v>
      </c>
      <c r="N1105" t="n">
        <v>0</v>
      </c>
      <c r="O1105" t="n">
        <v>1</v>
      </c>
      <c r="P1105" t="n">
        <v>0</v>
      </c>
      <c r="Q1105" t="n">
        <v>1</v>
      </c>
      <c r="R1105" s="2" t="inlineStr">
        <is>
          <t>Ullticka</t>
        </is>
      </c>
      <c r="S1105">
        <f>HYPERLINK("https://klasma.github.io/Logging_2462/artfynd/A 34730-2024 artfynd.xlsx", "A 34730-2024")</f>
        <v/>
      </c>
      <c r="T1105">
        <f>HYPERLINK("https://klasma.github.io/Logging_2462/kartor/A 34730-2024 karta.png", "A 34730-2024")</f>
        <v/>
      </c>
      <c r="V1105">
        <f>HYPERLINK("https://klasma.github.io/Logging_2462/klagomål/A 34730-2024 FSC-klagomål.docx", "A 34730-2024")</f>
        <v/>
      </c>
      <c r="W1105">
        <f>HYPERLINK("https://klasma.github.io/Logging_2462/klagomålsmail/A 34730-2024 FSC-klagomål mail.docx", "A 34730-2024")</f>
        <v/>
      </c>
      <c r="X1105">
        <f>HYPERLINK("https://klasma.github.io/Logging_2462/tillsyn/A 34730-2024 tillsynsbegäran.docx", "A 34730-2024")</f>
        <v/>
      </c>
      <c r="Y1105">
        <f>HYPERLINK("https://klasma.github.io/Logging_2462/tillsynsmail/A 34730-2024 tillsynsbegäran mail.docx", "A 34730-2024")</f>
        <v/>
      </c>
    </row>
    <row r="1106" ht="15" customHeight="1">
      <c r="A1106" t="inlineStr">
        <is>
          <t>A 3803-2021</t>
        </is>
      </c>
      <c r="B1106" s="1" t="n">
        <v>44221</v>
      </c>
      <c r="C1106" s="1" t="n">
        <v>45971</v>
      </c>
      <c r="D1106" t="inlineStr">
        <is>
          <t>VÄSTERBOTTENS LÄN</t>
        </is>
      </c>
      <c r="E1106" t="inlineStr">
        <is>
          <t>STORUMAN</t>
        </is>
      </c>
      <c r="F1106" t="inlineStr">
        <is>
          <t>Övriga statliga verk och myndigheter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27315-2021</t>
        </is>
      </c>
      <c r="B1107" s="1" t="n">
        <v>44350</v>
      </c>
      <c r="C1107" s="1" t="n">
        <v>45971</v>
      </c>
      <c r="D1107" t="inlineStr">
        <is>
          <t>VÄSTERBOTTENS LÄN</t>
        </is>
      </c>
      <c r="E1107" t="inlineStr">
        <is>
          <t>ÅSELE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39233-2022</t>
        </is>
      </c>
      <c r="B1108" s="1" t="n">
        <v>44817.5884375</v>
      </c>
      <c r="C1108" s="1" t="n">
        <v>45971</v>
      </c>
      <c r="D1108" t="inlineStr">
        <is>
          <t>VÄSTERBOTTENS LÄN</t>
        </is>
      </c>
      <c r="E1108" t="inlineStr">
        <is>
          <t>UMEÅ</t>
        </is>
      </c>
      <c r="F1108" t="inlineStr">
        <is>
          <t>Holmen skog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33222-2021</t>
        </is>
      </c>
      <c r="B1109" s="1" t="n">
        <v>44376</v>
      </c>
      <c r="C1109" s="1" t="n">
        <v>45971</v>
      </c>
      <c r="D1109" t="inlineStr">
        <is>
          <t>VÄSTERBOTTENS LÄN</t>
        </is>
      </c>
      <c r="E1109" t="inlineStr">
        <is>
          <t>LYCKSELE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19442-2022</t>
        </is>
      </c>
      <c r="B1110" s="1" t="n">
        <v>44693</v>
      </c>
      <c r="C1110" s="1" t="n">
        <v>45971</v>
      </c>
      <c r="D1110" t="inlineStr">
        <is>
          <t>VÄSTERBOTTENS LÄN</t>
        </is>
      </c>
      <c r="E1110" t="inlineStr">
        <is>
          <t>VINDELN</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38416-2022</t>
        </is>
      </c>
      <c r="B1111" s="1" t="n">
        <v>44812</v>
      </c>
      <c r="C1111" s="1" t="n">
        <v>45971</v>
      </c>
      <c r="D1111" t="inlineStr">
        <is>
          <t>VÄSTERBOTTENS LÄN</t>
        </is>
      </c>
      <c r="E1111" t="inlineStr">
        <is>
          <t>VILHELMINA</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48329-2022</t>
        </is>
      </c>
      <c r="B1112" s="1" t="n">
        <v>44858</v>
      </c>
      <c r="C1112" s="1" t="n">
        <v>45971</v>
      </c>
      <c r="D1112" t="inlineStr">
        <is>
          <t>VÄSTERBOTTENS LÄN</t>
        </is>
      </c>
      <c r="E1112" t="inlineStr">
        <is>
          <t>NORDMALING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46026-2022</t>
        </is>
      </c>
      <c r="B1113" s="1" t="n">
        <v>44846</v>
      </c>
      <c r="C1113" s="1" t="n">
        <v>45971</v>
      </c>
      <c r="D1113" t="inlineStr">
        <is>
          <t>VÄSTERBOTTENS LÄN</t>
        </is>
      </c>
      <c r="E1113" t="inlineStr">
        <is>
          <t>MALÅ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46092-2022</t>
        </is>
      </c>
      <c r="B1114" s="1" t="n">
        <v>44845</v>
      </c>
      <c r="C1114" s="1" t="n">
        <v>45971</v>
      </c>
      <c r="D1114" t="inlineStr">
        <is>
          <t>VÄSTERBOTTENS LÄN</t>
        </is>
      </c>
      <c r="E1114" t="inlineStr">
        <is>
          <t>VINDELN</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3567-2021</t>
        </is>
      </c>
      <c r="B1115" s="1" t="n">
        <v>44218</v>
      </c>
      <c r="C1115" s="1" t="n">
        <v>45971</v>
      </c>
      <c r="D1115" t="inlineStr">
        <is>
          <t>VÄSTERBOTTENS LÄN</t>
        </is>
      </c>
      <c r="E1115" t="inlineStr">
        <is>
          <t>ÅSELE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974-2021</t>
        </is>
      </c>
      <c r="B1116" s="1" t="n">
        <v>44207</v>
      </c>
      <c r="C1116" s="1" t="n">
        <v>45971</v>
      </c>
      <c r="D1116" t="inlineStr">
        <is>
          <t>VÄSTERBOTTENS LÄN</t>
        </is>
      </c>
      <c r="E1116" t="inlineStr">
        <is>
          <t>ÅSELE</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52885-2022</t>
        </is>
      </c>
      <c r="B1117" s="1" t="n">
        <v>44872</v>
      </c>
      <c r="C1117" s="1" t="n">
        <v>45971</v>
      </c>
      <c r="D1117" t="inlineStr">
        <is>
          <t>VÄSTERBOTTENS LÄN</t>
        </is>
      </c>
      <c r="E1117" t="inlineStr">
        <is>
          <t>VINDELN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59307-2020</t>
        </is>
      </c>
      <c r="B1118" s="1" t="n">
        <v>44147</v>
      </c>
      <c r="C1118" s="1" t="n">
        <v>45971</v>
      </c>
      <c r="D1118" t="inlineStr">
        <is>
          <t>VÄSTERBOTTENS LÄN</t>
        </is>
      </c>
      <c r="E1118" t="inlineStr">
        <is>
          <t>ÅSELE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61445-2020</t>
        </is>
      </c>
      <c r="B1119" s="1" t="n">
        <v>44157</v>
      </c>
      <c r="C1119" s="1" t="n">
        <v>45971</v>
      </c>
      <c r="D1119" t="inlineStr">
        <is>
          <t>VÄSTERBOTTENS LÄN</t>
        </is>
      </c>
      <c r="E1119" t="inlineStr">
        <is>
          <t>NORDMALING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20406-2021</t>
        </is>
      </c>
      <c r="B1120" s="1" t="n">
        <v>44314</v>
      </c>
      <c r="C1120" s="1" t="n">
        <v>45971</v>
      </c>
      <c r="D1120" t="inlineStr">
        <is>
          <t>VÄSTERBOTTENS LÄN</t>
        </is>
      </c>
      <c r="E1120" t="inlineStr">
        <is>
          <t>ROBERTSFORS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20856-2021</t>
        </is>
      </c>
      <c r="B1121" s="1" t="n">
        <v>44319</v>
      </c>
      <c r="C1121" s="1" t="n">
        <v>45971</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19772-2021</t>
        </is>
      </c>
      <c r="B1122" s="1" t="n">
        <v>44309</v>
      </c>
      <c r="C1122" s="1" t="n">
        <v>45971</v>
      </c>
      <c r="D1122" t="inlineStr">
        <is>
          <t>VÄSTERBOTTENS LÄN</t>
        </is>
      </c>
      <c r="E1122" t="inlineStr">
        <is>
          <t>VINDELN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2588-2021</t>
        </is>
      </c>
      <c r="B1123" s="1" t="n">
        <v>44214</v>
      </c>
      <c r="C1123" s="1" t="n">
        <v>45971</v>
      </c>
      <c r="D1123" t="inlineStr">
        <is>
          <t>VÄSTERBOTTENS LÄN</t>
        </is>
      </c>
      <c r="E1123" t="inlineStr">
        <is>
          <t>ROBERTSFORS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2594-2021</t>
        </is>
      </c>
      <c r="B1124" s="1" t="n">
        <v>44214</v>
      </c>
      <c r="C1124" s="1" t="n">
        <v>45971</v>
      </c>
      <c r="D1124" t="inlineStr">
        <is>
          <t>VÄSTERBOTTENS LÄN</t>
        </is>
      </c>
      <c r="E1124" t="inlineStr">
        <is>
          <t>VÄNNÄS</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59261-2020</t>
        </is>
      </c>
      <c r="B1125" s="1" t="n">
        <v>44147</v>
      </c>
      <c r="C1125" s="1" t="n">
        <v>45971</v>
      </c>
      <c r="D1125" t="inlineStr">
        <is>
          <t>VÄSTERBOTTENS LÄN</t>
        </is>
      </c>
      <c r="E1125" t="inlineStr">
        <is>
          <t>LYCKSELE</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38893-2021</t>
        </is>
      </c>
      <c r="B1126" s="1" t="n">
        <v>44410</v>
      </c>
      <c r="C1126" s="1" t="n">
        <v>45971</v>
      </c>
      <c r="D1126" t="inlineStr">
        <is>
          <t>VÄSTERBOTTENS LÄN</t>
        </is>
      </c>
      <c r="E1126" t="inlineStr">
        <is>
          <t>UMEÅ</t>
        </is>
      </c>
      <c r="F1126" t="inlineStr">
        <is>
          <t>Övriga statliga verk och myndigheter</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33294-2021</t>
        </is>
      </c>
      <c r="B1127" s="1" t="n">
        <v>44377</v>
      </c>
      <c r="C1127" s="1" t="n">
        <v>45971</v>
      </c>
      <c r="D1127" t="inlineStr">
        <is>
          <t>VÄSTERBOTTENS LÄN</t>
        </is>
      </c>
      <c r="E1127" t="inlineStr">
        <is>
          <t>DOROTEA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4202-2021</t>
        </is>
      </c>
      <c r="B1128" s="1" t="n">
        <v>44218</v>
      </c>
      <c r="C1128" s="1" t="n">
        <v>45971</v>
      </c>
      <c r="D1128" t="inlineStr">
        <is>
          <t>VÄSTERBOTTENS LÄN</t>
        </is>
      </c>
      <c r="E1128" t="inlineStr">
        <is>
          <t>SKELLEFTEÅ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66833-2020</t>
        </is>
      </c>
      <c r="B1129" s="1" t="n">
        <v>44179</v>
      </c>
      <c r="C1129" s="1" t="n">
        <v>45971</v>
      </c>
      <c r="D1129" t="inlineStr">
        <is>
          <t>VÄSTERBOTTENS LÄN</t>
        </is>
      </c>
      <c r="E1129" t="inlineStr">
        <is>
          <t>NORDMALING</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29332-2021</t>
        </is>
      </c>
      <c r="B1130" s="1" t="n">
        <v>44361</v>
      </c>
      <c r="C1130" s="1" t="n">
        <v>45971</v>
      </c>
      <c r="D1130" t="inlineStr">
        <is>
          <t>VÄSTERBOTTENS LÄN</t>
        </is>
      </c>
      <c r="E1130" t="inlineStr">
        <is>
          <t>VILHELMINA</t>
        </is>
      </c>
      <c r="F1130" t="inlineStr">
        <is>
          <t>Allmännings- och besparingsskogar</t>
        </is>
      </c>
      <c r="G1130" t="n">
        <v>51.8</v>
      </c>
      <c r="H1130" t="n">
        <v>0</v>
      </c>
      <c r="I1130" t="n">
        <v>0</v>
      </c>
      <c r="J1130" t="n">
        <v>0</v>
      </c>
      <c r="K1130" t="n">
        <v>0</v>
      </c>
      <c r="L1130" t="n">
        <v>0</v>
      </c>
      <c r="M1130" t="n">
        <v>0</v>
      </c>
      <c r="N1130" t="n">
        <v>0</v>
      </c>
      <c r="O1130" t="n">
        <v>0</v>
      </c>
      <c r="P1130" t="n">
        <v>0</v>
      </c>
      <c r="Q1130" t="n">
        <v>0</v>
      </c>
      <c r="R1130" s="2" t="inlineStr"/>
    </row>
    <row r="1131" ht="15" customHeight="1">
      <c r="A1131" t="inlineStr">
        <is>
          <t>A 14540-2021</t>
        </is>
      </c>
      <c r="B1131" s="1" t="n">
        <v>44279</v>
      </c>
      <c r="C1131" s="1" t="n">
        <v>45971</v>
      </c>
      <c r="D1131" t="inlineStr">
        <is>
          <t>VÄSTERBOTTENS LÄN</t>
        </is>
      </c>
      <c r="E1131" t="inlineStr">
        <is>
          <t>BJURHOLM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40470-2021</t>
        </is>
      </c>
      <c r="B1132" s="1" t="n">
        <v>44419.94226851852</v>
      </c>
      <c r="C1132" s="1" t="n">
        <v>45971</v>
      </c>
      <c r="D1132" t="inlineStr">
        <is>
          <t>VÄSTERBOTTENS LÄN</t>
        </is>
      </c>
      <c r="E1132" t="inlineStr">
        <is>
          <t>VILHELMINA</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36450-2021</t>
        </is>
      </c>
      <c r="B1133" s="1" t="n">
        <v>44390</v>
      </c>
      <c r="C1133" s="1" t="n">
        <v>45971</v>
      </c>
      <c r="D1133" t="inlineStr">
        <is>
          <t>VÄSTERBOTTENS LÄN</t>
        </is>
      </c>
      <c r="E1133" t="inlineStr">
        <is>
          <t>ÅSELE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60502-2020</t>
        </is>
      </c>
      <c r="B1134" s="1" t="n">
        <v>44152</v>
      </c>
      <c r="C1134" s="1" t="n">
        <v>45971</v>
      </c>
      <c r="D1134" t="inlineStr">
        <is>
          <t>VÄSTERBOTTENS LÄN</t>
        </is>
      </c>
      <c r="E1134" t="inlineStr">
        <is>
          <t>VÄNNÄS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71582-2021</t>
        </is>
      </c>
      <c r="B1135" s="1" t="n">
        <v>44540</v>
      </c>
      <c r="C1135" s="1" t="n">
        <v>45971</v>
      </c>
      <c r="D1135" t="inlineStr">
        <is>
          <t>VÄSTERBOTTENS LÄN</t>
        </is>
      </c>
      <c r="E1135" t="inlineStr">
        <is>
          <t>VINDELN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36046-2021</t>
        </is>
      </c>
      <c r="B1136" s="1" t="n">
        <v>44386</v>
      </c>
      <c r="C1136" s="1" t="n">
        <v>45971</v>
      </c>
      <c r="D1136" t="inlineStr">
        <is>
          <t>VÄSTERBOTTENS LÄN</t>
        </is>
      </c>
      <c r="E1136" t="inlineStr">
        <is>
          <t>LYCKSELE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64316-2021</t>
        </is>
      </c>
      <c r="B1137" s="1" t="n">
        <v>44510</v>
      </c>
      <c r="C1137" s="1" t="n">
        <v>45971</v>
      </c>
      <c r="D1137" t="inlineStr">
        <is>
          <t>VÄSTERBOTTENS LÄN</t>
        </is>
      </c>
      <c r="E1137" t="inlineStr">
        <is>
          <t>SKELLEFTEÅ</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38685-2021</t>
        </is>
      </c>
      <c r="B1138" s="1" t="n">
        <v>44407</v>
      </c>
      <c r="C1138" s="1" t="n">
        <v>45971</v>
      </c>
      <c r="D1138" t="inlineStr">
        <is>
          <t>VÄSTERBOTTENS LÄN</t>
        </is>
      </c>
      <c r="E1138" t="inlineStr">
        <is>
          <t>UMEÅ</t>
        </is>
      </c>
      <c r="F1138" t="inlineStr">
        <is>
          <t>Kommuner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38691-2021</t>
        </is>
      </c>
      <c r="B1139" s="1" t="n">
        <v>44407</v>
      </c>
      <c r="C1139" s="1" t="n">
        <v>45971</v>
      </c>
      <c r="D1139" t="inlineStr">
        <is>
          <t>VÄSTERBOTTENS LÄN</t>
        </is>
      </c>
      <c r="E1139" t="inlineStr">
        <is>
          <t>UMEÅ</t>
        </is>
      </c>
      <c r="F1139" t="inlineStr">
        <is>
          <t>Kommuner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64063-2021</t>
        </is>
      </c>
      <c r="B1140" s="1" t="n">
        <v>44509</v>
      </c>
      <c r="C1140" s="1" t="n">
        <v>45971</v>
      </c>
      <c r="D1140" t="inlineStr">
        <is>
          <t>VÄSTERBOTTENS LÄN</t>
        </is>
      </c>
      <c r="E1140" t="inlineStr">
        <is>
          <t>DOROTEA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11076-2022</t>
        </is>
      </c>
      <c r="B1141" s="1" t="n">
        <v>44628</v>
      </c>
      <c r="C1141" s="1" t="n">
        <v>45971</v>
      </c>
      <c r="D1141" t="inlineStr">
        <is>
          <t>VÄSTERBOTTENS LÄN</t>
        </is>
      </c>
      <c r="E1141" t="inlineStr">
        <is>
          <t>VILHELMINA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36603-2021</t>
        </is>
      </c>
      <c r="B1142" s="1" t="n">
        <v>44391</v>
      </c>
      <c r="C1142" s="1" t="n">
        <v>45971</v>
      </c>
      <c r="D1142" t="inlineStr">
        <is>
          <t>VÄSTERBOTTENS LÄN</t>
        </is>
      </c>
      <c r="E1142" t="inlineStr">
        <is>
          <t>SKELLEFTEÅ</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8023-2022</t>
        </is>
      </c>
      <c r="B1143" s="1" t="n">
        <v>44609</v>
      </c>
      <c r="C1143" s="1" t="n">
        <v>45971</v>
      </c>
      <c r="D1143" t="inlineStr">
        <is>
          <t>VÄSTERBOTTENS LÄN</t>
        </is>
      </c>
      <c r="E1143" t="inlineStr">
        <is>
          <t>SKELLEFTEÅ</t>
        </is>
      </c>
      <c r="F1143" t="inlineStr">
        <is>
          <t>Kyrkan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37987-2021</t>
        </is>
      </c>
      <c r="B1144" s="1" t="n">
        <v>44403</v>
      </c>
      <c r="C1144" s="1" t="n">
        <v>45971</v>
      </c>
      <c r="D1144" t="inlineStr">
        <is>
          <t>VÄSTERBOTTENS LÄN</t>
        </is>
      </c>
      <c r="E1144" t="inlineStr">
        <is>
          <t>LYCKSELE</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35430-2021</t>
        </is>
      </c>
      <c r="B1145" s="1" t="n">
        <v>44384</v>
      </c>
      <c r="C1145" s="1" t="n">
        <v>45971</v>
      </c>
      <c r="D1145" t="inlineStr">
        <is>
          <t>VÄSTERBOTTENS LÄN</t>
        </is>
      </c>
      <c r="E1145" t="inlineStr">
        <is>
          <t>VINDELN</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31185-2021</t>
        </is>
      </c>
      <c r="B1146" s="1" t="n">
        <v>44367</v>
      </c>
      <c r="C1146" s="1" t="n">
        <v>45971</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9779-2022</t>
        </is>
      </c>
      <c r="B1147" s="1" t="n">
        <v>44619.87392361111</v>
      </c>
      <c r="C1147" s="1" t="n">
        <v>45971</v>
      </c>
      <c r="D1147" t="inlineStr">
        <is>
          <t>VÄSTERBOTTENS LÄN</t>
        </is>
      </c>
      <c r="E1147" t="inlineStr">
        <is>
          <t>VILHELMINA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59249-2021</t>
        </is>
      </c>
      <c r="B1148" s="1" t="n">
        <v>44490.65641203704</v>
      </c>
      <c r="C1148" s="1" t="n">
        <v>45971</v>
      </c>
      <c r="D1148" t="inlineStr">
        <is>
          <t>VÄSTERBOTTENS LÄN</t>
        </is>
      </c>
      <c r="E1148" t="inlineStr">
        <is>
          <t>ÅSELE</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60044-2021</t>
        </is>
      </c>
      <c r="B1149" s="1" t="n">
        <v>44495</v>
      </c>
      <c r="C1149" s="1" t="n">
        <v>45971</v>
      </c>
      <c r="D1149" t="inlineStr">
        <is>
          <t>VÄSTERBOTTENS LÄN</t>
        </is>
      </c>
      <c r="E1149" t="inlineStr">
        <is>
          <t>LYCKSELE</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59811-2020</t>
        </is>
      </c>
      <c r="B1150" s="1" t="n">
        <v>44151</v>
      </c>
      <c r="C1150" s="1" t="n">
        <v>45971</v>
      </c>
      <c r="D1150" t="inlineStr">
        <is>
          <t>VÄSTERBOTTENS LÄN</t>
        </is>
      </c>
      <c r="E1150" t="inlineStr">
        <is>
          <t>VINDELN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3940-2022</t>
        </is>
      </c>
      <c r="B1151" s="1" t="n">
        <v>44587</v>
      </c>
      <c r="C1151" s="1" t="n">
        <v>45971</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66232-2020</t>
        </is>
      </c>
      <c r="B1152" s="1" t="n">
        <v>44175</v>
      </c>
      <c r="C1152" s="1" t="n">
        <v>45971</v>
      </c>
      <c r="D1152" t="inlineStr">
        <is>
          <t>VÄSTERBOTTENS LÄN</t>
        </is>
      </c>
      <c r="E1152" t="inlineStr">
        <is>
          <t>STORUMAN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40825-2022</t>
        </is>
      </c>
      <c r="B1153" s="1" t="n">
        <v>44824.91319444445</v>
      </c>
      <c r="C1153" s="1" t="n">
        <v>45971</v>
      </c>
      <c r="D1153" t="inlineStr">
        <is>
          <t>VÄSTERBOTTENS LÄN</t>
        </is>
      </c>
      <c r="E1153" t="inlineStr">
        <is>
          <t>UMEÅ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58046-2021</t>
        </is>
      </c>
      <c r="B1154" s="1" t="n">
        <v>44487</v>
      </c>
      <c r="C1154" s="1" t="n">
        <v>45971</v>
      </c>
      <c r="D1154" t="inlineStr">
        <is>
          <t>VÄSTERBOTTENS LÄN</t>
        </is>
      </c>
      <c r="E1154" t="inlineStr">
        <is>
          <t>NORDMALING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58844-2021</t>
        </is>
      </c>
      <c r="B1155" s="1" t="n">
        <v>44489.61810185185</v>
      </c>
      <c r="C1155" s="1" t="n">
        <v>45971</v>
      </c>
      <c r="D1155" t="inlineStr">
        <is>
          <t>VÄSTERBOTTENS LÄN</t>
        </is>
      </c>
      <c r="E1155" t="inlineStr">
        <is>
          <t>SKELLEFTEÅ</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52412-2021</t>
        </is>
      </c>
      <c r="B1156" s="1" t="n">
        <v>44463</v>
      </c>
      <c r="C1156" s="1" t="n">
        <v>45971</v>
      </c>
      <c r="D1156" t="inlineStr">
        <is>
          <t>VÄSTERBOTTENS LÄN</t>
        </is>
      </c>
      <c r="E1156" t="inlineStr">
        <is>
          <t>NORDMALING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24669-2022</t>
        </is>
      </c>
      <c r="B1157" s="1" t="n">
        <v>44727.65446759259</v>
      </c>
      <c r="C1157" s="1" t="n">
        <v>45971</v>
      </c>
      <c r="D1157" t="inlineStr">
        <is>
          <t>VÄSTERBOTTENS LÄN</t>
        </is>
      </c>
      <c r="E1157" t="inlineStr">
        <is>
          <t>ÅSELE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9777-2022</t>
        </is>
      </c>
      <c r="B1158" s="1" t="n">
        <v>44619.86621527778</v>
      </c>
      <c r="C1158" s="1" t="n">
        <v>45971</v>
      </c>
      <c r="D1158" t="inlineStr">
        <is>
          <t>VÄSTERBOTTENS LÄN</t>
        </is>
      </c>
      <c r="E1158" t="inlineStr">
        <is>
          <t>VILHELMINA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37655-2022</t>
        </is>
      </c>
      <c r="B1159" s="1" t="n">
        <v>44810</v>
      </c>
      <c r="C1159" s="1" t="n">
        <v>45971</v>
      </c>
      <c r="D1159" t="inlineStr">
        <is>
          <t>VÄSTERBOTTENS LÄN</t>
        </is>
      </c>
      <c r="E1159" t="inlineStr">
        <is>
          <t>VILHELMINA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45971</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32942-2022</t>
        </is>
      </c>
      <c r="B1161" s="1" t="n">
        <v>44784.69390046296</v>
      </c>
      <c r="C1161" s="1" t="n">
        <v>45971</v>
      </c>
      <c r="D1161" t="inlineStr">
        <is>
          <t>VÄSTERBOTTENS LÄN</t>
        </is>
      </c>
      <c r="E1161" t="inlineStr">
        <is>
          <t>ROBERTSFORS</t>
        </is>
      </c>
      <c r="F1161" t="inlineStr">
        <is>
          <t>Holmen skog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3695-2022</t>
        </is>
      </c>
      <c r="B1162" s="1" t="n">
        <v>44586</v>
      </c>
      <c r="C1162" s="1" t="n">
        <v>45971</v>
      </c>
      <c r="D1162" t="inlineStr">
        <is>
          <t>VÄSTERBOTTENS LÄN</t>
        </is>
      </c>
      <c r="E1162" t="inlineStr">
        <is>
          <t>VINDELN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3703-2022</t>
        </is>
      </c>
      <c r="B1163" s="1" t="n">
        <v>44586</v>
      </c>
      <c r="C1163" s="1" t="n">
        <v>45971</v>
      </c>
      <c r="D1163" t="inlineStr">
        <is>
          <t>VÄSTERBOTTENS LÄN</t>
        </is>
      </c>
      <c r="E1163" t="inlineStr">
        <is>
          <t>VINDELN</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42860-2021</t>
        </is>
      </c>
      <c r="B1164" s="1" t="n">
        <v>44430.85060185185</v>
      </c>
      <c r="C1164" s="1" t="n">
        <v>45971</v>
      </c>
      <c r="D1164" t="inlineStr">
        <is>
          <t>VÄSTERBOTTENS LÄN</t>
        </is>
      </c>
      <c r="E1164" t="inlineStr">
        <is>
          <t>NORDMALING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42885-2021</t>
        </is>
      </c>
      <c r="B1165" s="1" t="n">
        <v>44431</v>
      </c>
      <c r="C1165" s="1" t="n">
        <v>45971</v>
      </c>
      <c r="D1165" t="inlineStr">
        <is>
          <t>VÄSTERBOTTENS LÄN</t>
        </is>
      </c>
      <c r="E1165" t="inlineStr">
        <is>
          <t>NORDMALING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37592-2022</t>
        </is>
      </c>
      <c r="B1166" s="1" t="n">
        <v>44809.94574074074</v>
      </c>
      <c r="C1166" s="1" t="n">
        <v>45971</v>
      </c>
      <c r="D1166" t="inlineStr">
        <is>
          <t>VÄSTERBOTTENS LÄN</t>
        </is>
      </c>
      <c r="E1166" t="inlineStr">
        <is>
          <t>VINDELN</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36846-2022</t>
        </is>
      </c>
      <c r="B1167" s="1" t="n">
        <v>44805.5905324074</v>
      </c>
      <c r="C1167" s="1" t="n">
        <v>45971</v>
      </c>
      <c r="D1167" t="inlineStr">
        <is>
          <t>VÄSTERBOTTENS LÄN</t>
        </is>
      </c>
      <c r="E1167" t="inlineStr">
        <is>
          <t>LYCKSELE</t>
        </is>
      </c>
      <c r="F1167" t="inlineStr">
        <is>
          <t>Holmen skog AB</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38516-2021</t>
        </is>
      </c>
      <c r="B1168" s="1" t="n">
        <v>44407</v>
      </c>
      <c r="C1168" s="1" t="n">
        <v>45971</v>
      </c>
      <c r="D1168" t="inlineStr">
        <is>
          <t>VÄSTERBOTTENS LÄN</t>
        </is>
      </c>
      <c r="E1168" t="inlineStr">
        <is>
          <t>UMEÅ</t>
        </is>
      </c>
      <c r="F1168" t="inlineStr">
        <is>
          <t>Kommuner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21539-2022</t>
        </is>
      </c>
      <c r="B1169" s="1" t="n">
        <v>44706</v>
      </c>
      <c r="C1169" s="1" t="n">
        <v>45971</v>
      </c>
      <c r="D1169" t="inlineStr">
        <is>
          <t>VÄSTERBOTTENS LÄN</t>
        </is>
      </c>
      <c r="E1169" t="inlineStr">
        <is>
          <t>SKELLEFTEÅ</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37805-2022</t>
        </is>
      </c>
      <c r="B1170" s="1" t="n">
        <v>44810</v>
      </c>
      <c r="C1170" s="1" t="n">
        <v>45971</v>
      </c>
      <c r="D1170" t="inlineStr">
        <is>
          <t>VÄSTERBOTTENS LÄN</t>
        </is>
      </c>
      <c r="E1170" t="inlineStr">
        <is>
          <t>ROBERTSFORS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37833-2022</t>
        </is>
      </c>
      <c r="B1171" s="1" t="n">
        <v>44810.9431712963</v>
      </c>
      <c r="C1171" s="1" t="n">
        <v>45971</v>
      </c>
      <c r="D1171" t="inlineStr">
        <is>
          <t>VÄSTERBOTTENS LÄN</t>
        </is>
      </c>
      <c r="E1171" t="inlineStr">
        <is>
          <t>DOROTEA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615-2022</t>
        </is>
      </c>
      <c r="B1172" s="1" t="n">
        <v>44567.84981481481</v>
      </c>
      <c r="C1172" s="1" t="n">
        <v>45971</v>
      </c>
      <c r="D1172" t="inlineStr">
        <is>
          <t>VÄSTERBOTTENS LÄN</t>
        </is>
      </c>
      <c r="E1172" t="inlineStr">
        <is>
          <t>LYCKSELE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48768-2022</t>
        </is>
      </c>
      <c r="B1173" s="1" t="n">
        <v>44859</v>
      </c>
      <c r="C1173" s="1" t="n">
        <v>45971</v>
      </c>
      <c r="D1173" t="inlineStr">
        <is>
          <t>VÄSTERBOTTENS LÄN</t>
        </is>
      </c>
      <c r="E1173" t="inlineStr">
        <is>
          <t>VILHELMINA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45971</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38394-2021</t>
        </is>
      </c>
      <c r="B1175" s="1" t="n">
        <v>44406</v>
      </c>
      <c r="C1175" s="1" t="n">
        <v>45971</v>
      </c>
      <c r="D1175" t="inlineStr">
        <is>
          <t>VÄSTERBOTTENS LÄN</t>
        </is>
      </c>
      <c r="E1175" t="inlineStr">
        <is>
          <t>UMEÅ</t>
        </is>
      </c>
      <c r="F1175" t="inlineStr">
        <is>
          <t>Kommuner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38402-2021</t>
        </is>
      </c>
      <c r="B1176" s="1" t="n">
        <v>44406</v>
      </c>
      <c r="C1176" s="1" t="n">
        <v>45971</v>
      </c>
      <c r="D1176" t="inlineStr">
        <is>
          <t>VÄSTERBOTTENS LÄN</t>
        </is>
      </c>
      <c r="E1176" t="inlineStr">
        <is>
          <t>UMEÅ</t>
        </is>
      </c>
      <c r="F1176" t="inlineStr">
        <is>
          <t>Kommuner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33409-2022</t>
        </is>
      </c>
      <c r="B1177" s="1" t="n">
        <v>44788</v>
      </c>
      <c r="C1177" s="1" t="n">
        <v>45971</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38403-2021</t>
        </is>
      </c>
      <c r="B1178" s="1" t="n">
        <v>44406</v>
      </c>
      <c r="C1178" s="1" t="n">
        <v>45971</v>
      </c>
      <c r="D1178" t="inlineStr">
        <is>
          <t>VÄSTERBOTTENS LÄN</t>
        </is>
      </c>
      <c r="E1178" t="inlineStr">
        <is>
          <t>UMEÅ</t>
        </is>
      </c>
      <c r="F1178" t="inlineStr">
        <is>
          <t>Övriga statliga verk och myndigheter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38435-2021</t>
        </is>
      </c>
      <c r="B1179" s="1" t="n">
        <v>44406</v>
      </c>
      <c r="C1179" s="1" t="n">
        <v>45971</v>
      </c>
      <c r="D1179" t="inlineStr">
        <is>
          <t>VÄSTERBOTTENS LÄN</t>
        </is>
      </c>
      <c r="E1179" t="inlineStr">
        <is>
          <t>UMEÅ</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38439-2021</t>
        </is>
      </c>
      <c r="B1180" s="1" t="n">
        <v>44406</v>
      </c>
      <c r="C1180" s="1" t="n">
        <v>45971</v>
      </c>
      <c r="D1180" t="inlineStr">
        <is>
          <t>VÄSTERBOTTENS LÄN</t>
        </is>
      </c>
      <c r="E1180" t="inlineStr">
        <is>
          <t>UMEÅ</t>
        </is>
      </c>
      <c r="F1180" t="inlineStr">
        <is>
          <t>Kommuner</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23698-2022</t>
        </is>
      </c>
      <c r="B1181" s="1" t="n">
        <v>44721.941875</v>
      </c>
      <c r="C1181" s="1" t="n">
        <v>45971</v>
      </c>
      <c r="D1181" t="inlineStr">
        <is>
          <t>VÄSTERBOTTENS LÄN</t>
        </is>
      </c>
      <c r="E1181" t="inlineStr">
        <is>
          <t>VINDELN</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40345-2022</t>
        </is>
      </c>
      <c r="B1182" s="1" t="n">
        <v>44823</v>
      </c>
      <c r="C1182" s="1" t="n">
        <v>45971</v>
      </c>
      <c r="D1182" t="inlineStr">
        <is>
          <t>VÄSTERBOTTENS LÄN</t>
        </is>
      </c>
      <c r="E1182" t="inlineStr">
        <is>
          <t>SKELLEFTEÅ</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48834-2021</t>
        </is>
      </c>
      <c r="B1183" s="1" t="n">
        <v>44452.92001157408</v>
      </c>
      <c r="C1183" s="1" t="n">
        <v>45971</v>
      </c>
      <c r="D1183" t="inlineStr">
        <is>
          <t>VÄSTERBOTTENS LÄN</t>
        </is>
      </c>
      <c r="E1183" t="inlineStr">
        <is>
          <t>ROBERTSFORS</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48890-2021</t>
        </is>
      </c>
      <c r="B1184" s="1" t="n">
        <v>44452</v>
      </c>
      <c r="C1184" s="1" t="n">
        <v>45971</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169-2021</t>
        </is>
      </c>
      <c r="B1185" s="1" t="n">
        <v>44200</v>
      </c>
      <c r="C1185" s="1" t="n">
        <v>45971</v>
      </c>
      <c r="D1185" t="inlineStr">
        <is>
          <t>VÄSTERBOTTENS LÄN</t>
        </is>
      </c>
      <c r="E1185" t="inlineStr">
        <is>
          <t>ROBERTSFORS</t>
        </is>
      </c>
      <c r="F1185" t="inlineStr">
        <is>
          <t>Holmen skog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64190-2020</t>
        </is>
      </c>
      <c r="B1186" s="1" t="n">
        <v>44167</v>
      </c>
      <c r="C1186" s="1" t="n">
        <v>45971</v>
      </c>
      <c r="D1186" t="inlineStr">
        <is>
          <t>VÄSTERBOTTENS LÄN</t>
        </is>
      </c>
      <c r="E1186" t="inlineStr">
        <is>
          <t>VINDELN</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36723-2022</t>
        </is>
      </c>
      <c r="B1187" s="1" t="n">
        <v>44804</v>
      </c>
      <c r="C1187" s="1" t="n">
        <v>45971</v>
      </c>
      <c r="D1187" t="inlineStr">
        <is>
          <t>VÄSTERBOTTENS LÄN</t>
        </is>
      </c>
      <c r="E1187" t="inlineStr">
        <is>
          <t>SKELLEFTEÅ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36167-2022</t>
        </is>
      </c>
      <c r="B1188" s="1" t="n">
        <v>44803.40796296296</v>
      </c>
      <c r="C1188" s="1" t="n">
        <v>45971</v>
      </c>
      <c r="D1188" t="inlineStr">
        <is>
          <t>VÄSTERBOTTENS LÄN</t>
        </is>
      </c>
      <c r="E1188" t="inlineStr">
        <is>
          <t>ROBERTSFORS</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42193-2021</t>
        </is>
      </c>
      <c r="B1189" s="1" t="n">
        <v>44426.69363425926</v>
      </c>
      <c r="C1189" s="1" t="n">
        <v>45971</v>
      </c>
      <c r="D1189" t="inlineStr">
        <is>
          <t>VÄSTERBOTTENS LÄN</t>
        </is>
      </c>
      <c r="E1189" t="inlineStr">
        <is>
          <t>ÅSELE</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48280-2022</t>
        </is>
      </c>
      <c r="B1190" s="1" t="n">
        <v>44858.49686342593</v>
      </c>
      <c r="C1190" s="1" t="n">
        <v>45971</v>
      </c>
      <c r="D1190" t="inlineStr">
        <is>
          <t>VÄSTERBOTTENS LÄN</t>
        </is>
      </c>
      <c r="E1190" t="inlineStr">
        <is>
          <t>ÅSELE</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47991-2022</t>
        </is>
      </c>
      <c r="B1191" s="1" t="n">
        <v>44853</v>
      </c>
      <c r="C1191" s="1" t="n">
        <v>45971</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42144-2021</t>
        </is>
      </c>
      <c r="B1192" s="1" t="n">
        <v>44426</v>
      </c>
      <c r="C1192" s="1" t="n">
        <v>45971</v>
      </c>
      <c r="D1192" t="inlineStr">
        <is>
          <t>VÄSTERBOTTENS LÄN</t>
        </is>
      </c>
      <c r="E1192" t="inlineStr">
        <is>
          <t>LYCKSELE</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7823-2021</t>
        </is>
      </c>
      <c r="B1193" s="1" t="n">
        <v>44242</v>
      </c>
      <c r="C1193" s="1" t="n">
        <v>45971</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14939-2021</t>
        </is>
      </c>
      <c r="B1194" s="1" t="n">
        <v>44281</v>
      </c>
      <c r="C1194" s="1" t="n">
        <v>45971</v>
      </c>
      <c r="D1194" t="inlineStr">
        <is>
          <t>VÄSTERBOTTENS LÄN</t>
        </is>
      </c>
      <c r="E1194" t="inlineStr">
        <is>
          <t>VINDELN</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69583-2020</t>
        </is>
      </c>
      <c r="B1195" s="1" t="n">
        <v>44195</v>
      </c>
      <c r="C1195" s="1" t="n">
        <v>45971</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664-2021</t>
        </is>
      </c>
      <c r="B1196" s="1" t="n">
        <v>44203</v>
      </c>
      <c r="C1196" s="1" t="n">
        <v>45971</v>
      </c>
      <c r="D1196" t="inlineStr">
        <is>
          <t>VÄSTERBOTTENS LÄN</t>
        </is>
      </c>
      <c r="E1196" t="inlineStr">
        <is>
          <t>VINDELN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57821-2021</t>
        </is>
      </c>
      <c r="B1197" s="1" t="n">
        <v>44484.65474537037</v>
      </c>
      <c r="C1197" s="1" t="n">
        <v>45971</v>
      </c>
      <c r="D1197" t="inlineStr">
        <is>
          <t>VÄSTERBOTTENS LÄN</t>
        </is>
      </c>
      <c r="E1197" t="inlineStr">
        <is>
          <t>LYCKSELE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59585-2020</t>
        </is>
      </c>
      <c r="B1198" s="1" t="n">
        <v>44148</v>
      </c>
      <c r="C1198" s="1" t="n">
        <v>45971</v>
      </c>
      <c r="D1198" t="inlineStr">
        <is>
          <t>VÄSTERBOTTENS LÄN</t>
        </is>
      </c>
      <c r="E1198" t="inlineStr">
        <is>
          <t>ÅSELE</t>
        </is>
      </c>
      <c r="F1198" t="inlineStr">
        <is>
          <t>Kommuner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13568-2021</t>
        </is>
      </c>
      <c r="B1199" s="1" t="n">
        <v>44273</v>
      </c>
      <c r="C1199" s="1" t="n">
        <v>45971</v>
      </c>
      <c r="D1199" t="inlineStr">
        <is>
          <t>VÄSTERBOTTENS LÄN</t>
        </is>
      </c>
      <c r="E1199" t="inlineStr">
        <is>
          <t>STORUMAN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11544-2021</t>
        </is>
      </c>
      <c r="B1200" s="1" t="n">
        <v>44264</v>
      </c>
      <c r="C1200" s="1" t="n">
        <v>45971</v>
      </c>
      <c r="D1200" t="inlineStr">
        <is>
          <t>VÄSTERBOTTENS LÄN</t>
        </is>
      </c>
      <c r="E1200" t="inlineStr">
        <is>
          <t>VINDELN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32787-2022</t>
        </is>
      </c>
      <c r="B1201" s="1" t="n">
        <v>44784.31969907408</v>
      </c>
      <c r="C1201" s="1" t="n">
        <v>45971</v>
      </c>
      <c r="D1201" t="inlineStr">
        <is>
          <t>VÄSTERBOTTENS LÄN</t>
        </is>
      </c>
      <c r="E1201" t="inlineStr">
        <is>
          <t>UMEÅ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2401-2021</t>
        </is>
      </c>
      <c r="B1202" s="1" t="n">
        <v>44211</v>
      </c>
      <c r="C1202" s="1" t="n">
        <v>45971</v>
      </c>
      <c r="D1202" t="inlineStr">
        <is>
          <t>VÄSTERBOTTENS LÄN</t>
        </is>
      </c>
      <c r="E1202" t="inlineStr">
        <is>
          <t>ÅSELE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10421-2021</t>
        </is>
      </c>
      <c r="B1203" s="1" t="n">
        <v>44257</v>
      </c>
      <c r="C1203" s="1" t="n">
        <v>45971</v>
      </c>
      <c r="D1203" t="inlineStr">
        <is>
          <t>VÄSTERBOTTENS LÄN</t>
        </is>
      </c>
      <c r="E1203" t="inlineStr">
        <is>
          <t>NORSJÖ</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51017-2022</t>
        </is>
      </c>
      <c r="B1204" s="1" t="n">
        <v>44867.95054398148</v>
      </c>
      <c r="C1204" s="1" t="n">
        <v>45971</v>
      </c>
      <c r="D1204" t="inlineStr">
        <is>
          <t>VÄSTERBOTTENS LÄN</t>
        </is>
      </c>
      <c r="E1204" t="inlineStr">
        <is>
          <t>VILHELMINA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17551-2022</t>
        </is>
      </c>
      <c r="B1205" s="1" t="n">
        <v>44679</v>
      </c>
      <c r="C1205" s="1" t="n">
        <v>45971</v>
      </c>
      <c r="D1205" t="inlineStr">
        <is>
          <t>VÄSTERBOTTENS LÄN</t>
        </is>
      </c>
      <c r="E1205" t="inlineStr">
        <is>
          <t>BJURHOLM</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48783-2021</t>
        </is>
      </c>
      <c r="B1206" s="1" t="n">
        <v>44452</v>
      </c>
      <c r="C1206" s="1" t="n">
        <v>45971</v>
      </c>
      <c r="D1206" t="inlineStr">
        <is>
          <t>VÄSTERBOTTENS LÄN</t>
        </is>
      </c>
      <c r="E1206" t="inlineStr">
        <is>
          <t>VILHELMINA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61714-2020</t>
        </is>
      </c>
      <c r="B1207" s="1" t="n">
        <v>44158</v>
      </c>
      <c r="C1207" s="1" t="n">
        <v>45971</v>
      </c>
      <c r="D1207" t="inlineStr">
        <is>
          <t>VÄSTERBOTTENS LÄN</t>
        </is>
      </c>
      <c r="E1207" t="inlineStr">
        <is>
          <t>VINDELN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9539-2021</t>
        </is>
      </c>
      <c r="B1208" s="1" t="n">
        <v>44251</v>
      </c>
      <c r="C1208" s="1" t="n">
        <v>45971</v>
      </c>
      <c r="D1208" t="inlineStr">
        <is>
          <t>VÄSTERBOTTENS LÄN</t>
        </is>
      </c>
      <c r="E1208" t="inlineStr">
        <is>
          <t>SORSELE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62937-2020</t>
        </is>
      </c>
      <c r="B1209" s="1" t="n">
        <v>44160</v>
      </c>
      <c r="C1209" s="1" t="n">
        <v>45971</v>
      </c>
      <c r="D1209" t="inlineStr">
        <is>
          <t>VÄSTERBOTTENS LÄN</t>
        </is>
      </c>
      <c r="E1209" t="inlineStr">
        <is>
          <t>UMEÅ</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66612-2021</t>
        </is>
      </c>
      <c r="B1210" s="1" t="n">
        <v>44519.49189814815</v>
      </c>
      <c r="C1210" s="1" t="n">
        <v>45971</v>
      </c>
      <c r="D1210" t="inlineStr">
        <is>
          <t>VÄSTERBOTTENS LÄN</t>
        </is>
      </c>
      <c r="E1210" t="inlineStr">
        <is>
          <t>ÅSELE</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16911-2021</t>
        </is>
      </c>
      <c r="B1211" s="1" t="n">
        <v>44295</v>
      </c>
      <c r="C1211" s="1" t="n">
        <v>45971</v>
      </c>
      <c r="D1211" t="inlineStr">
        <is>
          <t>VÄSTERBOTTENS LÄN</t>
        </is>
      </c>
      <c r="E1211" t="inlineStr">
        <is>
          <t>SORSELE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20454-2021</t>
        </is>
      </c>
      <c r="B1212" s="1" t="n">
        <v>44314</v>
      </c>
      <c r="C1212" s="1" t="n">
        <v>45971</v>
      </c>
      <c r="D1212" t="inlineStr">
        <is>
          <t>VÄSTERBOTTENS LÄN</t>
        </is>
      </c>
      <c r="E1212" t="inlineStr">
        <is>
          <t>UMEÅ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15267-2021</t>
        </is>
      </c>
      <c r="B1213" s="1" t="n">
        <v>44284.56082175926</v>
      </c>
      <c r="C1213" s="1" t="n">
        <v>45971</v>
      </c>
      <c r="D1213" t="inlineStr">
        <is>
          <t>VÄSTERBOTTENS LÄN</t>
        </is>
      </c>
      <c r="E1213" t="inlineStr">
        <is>
          <t>ROBERTSFORS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70508-2021</t>
        </is>
      </c>
      <c r="B1214" s="1" t="n">
        <v>44536</v>
      </c>
      <c r="C1214" s="1" t="n">
        <v>45971</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59457-2021</t>
        </is>
      </c>
      <c r="B1215" s="1" t="n">
        <v>44491.47449074074</v>
      </c>
      <c r="C1215" s="1" t="n">
        <v>45971</v>
      </c>
      <c r="D1215" t="inlineStr">
        <is>
          <t>VÄSTERBOTTENS LÄN</t>
        </is>
      </c>
      <c r="E1215" t="inlineStr">
        <is>
          <t>SKELLEFTEÅ</t>
        </is>
      </c>
      <c r="F1215" t="inlineStr">
        <is>
          <t>Sveaskog</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64399-2021</t>
        </is>
      </c>
      <c r="B1216" s="1" t="n">
        <v>44511</v>
      </c>
      <c r="C1216" s="1" t="n">
        <v>45971</v>
      </c>
      <c r="D1216" t="inlineStr">
        <is>
          <t>VÄSTERBOTTENS LÄN</t>
        </is>
      </c>
      <c r="E1216" t="inlineStr">
        <is>
          <t>SKELLEFTEÅ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13059-2021</t>
        </is>
      </c>
      <c r="B1217" s="1" t="n">
        <v>44271</v>
      </c>
      <c r="C1217" s="1" t="n">
        <v>45971</v>
      </c>
      <c r="D1217" t="inlineStr">
        <is>
          <t>VÄSTERBOTTENS LÄN</t>
        </is>
      </c>
      <c r="E1217" t="inlineStr">
        <is>
          <t>DOROTEA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3368-2022</t>
        </is>
      </c>
      <c r="B1218" s="1" t="n">
        <v>44585</v>
      </c>
      <c r="C1218" s="1" t="n">
        <v>45971</v>
      </c>
      <c r="D1218" t="inlineStr">
        <is>
          <t>VÄSTERBOTTENS LÄN</t>
        </is>
      </c>
      <c r="E1218" t="inlineStr">
        <is>
          <t>LYCKSELE</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64070-2020</t>
        </is>
      </c>
      <c r="B1219" s="1" t="n">
        <v>44167</v>
      </c>
      <c r="C1219" s="1" t="n">
        <v>45971</v>
      </c>
      <c r="D1219" t="inlineStr">
        <is>
          <t>VÄSTERBOTTENS LÄN</t>
        </is>
      </c>
      <c r="E1219" t="inlineStr">
        <is>
          <t>VINDELN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59546-2020</t>
        </is>
      </c>
      <c r="B1220" s="1" t="n">
        <v>44148</v>
      </c>
      <c r="C1220" s="1" t="n">
        <v>45971</v>
      </c>
      <c r="D1220" t="inlineStr">
        <is>
          <t>VÄSTERBOTTENS LÄN</t>
        </is>
      </c>
      <c r="E1220" t="inlineStr">
        <is>
          <t>LYCKSELE</t>
        </is>
      </c>
      <c r="F1220" t="inlineStr">
        <is>
          <t>Holmen skog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27508-2021</t>
        </is>
      </c>
      <c r="B1221" s="1" t="n">
        <v>44351</v>
      </c>
      <c r="C1221" s="1" t="n">
        <v>45971</v>
      </c>
      <c r="D1221" t="inlineStr">
        <is>
          <t>VÄSTERBOTTENS LÄN</t>
        </is>
      </c>
      <c r="E1221" t="inlineStr">
        <is>
          <t>DOROTEA</t>
        </is>
      </c>
      <c r="F1221" t="inlineStr">
        <is>
          <t>Kommuner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70117-2021</t>
        </is>
      </c>
      <c r="B1222" s="1" t="n">
        <v>44533</v>
      </c>
      <c r="C1222" s="1" t="n">
        <v>45971</v>
      </c>
      <c r="D1222" t="inlineStr">
        <is>
          <t>VÄSTERBOTTENS LÄN</t>
        </is>
      </c>
      <c r="E1222" t="inlineStr">
        <is>
          <t>VILHELMINA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27514-2021</t>
        </is>
      </c>
      <c r="B1223" s="1" t="n">
        <v>44351</v>
      </c>
      <c r="C1223" s="1" t="n">
        <v>45971</v>
      </c>
      <c r="D1223" t="inlineStr">
        <is>
          <t>VÄSTERBOTTENS LÄN</t>
        </is>
      </c>
      <c r="E1223" t="inlineStr">
        <is>
          <t>DOROTEA</t>
        </is>
      </c>
      <c r="F1223" t="inlineStr">
        <is>
          <t>Kommuner</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14431-2022</t>
        </is>
      </c>
      <c r="B1224" s="1" t="n">
        <v>44652.92739583334</v>
      </c>
      <c r="C1224" s="1" t="n">
        <v>45971</v>
      </c>
      <c r="D1224" t="inlineStr">
        <is>
          <t>VÄSTERBOTTENS LÄN</t>
        </is>
      </c>
      <c r="E1224" t="inlineStr">
        <is>
          <t>UMEÅ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68383-2020</t>
        </is>
      </c>
      <c r="B1225" s="1" t="n">
        <v>44186.38016203704</v>
      </c>
      <c r="C1225" s="1" t="n">
        <v>45971</v>
      </c>
      <c r="D1225" t="inlineStr">
        <is>
          <t>VÄSTERBOTTENS LÄN</t>
        </is>
      </c>
      <c r="E1225" t="inlineStr">
        <is>
          <t>ROBERTSFORS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65321-2020</t>
        </is>
      </c>
      <c r="B1226" s="1" t="n">
        <v>44169</v>
      </c>
      <c r="C1226" s="1" t="n">
        <v>45971</v>
      </c>
      <c r="D1226" t="inlineStr">
        <is>
          <t>VÄSTERBOTTENS LÄN</t>
        </is>
      </c>
      <c r="E1226" t="inlineStr">
        <is>
          <t>STORUMAN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28959-2021</t>
        </is>
      </c>
      <c r="B1227" s="1" t="n">
        <v>44358.37585648148</v>
      </c>
      <c r="C1227" s="1" t="n">
        <v>45971</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38447-2021</t>
        </is>
      </c>
      <c r="B1228" s="1" t="n">
        <v>44406</v>
      </c>
      <c r="C1228" s="1" t="n">
        <v>45971</v>
      </c>
      <c r="D1228" t="inlineStr">
        <is>
          <t>VÄSTERBOTTENS LÄN</t>
        </is>
      </c>
      <c r="E1228" t="inlineStr">
        <is>
          <t>UMEÅ</t>
        </is>
      </c>
      <c r="F1228" t="inlineStr">
        <is>
          <t>Övriga statliga verk och myndigheter</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13334-2021</t>
        </is>
      </c>
      <c r="B1229" s="1" t="n">
        <v>44272</v>
      </c>
      <c r="C1229" s="1" t="n">
        <v>45971</v>
      </c>
      <c r="D1229" t="inlineStr">
        <is>
          <t>VÄSTERBOTTENS LÄN</t>
        </is>
      </c>
      <c r="E1229" t="inlineStr">
        <is>
          <t>SORSELE</t>
        </is>
      </c>
      <c r="G1229" t="n">
        <v>19.4</v>
      </c>
      <c r="H1229" t="n">
        <v>0</v>
      </c>
      <c r="I1229" t="n">
        <v>0</v>
      </c>
      <c r="J1229" t="n">
        <v>0</v>
      </c>
      <c r="K1229" t="n">
        <v>0</v>
      </c>
      <c r="L1229" t="n">
        <v>0</v>
      </c>
      <c r="M1229" t="n">
        <v>0</v>
      </c>
      <c r="N1229" t="n">
        <v>0</v>
      </c>
      <c r="O1229" t="n">
        <v>0</v>
      </c>
      <c r="P1229" t="n">
        <v>0</v>
      </c>
      <c r="Q1229" t="n">
        <v>0</v>
      </c>
      <c r="R1229" s="2" t="inlineStr"/>
    </row>
    <row r="1230" ht="15" customHeight="1">
      <c r="A1230" t="inlineStr">
        <is>
          <t>A 12896-2021</t>
        </is>
      </c>
      <c r="B1230" s="1" t="n">
        <v>44270</v>
      </c>
      <c r="C1230" s="1" t="n">
        <v>45971</v>
      </c>
      <c r="D1230" t="inlineStr">
        <is>
          <t>VÄSTERBOTTENS LÄN</t>
        </is>
      </c>
      <c r="E1230" t="inlineStr">
        <is>
          <t>STORUMAN</t>
        </is>
      </c>
      <c r="G1230" t="n">
        <v>19.9</v>
      </c>
      <c r="H1230" t="n">
        <v>0</v>
      </c>
      <c r="I1230" t="n">
        <v>0</v>
      </c>
      <c r="J1230" t="n">
        <v>0</v>
      </c>
      <c r="K1230" t="n">
        <v>0</v>
      </c>
      <c r="L1230" t="n">
        <v>0</v>
      </c>
      <c r="M1230" t="n">
        <v>0</v>
      </c>
      <c r="N1230" t="n">
        <v>0</v>
      </c>
      <c r="O1230" t="n">
        <v>0</v>
      </c>
      <c r="P1230" t="n">
        <v>0</v>
      </c>
      <c r="Q1230" t="n">
        <v>0</v>
      </c>
      <c r="R1230" s="2" t="inlineStr"/>
    </row>
    <row r="1231" ht="15" customHeight="1">
      <c r="A1231" t="inlineStr">
        <is>
          <t>A 29529-2021</t>
        </is>
      </c>
      <c r="B1231" s="1" t="n">
        <v>44361</v>
      </c>
      <c r="C1231" s="1" t="n">
        <v>45971</v>
      </c>
      <c r="D1231" t="inlineStr">
        <is>
          <t>VÄSTERBOTTENS LÄN</t>
        </is>
      </c>
      <c r="E1231" t="inlineStr">
        <is>
          <t>UMEÅ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29534-2021</t>
        </is>
      </c>
      <c r="B1232" s="1" t="n">
        <v>44361</v>
      </c>
      <c r="C1232" s="1" t="n">
        <v>45971</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32439-2021</t>
        </is>
      </c>
      <c r="B1233" s="1" t="n">
        <v>44371</v>
      </c>
      <c r="C1233" s="1" t="n">
        <v>45971</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38535-2021</t>
        </is>
      </c>
      <c r="B1234" s="1" t="n">
        <v>44407</v>
      </c>
      <c r="C1234" s="1" t="n">
        <v>45971</v>
      </c>
      <c r="D1234" t="inlineStr">
        <is>
          <t>VÄSTERBOTTENS LÄN</t>
        </is>
      </c>
      <c r="E1234" t="inlineStr">
        <is>
          <t>UMEÅ</t>
        </is>
      </c>
      <c r="F1234" t="inlineStr">
        <is>
          <t>Kommuner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45971</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46006-2021</t>
        </is>
      </c>
      <c r="B1236" s="1" t="n">
        <v>44441</v>
      </c>
      <c r="C1236" s="1" t="n">
        <v>45971</v>
      </c>
      <c r="D1236" t="inlineStr">
        <is>
          <t>VÄSTERBOTTENS LÄN</t>
        </is>
      </c>
      <c r="E1236" t="inlineStr">
        <is>
          <t>SKELLEFTEÅ</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55168-2021</t>
        </is>
      </c>
      <c r="B1237" s="1" t="n">
        <v>44475.23858796297</v>
      </c>
      <c r="C1237" s="1" t="n">
        <v>45971</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47018-2021</t>
        </is>
      </c>
      <c r="B1238" s="1" t="n">
        <v>44446.59321759259</v>
      </c>
      <c r="C1238" s="1" t="n">
        <v>45971</v>
      </c>
      <c r="D1238" t="inlineStr">
        <is>
          <t>VÄSTERBOTTENS LÄN</t>
        </is>
      </c>
      <c r="E1238" t="inlineStr">
        <is>
          <t>LYCKSELE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21261-2021</t>
        </is>
      </c>
      <c r="B1239" s="1" t="n">
        <v>44320</v>
      </c>
      <c r="C1239" s="1" t="n">
        <v>45971</v>
      </c>
      <c r="D1239" t="inlineStr">
        <is>
          <t>VÄSTERBOTTENS LÄN</t>
        </is>
      </c>
      <c r="E1239" t="inlineStr">
        <is>
          <t>UMEÅ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31434-2021</t>
        </is>
      </c>
      <c r="B1240" s="1" t="n">
        <v>44369</v>
      </c>
      <c r="C1240" s="1" t="n">
        <v>45971</v>
      </c>
      <c r="D1240" t="inlineStr">
        <is>
          <t>VÄSTERBOTTENS LÄN</t>
        </is>
      </c>
      <c r="E1240" t="inlineStr">
        <is>
          <t>NORDMALING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18188-2021</t>
        </is>
      </c>
      <c r="B1241" s="1" t="n">
        <v>44302</v>
      </c>
      <c r="C1241" s="1" t="n">
        <v>45971</v>
      </c>
      <c r="D1241" t="inlineStr">
        <is>
          <t>VÄSTERBOTTENS LÄN</t>
        </is>
      </c>
      <c r="E1241" t="inlineStr">
        <is>
          <t>ROBERTSFORS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67751-2021</t>
        </is>
      </c>
      <c r="B1242" s="1" t="n">
        <v>44524</v>
      </c>
      <c r="C1242" s="1" t="n">
        <v>45971</v>
      </c>
      <c r="D1242" t="inlineStr">
        <is>
          <t>VÄSTERBOTTENS LÄN</t>
        </is>
      </c>
      <c r="E1242" t="inlineStr">
        <is>
          <t>BJURHOLM</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38519-2021</t>
        </is>
      </c>
      <c r="B1243" s="1" t="n">
        <v>44407</v>
      </c>
      <c r="C1243" s="1" t="n">
        <v>45971</v>
      </c>
      <c r="D1243" t="inlineStr">
        <is>
          <t>VÄSTERBOTTENS LÄN</t>
        </is>
      </c>
      <c r="E1243" t="inlineStr">
        <is>
          <t>UMEÅ</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28065-2021</t>
        </is>
      </c>
      <c r="B1244" s="1" t="n">
        <v>44355</v>
      </c>
      <c r="C1244" s="1" t="n">
        <v>45971</v>
      </c>
      <c r="D1244" t="inlineStr">
        <is>
          <t>VÄSTERBOTTENS LÄN</t>
        </is>
      </c>
      <c r="E1244" t="inlineStr">
        <is>
          <t>VÄNNÄS</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38915-2021</t>
        </is>
      </c>
      <c r="B1245" s="1" t="n">
        <v>44410</v>
      </c>
      <c r="C1245" s="1" t="n">
        <v>45971</v>
      </c>
      <c r="D1245" t="inlineStr">
        <is>
          <t>VÄSTERBOTTENS LÄN</t>
        </is>
      </c>
      <c r="E1245" t="inlineStr">
        <is>
          <t>UMEÅ</t>
        </is>
      </c>
      <c r="F1245" t="inlineStr">
        <is>
          <t>Övriga statliga verk och myndigheter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38921-2021</t>
        </is>
      </c>
      <c r="B1246" s="1" t="n">
        <v>44410</v>
      </c>
      <c r="C1246" s="1" t="n">
        <v>45971</v>
      </c>
      <c r="D1246" t="inlineStr">
        <is>
          <t>VÄSTERBOTTENS LÄN</t>
        </is>
      </c>
      <c r="E1246" t="inlineStr">
        <is>
          <t>UMEÅ</t>
        </is>
      </c>
      <c r="F1246" t="inlineStr">
        <is>
          <t>Övriga statliga verk och myndigheter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17139-2022</t>
        </is>
      </c>
      <c r="B1247" s="1" t="n">
        <v>44677</v>
      </c>
      <c r="C1247" s="1" t="n">
        <v>45971</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54606-2022</t>
        </is>
      </c>
      <c r="B1248" s="1" t="n">
        <v>44880</v>
      </c>
      <c r="C1248" s="1" t="n">
        <v>45971</v>
      </c>
      <c r="D1248" t="inlineStr">
        <is>
          <t>VÄSTERBOTTENS LÄN</t>
        </is>
      </c>
      <c r="E1248" t="inlineStr">
        <is>
          <t>ROBERTSFORS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53979-2021</t>
        </is>
      </c>
      <c r="B1249" s="1" t="n">
        <v>44469</v>
      </c>
      <c r="C1249" s="1" t="n">
        <v>45971</v>
      </c>
      <c r="D1249" t="inlineStr">
        <is>
          <t>VÄSTERBOTTENS LÄN</t>
        </is>
      </c>
      <c r="E1249" t="inlineStr">
        <is>
          <t>LYCKSELE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9007-2022</t>
        </is>
      </c>
      <c r="B1250" s="1" t="n">
        <v>44615.35633101852</v>
      </c>
      <c r="C1250" s="1" t="n">
        <v>45971</v>
      </c>
      <c r="D1250" t="inlineStr">
        <is>
          <t>VÄSTERBOTTENS LÄN</t>
        </is>
      </c>
      <c r="E1250" t="inlineStr">
        <is>
          <t>ÅSELE</t>
        </is>
      </c>
      <c r="G1250" t="n">
        <v>18.6</v>
      </c>
      <c r="H1250" t="n">
        <v>0</v>
      </c>
      <c r="I1250" t="n">
        <v>0</v>
      </c>
      <c r="J1250" t="n">
        <v>0</v>
      </c>
      <c r="K1250" t="n">
        <v>0</v>
      </c>
      <c r="L1250" t="n">
        <v>0</v>
      </c>
      <c r="M1250" t="n">
        <v>0</v>
      </c>
      <c r="N1250" t="n">
        <v>0</v>
      </c>
      <c r="O1250" t="n">
        <v>0</v>
      </c>
      <c r="P1250" t="n">
        <v>0</v>
      </c>
      <c r="Q1250" t="n">
        <v>0</v>
      </c>
      <c r="R1250" s="2" t="inlineStr"/>
    </row>
    <row r="1251" ht="15" customHeight="1">
      <c r="A1251" t="inlineStr">
        <is>
          <t>A 11468-2022</t>
        </is>
      </c>
      <c r="B1251" s="1" t="n">
        <v>44630.82231481482</v>
      </c>
      <c r="C1251" s="1" t="n">
        <v>45971</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31848-2022</t>
        </is>
      </c>
      <c r="B1252" s="1" t="n">
        <v>44776</v>
      </c>
      <c r="C1252" s="1" t="n">
        <v>45971</v>
      </c>
      <c r="D1252" t="inlineStr">
        <is>
          <t>VÄSTERBOTTENS LÄN</t>
        </is>
      </c>
      <c r="E1252" t="inlineStr">
        <is>
          <t>ÅSELE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31920-2022</t>
        </is>
      </c>
      <c r="B1253" s="1" t="n">
        <v>44777.60917824074</v>
      </c>
      <c r="C1253" s="1" t="n">
        <v>45971</v>
      </c>
      <c r="D1253" t="inlineStr">
        <is>
          <t>VÄSTERBOTTENS LÄN</t>
        </is>
      </c>
      <c r="E1253" t="inlineStr">
        <is>
          <t>UMEÅ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45971</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45971</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45971</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40314-2022</t>
        </is>
      </c>
      <c r="B1257" s="1" t="n">
        <v>44823.28108796296</v>
      </c>
      <c r="C1257" s="1" t="n">
        <v>45971</v>
      </c>
      <c r="D1257" t="inlineStr">
        <is>
          <t>VÄSTERBOTTENS LÄN</t>
        </is>
      </c>
      <c r="E1257" t="inlineStr">
        <is>
          <t>SKELLEFTEÅ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45971</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25401-2021</t>
        </is>
      </c>
      <c r="B1259" s="1" t="n">
        <v>44342</v>
      </c>
      <c r="C1259" s="1" t="n">
        <v>45971</v>
      </c>
      <c r="D1259" t="inlineStr">
        <is>
          <t>VÄSTERBOTTENS LÄN</t>
        </is>
      </c>
      <c r="E1259" t="inlineStr">
        <is>
          <t>NORDMALING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11309-2022</t>
        </is>
      </c>
      <c r="B1260" s="1" t="n">
        <v>44629</v>
      </c>
      <c r="C1260" s="1" t="n">
        <v>45971</v>
      </c>
      <c r="D1260" t="inlineStr">
        <is>
          <t>VÄSTERBOTTENS LÄN</t>
        </is>
      </c>
      <c r="E1260" t="inlineStr">
        <is>
          <t>DOROTEA</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36460-2021</t>
        </is>
      </c>
      <c r="B1261" s="1" t="n">
        <v>44390</v>
      </c>
      <c r="C1261" s="1" t="n">
        <v>45971</v>
      </c>
      <c r="D1261" t="inlineStr">
        <is>
          <t>VÄSTERBOTTENS LÄN</t>
        </is>
      </c>
      <c r="E1261" t="inlineStr">
        <is>
          <t>ÅSELE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4381-2021</t>
        </is>
      </c>
      <c r="B1262" s="1" t="n">
        <v>44221</v>
      </c>
      <c r="C1262" s="1" t="n">
        <v>45971</v>
      </c>
      <c r="D1262" t="inlineStr">
        <is>
          <t>VÄSTERBOTTENS LÄN</t>
        </is>
      </c>
      <c r="E1262" t="inlineStr">
        <is>
          <t>VINDELN</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26018-2022</t>
        </is>
      </c>
      <c r="B1263" s="1" t="n">
        <v>44734</v>
      </c>
      <c r="C1263" s="1" t="n">
        <v>45971</v>
      </c>
      <c r="D1263" t="inlineStr">
        <is>
          <t>VÄSTERBOTTENS LÄN</t>
        </is>
      </c>
      <c r="E1263" t="inlineStr">
        <is>
          <t>ROBERTSFORS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26048-2022</t>
        </is>
      </c>
      <c r="B1264" s="1" t="n">
        <v>44734.59699074074</v>
      </c>
      <c r="C1264" s="1" t="n">
        <v>45971</v>
      </c>
      <c r="D1264" t="inlineStr">
        <is>
          <t>VÄSTERBOTTENS LÄN</t>
        </is>
      </c>
      <c r="E1264" t="inlineStr">
        <is>
          <t>ROBERTSFORS</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45971</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64159-2020</t>
        </is>
      </c>
      <c r="B1266" s="1" t="n">
        <v>44167</v>
      </c>
      <c r="C1266" s="1" t="n">
        <v>45971</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45971</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17850-2021</t>
        </is>
      </c>
      <c r="B1268" s="1" t="n">
        <v>44300.93118055556</v>
      </c>
      <c r="C1268" s="1" t="n">
        <v>45971</v>
      </c>
      <c r="D1268" t="inlineStr">
        <is>
          <t>VÄSTERBOTTENS LÄN</t>
        </is>
      </c>
      <c r="E1268" t="inlineStr">
        <is>
          <t>BJURHOLM</t>
        </is>
      </c>
      <c r="F1268" t="inlineStr">
        <is>
          <t>SCA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33236-2021</t>
        </is>
      </c>
      <c r="B1269" s="1" t="n">
        <v>44376</v>
      </c>
      <c r="C1269" s="1" t="n">
        <v>45971</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67976-2020</t>
        </is>
      </c>
      <c r="B1270" s="1" t="n">
        <v>44182</v>
      </c>
      <c r="C1270" s="1" t="n">
        <v>45971</v>
      </c>
      <c r="D1270" t="inlineStr">
        <is>
          <t>VÄSTERBOTTENS LÄN</t>
        </is>
      </c>
      <c r="E1270" t="inlineStr">
        <is>
          <t>SKELLEFTEÅ</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22405-2022</t>
        </is>
      </c>
      <c r="B1271" s="1" t="n">
        <v>44713</v>
      </c>
      <c r="C1271" s="1" t="n">
        <v>45971</v>
      </c>
      <c r="D1271" t="inlineStr">
        <is>
          <t>VÄSTERBOTTENS LÄN</t>
        </is>
      </c>
      <c r="E1271" t="inlineStr">
        <is>
          <t>VILHELMINA</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37979-2021</t>
        </is>
      </c>
      <c r="B1272" s="1" t="n">
        <v>44403</v>
      </c>
      <c r="C1272" s="1" t="n">
        <v>45971</v>
      </c>
      <c r="D1272" t="inlineStr">
        <is>
          <t>VÄSTERBOTTENS LÄN</t>
        </is>
      </c>
      <c r="E1272" t="inlineStr">
        <is>
          <t>LYCKSELE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45971</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70213-2021</t>
        </is>
      </c>
      <c r="B1274" s="1" t="n">
        <v>44535.39266203704</v>
      </c>
      <c r="C1274" s="1" t="n">
        <v>45971</v>
      </c>
      <c r="D1274" t="inlineStr">
        <is>
          <t>VÄSTERBOTTENS LÄN</t>
        </is>
      </c>
      <c r="E1274" t="inlineStr">
        <is>
          <t>LYCKSELE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70229-2021</t>
        </is>
      </c>
      <c r="B1275" s="1" t="n">
        <v>44533</v>
      </c>
      <c r="C1275" s="1" t="n">
        <v>45971</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24503-2021</t>
        </is>
      </c>
      <c r="B1276" s="1" t="n">
        <v>44337</v>
      </c>
      <c r="C1276" s="1" t="n">
        <v>45971</v>
      </c>
      <c r="D1276" t="inlineStr">
        <is>
          <t>VÄSTERBOTTENS LÄN</t>
        </is>
      </c>
      <c r="E1276" t="inlineStr">
        <is>
          <t>MALÅ</t>
        </is>
      </c>
      <c r="G1276" t="n">
        <v>33.3</v>
      </c>
      <c r="H1276" t="n">
        <v>0</v>
      </c>
      <c r="I1276" t="n">
        <v>0</v>
      </c>
      <c r="J1276" t="n">
        <v>0</v>
      </c>
      <c r="K1276" t="n">
        <v>0</v>
      </c>
      <c r="L1276" t="n">
        <v>0</v>
      </c>
      <c r="M1276" t="n">
        <v>0</v>
      </c>
      <c r="N1276" t="n">
        <v>0</v>
      </c>
      <c r="O1276" t="n">
        <v>0</v>
      </c>
      <c r="P1276" t="n">
        <v>0</v>
      </c>
      <c r="Q1276" t="n">
        <v>0</v>
      </c>
      <c r="R1276" s="2" t="inlineStr"/>
    </row>
    <row r="1277" ht="15" customHeight="1">
      <c r="A1277" t="inlineStr">
        <is>
          <t>A 11116-2022</t>
        </is>
      </c>
      <c r="B1277" s="1" t="n">
        <v>44628.92569444444</v>
      </c>
      <c r="C1277" s="1" t="n">
        <v>45971</v>
      </c>
      <c r="D1277" t="inlineStr">
        <is>
          <t>VÄSTERBOTTENS LÄN</t>
        </is>
      </c>
      <c r="E1277" t="inlineStr">
        <is>
          <t>VILHELMINA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24871-2021</t>
        </is>
      </c>
      <c r="B1278" s="1" t="n">
        <v>44340</v>
      </c>
      <c r="C1278" s="1" t="n">
        <v>45971</v>
      </c>
      <c r="D1278" t="inlineStr">
        <is>
          <t>VÄSTERBOTTENS LÄN</t>
        </is>
      </c>
      <c r="E1278" t="inlineStr">
        <is>
          <t>VINDELN</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24892-2021</t>
        </is>
      </c>
      <c r="B1279" s="1" t="n">
        <v>44340</v>
      </c>
      <c r="C1279" s="1" t="n">
        <v>45971</v>
      </c>
      <c r="D1279" t="inlineStr">
        <is>
          <t>VÄSTERBOTTENS LÄN</t>
        </is>
      </c>
      <c r="E1279" t="inlineStr">
        <is>
          <t>VINDELN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58428-2021</t>
        </is>
      </c>
      <c r="B1280" s="1" t="n">
        <v>44488</v>
      </c>
      <c r="C1280" s="1" t="n">
        <v>45971</v>
      </c>
      <c r="D1280" t="inlineStr">
        <is>
          <t>VÄSTERBOTTENS LÄN</t>
        </is>
      </c>
      <c r="E1280" t="inlineStr">
        <is>
          <t>STORUMAN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14351-2022</t>
        </is>
      </c>
      <c r="B1281" s="1" t="n">
        <v>44652</v>
      </c>
      <c r="C1281" s="1" t="n">
        <v>45971</v>
      </c>
      <c r="D1281" t="inlineStr">
        <is>
          <t>VÄSTERBOTTENS LÄN</t>
        </is>
      </c>
      <c r="E1281" t="inlineStr">
        <is>
          <t>VINDELN</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28040-2022</t>
        </is>
      </c>
      <c r="B1282" s="1" t="n">
        <v>44746</v>
      </c>
      <c r="C1282" s="1" t="n">
        <v>45971</v>
      </c>
      <c r="D1282" t="inlineStr">
        <is>
          <t>VÄSTERBOTTENS LÄN</t>
        </is>
      </c>
      <c r="E1282" t="inlineStr">
        <is>
          <t>BJURHOLM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30389-2022</t>
        </is>
      </c>
      <c r="B1283" s="1" t="n">
        <v>44760</v>
      </c>
      <c r="C1283" s="1" t="n">
        <v>45971</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15680-2022</t>
        </is>
      </c>
      <c r="B1284" s="1" t="n">
        <v>44663</v>
      </c>
      <c r="C1284" s="1" t="n">
        <v>45971</v>
      </c>
      <c r="D1284" t="inlineStr">
        <is>
          <t>VÄSTERBOTTENS LÄN</t>
        </is>
      </c>
      <c r="E1284" t="inlineStr">
        <is>
          <t>STORUMAN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44741.85099537037</v>
      </c>
      <c r="C1285" s="1" t="n">
        <v>45971</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54225-2021</t>
        </is>
      </c>
      <c r="B1286" s="1" t="n">
        <v>44470.62471064815</v>
      </c>
      <c r="C1286" s="1" t="n">
        <v>45971</v>
      </c>
      <c r="D1286" t="inlineStr">
        <is>
          <t>VÄSTERBOTTENS LÄN</t>
        </is>
      </c>
      <c r="E1286" t="inlineStr">
        <is>
          <t>UMEÅ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54297-2021</t>
        </is>
      </c>
      <c r="B1287" s="1" t="n">
        <v>44472</v>
      </c>
      <c r="C1287" s="1" t="n">
        <v>45971</v>
      </c>
      <c r="D1287" t="inlineStr">
        <is>
          <t>VÄSTERBOTTENS LÄN</t>
        </is>
      </c>
      <c r="E1287" t="inlineStr">
        <is>
          <t>MALÅ</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54298-2021</t>
        </is>
      </c>
      <c r="B1288" s="1" t="n">
        <v>44472</v>
      </c>
      <c r="C1288" s="1" t="n">
        <v>45971</v>
      </c>
      <c r="D1288" t="inlineStr">
        <is>
          <t>VÄSTERBOTTENS LÄN</t>
        </is>
      </c>
      <c r="E1288" t="inlineStr">
        <is>
          <t>MALÅ</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48432-2022</t>
        </is>
      </c>
      <c r="B1289" s="1" t="n">
        <v>44858.64782407408</v>
      </c>
      <c r="C1289" s="1" t="n">
        <v>45971</v>
      </c>
      <c r="D1289" t="inlineStr">
        <is>
          <t>VÄSTERBOTTENS LÄN</t>
        </is>
      </c>
      <c r="E1289" t="inlineStr">
        <is>
          <t>ROBERTSFORS</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8731-2022</t>
        </is>
      </c>
      <c r="B1290" s="1" t="n">
        <v>44613</v>
      </c>
      <c r="C1290" s="1" t="n">
        <v>45971</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13369-2022</t>
        </is>
      </c>
      <c r="B1291" s="1" t="n">
        <v>44645</v>
      </c>
      <c r="C1291" s="1" t="n">
        <v>45971</v>
      </c>
      <c r="D1291" t="inlineStr">
        <is>
          <t>VÄSTERBOTTENS LÄN</t>
        </is>
      </c>
      <c r="E1291" t="inlineStr">
        <is>
          <t>ROBERTSFORS</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58787-2020</t>
        </is>
      </c>
      <c r="B1292" s="1" t="n">
        <v>44146</v>
      </c>
      <c r="C1292" s="1" t="n">
        <v>45971</v>
      </c>
      <c r="D1292" t="inlineStr">
        <is>
          <t>VÄSTERBOTTENS LÄN</t>
        </is>
      </c>
      <c r="E1292" t="inlineStr">
        <is>
          <t>MALÅ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64098-2021</t>
        </is>
      </c>
      <c r="B1293" s="1" t="n">
        <v>44510.4482175926</v>
      </c>
      <c r="C1293" s="1" t="n">
        <v>45971</v>
      </c>
      <c r="D1293" t="inlineStr">
        <is>
          <t>VÄSTERBOTTENS LÄN</t>
        </is>
      </c>
      <c r="E1293" t="inlineStr">
        <is>
          <t>NORDMALING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50110-2021</t>
        </is>
      </c>
      <c r="B1294" s="1" t="n">
        <v>44456</v>
      </c>
      <c r="C1294" s="1" t="n">
        <v>45971</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45971</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45971</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31412-2022</t>
        </is>
      </c>
      <c r="B1297" s="1" t="n">
        <v>44774</v>
      </c>
      <c r="C1297" s="1" t="n">
        <v>45971</v>
      </c>
      <c r="D1297" t="inlineStr">
        <is>
          <t>VÄSTERBOTTENS LÄN</t>
        </is>
      </c>
      <c r="E1297" t="inlineStr">
        <is>
          <t>BJURHOLM</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52482-2022</t>
        </is>
      </c>
      <c r="B1298" s="1" t="n">
        <v>44869</v>
      </c>
      <c r="C1298" s="1" t="n">
        <v>45971</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46005-2021</t>
        </is>
      </c>
      <c r="B1299" s="1" t="n">
        <v>44441.85534722222</v>
      </c>
      <c r="C1299" s="1" t="n">
        <v>45971</v>
      </c>
      <c r="D1299" t="inlineStr">
        <is>
          <t>VÄSTERBOTTENS LÄN</t>
        </is>
      </c>
      <c r="E1299" t="inlineStr">
        <is>
          <t>SKELLEFTEÅ</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45971</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33235-2022</t>
        </is>
      </c>
      <c r="B1301" s="1" t="n">
        <v>44785.94342592593</v>
      </c>
      <c r="C1301" s="1" t="n">
        <v>45971</v>
      </c>
      <c r="D1301" t="inlineStr">
        <is>
          <t>VÄSTERBOTTENS LÄN</t>
        </is>
      </c>
      <c r="E1301" t="inlineStr">
        <is>
          <t>LYCKSELE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35954-2022</t>
        </is>
      </c>
      <c r="B1302" s="1" t="n">
        <v>44802</v>
      </c>
      <c r="C1302" s="1" t="n">
        <v>45971</v>
      </c>
      <c r="D1302" t="inlineStr">
        <is>
          <t>VÄSTERBOTTENS LÄN</t>
        </is>
      </c>
      <c r="E1302" t="inlineStr">
        <is>
          <t>NORDMALING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53826-2022</t>
        </is>
      </c>
      <c r="B1303" s="1" t="n">
        <v>44876</v>
      </c>
      <c r="C1303" s="1" t="n">
        <v>45971</v>
      </c>
      <c r="D1303" t="inlineStr">
        <is>
          <t>VÄSTERBOTTENS LÄN</t>
        </is>
      </c>
      <c r="E1303" t="inlineStr">
        <is>
          <t>VINDELN</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45971</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58794-2020</t>
        </is>
      </c>
      <c r="B1305" s="1" t="n">
        <v>44146</v>
      </c>
      <c r="C1305" s="1" t="n">
        <v>45971</v>
      </c>
      <c r="D1305" t="inlineStr">
        <is>
          <t>VÄSTERBOTTENS LÄN</t>
        </is>
      </c>
      <c r="E1305" t="inlineStr">
        <is>
          <t>MALÅ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31955-2022</t>
        </is>
      </c>
      <c r="B1306" s="1" t="n">
        <v>44777.92472222223</v>
      </c>
      <c r="C1306" s="1" t="n">
        <v>45971</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71934-2021</t>
        </is>
      </c>
      <c r="B1307" s="1" t="n">
        <v>44543.94390046296</v>
      </c>
      <c r="C1307" s="1" t="n">
        <v>45971</v>
      </c>
      <c r="D1307" t="inlineStr">
        <is>
          <t>VÄSTERBOTTENS LÄN</t>
        </is>
      </c>
      <c r="E1307" t="inlineStr">
        <is>
          <t>SKELLEFTEÅ</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39676-2022</t>
        </is>
      </c>
      <c r="B1308" s="1" t="n">
        <v>44818</v>
      </c>
      <c r="C1308" s="1" t="n">
        <v>45971</v>
      </c>
      <c r="D1308" t="inlineStr">
        <is>
          <t>VÄSTERBOTTENS LÄN</t>
        </is>
      </c>
      <c r="E1308" t="inlineStr">
        <is>
          <t>NORDMALING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42403-2022</t>
        </is>
      </c>
      <c r="B1309" s="1" t="n">
        <v>44831.43211805556</v>
      </c>
      <c r="C1309" s="1" t="n">
        <v>45971</v>
      </c>
      <c r="D1309" t="inlineStr">
        <is>
          <t>VÄSTERBOTTENS LÄN</t>
        </is>
      </c>
      <c r="E1309" t="inlineStr">
        <is>
          <t>BJURHOLM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58639-2021</t>
        </is>
      </c>
      <c r="B1310" s="1" t="n">
        <v>44488</v>
      </c>
      <c r="C1310" s="1" t="n">
        <v>45971</v>
      </c>
      <c r="D1310" t="inlineStr">
        <is>
          <t>VÄSTERBOTTENS LÄN</t>
        </is>
      </c>
      <c r="E1310" t="inlineStr">
        <is>
          <t>VINDELN</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31181-2021</t>
        </is>
      </c>
      <c r="B1311" s="1" t="n">
        <v>44368</v>
      </c>
      <c r="C1311" s="1" t="n">
        <v>45971</v>
      </c>
      <c r="D1311" t="inlineStr">
        <is>
          <t>VÄSTERBOTTENS LÄN</t>
        </is>
      </c>
      <c r="E1311" t="inlineStr">
        <is>
          <t>SKELLEFTEÅ</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36588-2021</t>
        </is>
      </c>
      <c r="B1312" s="1" t="n">
        <v>44391</v>
      </c>
      <c r="C1312" s="1" t="n">
        <v>45971</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58612-2021</t>
        </is>
      </c>
      <c r="B1313" s="1" t="n">
        <v>44489</v>
      </c>
      <c r="C1313" s="1" t="n">
        <v>45971</v>
      </c>
      <c r="D1313" t="inlineStr">
        <is>
          <t>VÄSTERBOTTENS LÄN</t>
        </is>
      </c>
      <c r="E1313" t="inlineStr">
        <is>
          <t>UMEÅ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45971</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45425-2022</t>
        </is>
      </c>
      <c r="B1315" s="1" t="n">
        <v>44844</v>
      </c>
      <c r="C1315" s="1" t="n">
        <v>45971</v>
      </c>
      <c r="D1315" t="inlineStr">
        <is>
          <t>VÄSTERBOTTENS LÄN</t>
        </is>
      </c>
      <c r="E1315" t="inlineStr">
        <is>
          <t>VILHELMINA</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40034-2022</t>
        </is>
      </c>
      <c r="B1316" s="1" t="n">
        <v>44820.42978009259</v>
      </c>
      <c r="C1316" s="1" t="n">
        <v>45971</v>
      </c>
      <c r="D1316" t="inlineStr">
        <is>
          <t>VÄSTERBOTTENS LÄN</t>
        </is>
      </c>
      <c r="E1316" t="inlineStr">
        <is>
          <t>SKELLEFTEÅ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36188-2022</t>
        </is>
      </c>
      <c r="B1317" s="1" t="n">
        <v>44803.43947916666</v>
      </c>
      <c r="C1317" s="1" t="n">
        <v>45971</v>
      </c>
      <c r="D1317" t="inlineStr">
        <is>
          <t>VÄSTERBOTTENS LÄN</t>
        </is>
      </c>
      <c r="E1317" t="inlineStr">
        <is>
          <t>ÅSELE</t>
        </is>
      </c>
      <c r="F1317" t="inlineStr">
        <is>
          <t>Sveaskog</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39986-2022</t>
        </is>
      </c>
      <c r="B1318" s="1" t="n">
        <v>44820.34625</v>
      </c>
      <c r="C1318" s="1" t="n">
        <v>45971</v>
      </c>
      <c r="D1318" t="inlineStr">
        <is>
          <t>VÄSTERBOTTENS LÄN</t>
        </is>
      </c>
      <c r="E1318" t="inlineStr">
        <is>
          <t>SKELLEFTEÅ</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39998-2022</t>
        </is>
      </c>
      <c r="B1319" s="1" t="n">
        <v>44820.35803240741</v>
      </c>
      <c r="C1319" s="1" t="n">
        <v>45971</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40000-2022</t>
        </is>
      </c>
      <c r="B1320" s="1" t="n">
        <v>44818</v>
      </c>
      <c r="C1320" s="1" t="n">
        <v>45971</v>
      </c>
      <c r="D1320" t="inlineStr">
        <is>
          <t>VÄSTERBOTTENS LÄN</t>
        </is>
      </c>
      <c r="E1320" t="inlineStr">
        <is>
          <t>BJURHOLM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48943-2022</t>
        </is>
      </c>
      <c r="B1321" s="1" t="n">
        <v>44859.95741898148</v>
      </c>
      <c r="C1321" s="1" t="n">
        <v>45971</v>
      </c>
      <c r="D1321" t="inlineStr">
        <is>
          <t>VÄSTERBOTTENS LÄN</t>
        </is>
      </c>
      <c r="E1321" t="inlineStr">
        <is>
          <t>NORDMALING</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30019-2022</t>
        </is>
      </c>
      <c r="B1322" s="1" t="n">
        <v>44756.94431712963</v>
      </c>
      <c r="C1322" s="1" t="n">
        <v>45971</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30020-2022</t>
        </is>
      </c>
      <c r="B1323" s="1" t="n">
        <v>44756.94440972222</v>
      </c>
      <c r="C1323" s="1" t="n">
        <v>45971</v>
      </c>
      <c r="D1323" t="inlineStr">
        <is>
          <t>VÄSTERBOTTENS LÄN</t>
        </is>
      </c>
      <c r="E1323" t="inlineStr">
        <is>
          <t>VILHELMINA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41513-2022</t>
        </is>
      </c>
      <c r="B1324" s="1" t="n">
        <v>44827</v>
      </c>
      <c r="C1324" s="1" t="n">
        <v>45971</v>
      </c>
      <c r="D1324" t="inlineStr">
        <is>
          <t>VÄSTERBOTTENS LÄN</t>
        </is>
      </c>
      <c r="E1324" t="inlineStr">
        <is>
          <t>SKELLEFTEÅ</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43078-2022</t>
        </is>
      </c>
      <c r="B1325" s="1" t="n">
        <v>44833.64483796297</v>
      </c>
      <c r="C1325" s="1" t="n">
        <v>45971</v>
      </c>
      <c r="D1325" t="inlineStr">
        <is>
          <t>VÄSTERBOTTENS LÄN</t>
        </is>
      </c>
      <c r="E1325" t="inlineStr">
        <is>
          <t>SKELLEFTEÅ</t>
        </is>
      </c>
      <c r="F1325" t="inlineStr">
        <is>
          <t>Sveaskog</t>
        </is>
      </c>
      <c r="G1325" t="n">
        <v>19.6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45971</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53389-2022</t>
        </is>
      </c>
      <c r="B1327" s="1" t="n">
        <v>44874</v>
      </c>
      <c r="C1327" s="1" t="n">
        <v>45971</v>
      </c>
      <c r="D1327" t="inlineStr">
        <is>
          <t>VÄSTERBOTTENS LÄN</t>
        </is>
      </c>
      <c r="E1327" t="inlineStr">
        <is>
          <t>LYCKSELE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46981-2022</t>
        </is>
      </c>
      <c r="B1328" s="1" t="n">
        <v>44851.95386574074</v>
      </c>
      <c r="C1328" s="1" t="n">
        <v>45971</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66756-2021</t>
        </is>
      </c>
      <c r="B1329" s="1" t="n">
        <v>44521.76505787037</v>
      </c>
      <c r="C1329" s="1" t="n">
        <v>45971</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51555-2021</t>
        </is>
      </c>
      <c r="B1330" s="1" t="n">
        <v>44462.42559027778</v>
      </c>
      <c r="C1330" s="1" t="n">
        <v>45971</v>
      </c>
      <c r="D1330" t="inlineStr">
        <is>
          <t>VÄSTERBOTTENS LÄN</t>
        </is>
      </c>
      <c r="E1330" t="inlineStr">
        <is>
          <t>NORDMALING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36609-2021</t>
        </is>
      </c>
      <c r="B1331" s="1" t="n">
        <v>44391</v>
      </c>
      <c r="C1331" s="1" t="n">
        <v>45971</v>
      </c>
      <c r="D1331" t="inlineStr">
        <is>
          <t>VÄSTERBOTTENS LÄN</t>
        </is>
      </c>
      <c r="E1331" t="inlineStr">
        <is>
          <t>SKELLEFTEÅ</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45971</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49644-2021</t>
        </is>
      </c>
      <c r="B1333" s="1" t="n">
        <v>44454</v>
      </c>
      <c r="C1333" s="1" t="n">
        <v>45971</v>
      </c>
      <c r="D1333" t="inlineStr">
        <is>
          <t>VÄSTERBOTTENS LÄN</t>
        </is>
      </c>
      <c r="E1333" t="inlineStr">
        <is>
          <t>VÄNNÄS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51682-2021</t>
        </is>
      </c>
      <c r="B1334" s="1" t="n">
        <v>44462.53556712963</v>
      </c>
      <c r="C1334" s="1" t="n">
        <v>45971</v>
      </c>
      <c r="D1334" t="inlineStr">
        <is>
          <t>VÄSTERBOTTENS LÄN</t>
        </is>
      </c>
      <c r="E1334" t="inlineStr">
        <is>
          <t>NORSJÖ</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44621-2022</t>
        </is>
      </c>
      <c r="B1335" s="1" t="n">
        <v>44838</v>
      </c>
      <c r="C1335" s="1" t="n">
        <v>45971</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70365-2021</t>
        </is>
      </c>
      <c r="B1336" s="1" t="n">
        <v>44535</v>
      </c>
      <c r="C1336" s="1" t="n">
        <v>45971</v>
      </c>
      <c r="D1336" t="inlineStr">
        <is>
          <t>VÄSTERBOTTENS LÄN</t>
        </is>
      </c>
      <c r="E1336" t="inlineStr">
        <is>
          <t>ROBERTSFORS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60756-2020</t>
        </is>
      </c>
      <c r="B1337" s="1" t="n">
        <v>44153</v>
      </c>
      <c r="C1337" s="1" t="n">
        <v>45971</v>
      </c>
      <c r="D1337" t="inlineStr">
        <is>
          <t>VÄSTERBOTTENS LÄN</t>
        </is>
      </c>
      <c r="E1337" t="inlineStr">
        <is>
          <t>ROBERTSFORS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58769-2020</t>
        </is>
      </c>
      <c r="B1338" s="1" t="n">
        <v>44145</v>
      </c>
      <c r="C1338" s="1" t="n">
        <v>45971</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45031-2022</t>
        </is>
      </c>
      <c r="B1339" s="1" t="n">
        <v>44841.65748842592</v>
      </c>
      <c r="C1339" s="1" t="n">
        <v>45971</v>
      </c>
      <c r="D1339" t="inlineStr">
        <is>
          <t>VÄSTERBOTTENS LÄN</t>
        </is>
      </c>
      <c r="E1339" t="inlineStr">
        <is>
          <t>UMEÅ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65663-2020</t>
        </is>
      </c>
      <c r="B1340" s="1" t="n">
        <v>44172</v>
      </c>
      <c r="C1340" s="1" t="n">
        <v>45971</v>
      </c>
      <c r="D1340" t="inlineStr">
        <is>
          <t>VÄSTERBOTTENS LÄN</t>
        </is>
      </c>
      <c r="E1340" t="inlineStr">
        <is>
          <t>VILHELMINA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66036-2020</t>
        </is>
      </c>
      <c r="B1341" s="1" t="n">
        <v>44175</v>
      </c>
      <c r="C1341" s="1" t="n">
        <v>45971</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61918-2020</t>
        </is>
      </c>
      <c r="B1342" s="1" t="n">
        <v>44158</v>
      </c>
      <c r="C1342" s="1" t="n">
        <v>45971</v>
      </c>
      <c r="D1342" t="inlineStr">
        <is>
          <t>VÄSTERBOTTENS LÄN</t>
        </is>
      </c>
      <c r="E1342" t="inlineStr">
        <is>
          <t>UMEÅ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49081-2022</t>
        </is>
      </c>
      <c r="B1343" s="1" t="n">
        <v>44860</v>
      </c>
      <c r="C1343" s="1" t="n">
        <v>45971</v>
      </c>
      <c r="D1343" t="inlineStr">
        <is>
          <t>VÄSTERBOTTENS LÄN</t>
        </is>
      </c>
      <c r="E1343" t="inlineStr">
        <is>
          <t>STORUMAN</t>
        </is>
      </c>
      <c r="F1343" t="inlineStr">
        <is>
          <t>Sveaskog</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45971</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45971</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59372-2021</t>
        </is>
      </c>
      <c r="B1346" s="1" t="n">
        <v>44491</v>
      </c>
      <c r="C1346" s="1" t="n">
        <v>45971</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38395-2021</t>
        </is>
      </c>
      <c r="B1347" s="1" t="n">
        <v>44406</v>
      </c>
      <c r="C1347" s="1" t="n">
        <v>45971</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38406-2021</t>
        </is>
      </c>
      <c r="B1348" s="1" t="n">
        <v>44406</v>
      </c>
      <c r="C1348" s="1" t="n">
        <v>45971</v>
      </c>
      <c r="D1348" t="inlineStr">
        <is>
          <t>VÄSTERBOTTENS LÄN</t>
        </is>
      </c>
      <c r="E1348" t="inlineStr">
        <is>
          <t>UMEÅ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46340-2022</t>
        </is>
      </c>
      <c r="B1349" s="1" t="n">
        <v>44847.94993055556</v>
      </c>
      <c r="C1349" s="1" t="n">
        <v>45971</v>
      </c>
      <c r="D1349" t="inlineStr">
        <is>
          <t>VÄSTERBOTTENS LÄN</t>
        </is>
      </c>
      <c r="E1349" t="inlineStr">
        <is>
          <t>ÅSELE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10422-2021</t>
        </is>
      </c>
      <c r="B1350" s="1" t="n">
        <v>44257</v>
      </c>
      <c r="C1350" s="1" t="n">
        <v>45971</v>
      </c>
      <c r="D1350" t="inlineStr">
        <is>
          <t>VÄSTERBOTTENS LÄN</t>
        </is>
      </c>
      <c r="E1350" t="inlineStr">
        <is>
          <t>STORUMAN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27945-2021</t>
        </is>
      </c>
      <c r="B1351" s="1" t="n">
        <v>44354</v>
      </c>
      <c r="C1351" s="1" t="n">
        <v>45971</v>
      </c>
      <c r="D1351" t="inlineStr">
        <is>
          <t>VÄSTERBOTTENS LÄN</t>
        </is>
      </c>
      <c r="E1351" t="inlineStr">
        <is>
          <t>LYCKSELE</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31186-2021</t>
        </is>
      </c>
      <c r="B1352" s="1" t="n">
        <v>44368</v>
      </c>
      <c r="C1352" s="1" t="n">
        <v>45971</v>
      </c>
      <c r="D1352" t="inlineStr">
        <is>
          <t>VÄSTERBOTTENS LÄN</t>
        </is>
      </c>
      <c r="E1352" t="inlineStr">
        <is>
          <t>SKELLEFTEÅ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43403-2022</t>
        </is>
      </c>
      <c r="B1353" s="1" t="n">
        <v>44834.76478009259</v>
      </c>
      <c r="C1353" s="1" t="n">
        <v>45971</v>
      </c>
      <c r="D1353" t="inlineStr">
        <is>
          <t>VÄSTERBOTTENS LÄN</t>
        </is>
      </c>
      <c r="E1353" t="inlineStr">
        <is>
          <t>DOROTEA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27444-2021</t>
        </is>
      </c>
      <c r="B1354" s="1" t="n">
        <v>44351</v>
      </c>
      <c r="C1354" s="1" t="n">
        <v>45971</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32006-2021</t>
        </is>
      </c>
      <c r="B1355" s="1" t="n">
        <v>44370.62300925926</v>
      </c>
      <c r="C1355" s="1" t="n">
        <v>45971</v>
      </c>
      <c r="D1355" t="inlineStr">
        <is>
          <t>VÄSTERBOTTENS LÄN</t>
        </is>
      </c>
      <c r="E1355" t="inlineStr">
        <is>
          <t>NORSJÖ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32081-2021</t>
        </is>
      </c>
      <c r="B1356" s="1" t="n">
        <v>44370</v>
      </c>
      <c r="C1356" s="1" t="n">
        <v>45971</v>
      </c>
      <c r="D1356" t="inlineStr">
        <is>
          <t>VÄSTERBOTTENS LÄN</t>
        </is>
      </c>
      <c r="E1356" t="inlineStr">
        <is>
          <t>BJURHOLM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18950-2021</t>
        </is>
      </c>
      <c r="B1357" s="1" t="n">
        <v>44307</v>
      </c>
      <c r="C1357" s="1" t="n">
        <v>45971</v>
      </c>
      <c r="D1357" t="inlineStr">
        <is>
          <t>VÄSTERBOTTENS LÄN</t>
        </is>
      </c>
      <c r="E1357" t="inlineStr">
        <is>
          <t>VILHELMINA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1120-2022</t>
        </is>
      </c>
      <c r="B1358" s="1" t="n">
        <v>44572.34782407407</v>
      </c>
      <c r="C1358" s="1" t="n">
        <v>45971</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45902-2022</t>
        </is>
      </c>
      <c r="B1359" s="1" t="n">
        <v>44846</v>
      </c>
      <c r="C1359" s="1" t="n">
        <v>45971</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27475-2021</t>
        </is>
      </c>
      <c r="B1360" s="1" t="n">
        <v>44351</v>
      </c>
      <c r="C1360" s="1" t="n">
        <v>45971</v>
      </c>
      <c r="D1360" t="inlineStr">
        <is>
          <t>VÄSTERBOTTENS LÄN</t>
        </is>
      </c>
      <c r="E1360" t="inlineStr">
        <is>
          <t>VINDELN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27511-2021</t>
        </is>
      </c>
      <c r="B1361" s="1" t="n">
        <v>44351</v>
      </c>
      <c r="C1361" s="1" t="n">
        <v>45971</v>
      </c>
      <c r="D1361" t="inlineStr">
        <is>
          <t>VÄSTERBOTTENS LÄN</t>
        </is>
      </c>
      <c r="E1361" t="inlineStr">
        <is>
          <t>DOROTEA</t>
        </is>
      </c>
      <c r="F1361" t="inlineStr">
        <is>
          <t>Kommuner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45971</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45971</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38891-2021</t>
        </is>
      </c>
      <c r="B1364" s="1" t="n">
        <v>44410</v>
      </c>
      <c r="C1364" s="1" t="n">
        <v>45971</v>
      </c>
      <c r="D1364" t="inlineStr">
        <is>
          <t>VÄSTERBOTTENS LÄN</t>
        </is>
      </c>
      <c r="E1364" t="inlineStr">
        <is>
          <t>UMEÅ</t>
        </is>
      </c>
      <c r="F1364" t="inlineStr">
        <is>
          <t>Övriga statliga verk och myndigheter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36023-2021</t>
        </is>
      </c>
      <c r="B1365" s="1" t="n">
        <v>44386</v>
      </c>
      <c r="C1365" s="1" t="n">
        <v>45971</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48772-2022</t>
        </is>
      </c>
      <c r="B1366" s="1" t="n">
        <v>44859</v>
      </c>
      <c r="C1366" s="1" t="n">
        <v>45971</v>
      </c>
      <c r="D1366" t="inlineStr">
        <is>
          <t>VÄSTERBOTTENS LÄN</t>
        </is>
      </c>
      <c r="E1366" t="inlineStr">
        <is>
          <t>ÅSELE</t>
        </is>
      </c>
      <c r="F1366" t="inlineStr">
        <is>
          <t>Sveaskog</t>
        </is>
      </c>
      <c r="G1366" t="n">
        <v>26.9</v>
      </c>
      <c r="H1366" t="n">
        <v>0</v>
      </c>
      <c r="I1366" t="n">
        <v>0</v>
      </c>
      <c r="J1366" t="n">
        <v>0</v>
      </c>
      <c r="K1366" t="n">
        <v>0</v>
      </c>
      <c r="L1366" t="n">
        <v>0</v>
      </c>
      <c r="M1366" t="n">
        <v>0</v>
      </c>
      <c r="N1366" t="n">
        <v>0</v>
      </c>
      <c r="O1366" t="n">
        <v>0</v>
      </c>
      <c r="P1366" t="n">
        <v>0</v>
      </c>
      <c r="Q1366" t="n">
        <v>0</v>
      </c>
      <c r="R1366" s="2" t="inlineStr"/>
    </row>
    <row r="1367" ht="15" customHeight="1">
      <c r="A1367" t="inlineStr">
        <is>
          <t>A 46923-2022</t>
        </is>
      </c>
      <c r="B1367" s="1" t="n">
        <v>44851.68325231481</v>
      </c>
      <c r="C1367" s="1" t="n">
        <v>45971</v>
      </c>
      <c r="D1367" t="inlineStr">
        <is>
          <t>VÄSTERBOTTENS LÄN</t>
        </is>
      </c>
      <c r="E1367" t="inlineStr">
        <is>
          <t>NORDMALING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45971</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3031-2021</t>
        </is>
      </c>
      <c r="B1369" s="1" t="n">
        <v>44216</v>
      </c>
      <c r="C1369" s="1" t="n">
        <v>45971</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2943-2021</t>
        </is>
      </c>
      <c r="B1370" s="1" t="n">
        <v>44214</v>
      </c>
      <c r="C1370" s="1" t="n">
        <v>45971</v>
      </c>
      <c r="D1370" t="inlineStr">
        <is>
          <t>VÄSTERBOTTENS LÄN</t>
        </is>
      </c>
      <c r="E1370" t="inlineStr">
        <is>
          <t>UMEÅ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2947-2021</t>
        </is>
      </c>
      <c r="B1371" s="1" t="n">
        <v>44214</v>
      </c>
      <c r="C1371" s="1" t="n">
        <v>45971</v>
      </c>
      <c r="D1371" t="inlineStr">
        <is>
          <t>VÄSTERBOTTENS LÄN</t>
        </is>
      </c>
      <c r="E1371" t="inlineStr">
        <is>
          <t>UMEÅ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18497-2022</t>
        </is>
      </c>
      <c r="B1372" s="1" t="n">
        <v>44686</v>
      </c>
      <c r="C1372" s="1" t="n">
        <v>45971</v>
      </c>
      <c r="D1372" t="inlineStr">
        <is>
          <t>VÄSTERBOTTENS LÄN</t>
        </is>
      </c>
      <c r="E1372" t="inlineStr">
        <is>
          <t>VILHELMINA</t>
        </is>
      </c>
      <c r="F1372" t="inlineStr">
        <is>
          <t>Övriga statliga verk och myndigheter</t>
        </is>
      </c>
      <c r="G1372" t="n">
        <v>64.7</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45971</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45971</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45971</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46628-2021</t>
        </is>
      </c>
      <c r="B1376" s="1" t="n">
        <v>44445</v>
      </c>
      <c r="C1376" s="1" t="n">
        <v>45971</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18576-2022</t>
        </is>
      </c>
      <c r="B1377" s="1" t="n">
        <v>44687.29710648148</v>
      </c>
      <c r="C1377" s="1" t="n">
        <v>45971</v>
      </c>
      <c r="D1377" t="inlineStr">
        <is>
          <t>VÄSTERBOTTENS LÄN</t>
        </is>
      </c>
      <c r="E1377" t="inlineStr">
        <is>
          <t>ÅSELE</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47708-2021</t>
        </is>
      </c>
      <c r="B1378" s="1" t="n">
        <v>44448.48563657407</v>
      </c>
      <c r="C1378" s="1" t="n">
        <v>45971</v>
      </c>
      <c r="D1378" t="inlineStr">
        <is>
          <t>VÄSTERBOTTENS LÄN</t>
        </is>
      </c>
      <c r="E1378" t="inlineStr">
        <is>
          <t>LYCKSELE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64087-2021</t>
        </is>
      </c>
      <c r="B1379" s="1" t="n">
        <v>44509</v>
      </c>
      <c r="C1379" s="1" t="n">
        <v>45971</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47285-2022</t>
        </is>
      </c>
      <c r="B1380" s="1" t="n">
        <v>44852.95126157408</v>
      </c>
      <c r="C1380" s="1" t="n">
        <v>45971</v>
      </c>
      <c r="D1380" t="inlineStr">
        <is>
          <t>VÄSTERBOTTENS LÄN</t>
        </is>
      </c>
      <c r="E1380" t="inlineStr">
        <is>
          <t>VILHELMINA</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45971</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61450-2020</t>
        </is>
      </c>
      <c r="B1382" s="1" t="n">
        <v>44158</v>
      </c>
      <c r="C1382" s="1" t="n">
        <v>45971</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13565-2021</t>
        </is>
      </c>
      <c r="B1383" s="1" t="n">
        <v>44273</v>
      </c>
      <c r="C1383" s="1" t="n">
        <v>45971</v>
      </c>
      <c r="D1383" t="inlineStr">
        <is>
          <t>VÄSTERBOTTENS LÄN</t>
        </is>
      </c>
      <c r="E1383" t="inlineStr">
        <is>
          <t>STORUMAN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45971</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60844-2021</t>
        </is>
      </c>
      <c r="B1385" s="1" t="n">
        <v>44497</v>
      </c>
      <c r="C1385" s="1" t="n">
        <v>45971</v>
      </c>
      <c r="D1385" t="inlineStr">
        <is>
          <t>VÄSTERBOTTENS LÄN</t>
        </is>
      </c>
      <c r="E1385" t="inlineStr">
        <is>
          <t>ROBERTSFORS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22325-2022</t>
        </is>
      </c>
      <c r="B1386" s="1" t="n">
        <v>44712</v>
      </c>
      <c r="C1386" s="1" t="n">
        <v>45971</v>
      </c>
      <c r="D1386" t="inlineStr">
        <is>
          <t>VÄSTERBOTTENS LÄN</t>
        </is>
      </c>
      <c r="E1386" t="inlineStr">
        <is>
          <t>VILHELMINA</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36054-2022</t>
        </is>
      </c>
      <c r="B1387" s="1" t="n">
        <v>44802.7690625</v>
      </c>
      <c r="C1387" s="1" t="n">
        <v>45971</v>
      </c>
      <c r="D1387" t="inlineStr">
        <is>
          <t>VÄSTERBOTTENS LÄN</t>
        </is>
      </c>
      <c r="E1387" t="inlineStr">
        <is>
          <t>LYCKSELE</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45971</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14199-2022</t>
        </is>
      </c>
      <c r="B1389" s="1" t="n">
        <v>44651</v>
      </c>
      <c r="C1389" s="1" t="n">
        <v>45971</v>
      </c>
      <c r="D1389" t="inlineStr">
        <is>
          <t>VÄSTERBOTTENS LÄN</t>
        </is>
      </c>
      <c r="E1389" t="inlineStr">
        <is>
          <t>NORDMALING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50206-2022</t>
        </is>
      </c>
      <c r="B1390" s="1" t="n">
        <v>44865</v>
      </c>
      <c r="C1390" s="1" t="n">
        <v>45971</v>
      </c>
      <c r="D1390" t="inlineStr">
        <is>
          <t>VÄSTERBOTTENS LÄN</t>
        </is>
      </c>
      <c r="E1390" t="inlineStr">
        <is>
          <t>UMEÅ</t>
        </is>
      </c>
      <c r="F1390" t="inlineStr">
        <is>
          <t>Holmen skog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32813-2022</t>
        </is>
      </c>
      <c r="B1391" s="1" t="n">
        <v>44784</v>
      </c>
      <c r="C1391" s="1" t="n">
        <v>45971</v>
      </c>
      <c r="D1391" t="inlineStr">
        <is>
          <t>VÄSTERBOTTENS LÄN</t>
        </is>
      </c>
      <c r="E1391" t="inlineStr">
        <is>
          <t>SORSELE</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20194-2022</t>
        </is>
      </c>
      <c r="B1392" s="1" t="n">
        <v>44698.55778935185</v>
      </c>
      <c r="C1392" s="1" t="n">
        <v>45971</v>
      </c>
      <c r="D1392" t="inlineStr">
        <is>
          <t>VÄSTERBOTTENS LÄN</t>
        </is>
      </c>
      <c r="E1392" t="inlineStr">
        <is>
          <t>STORUMAN</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52086-2021</t>
        </is>
      </c>
      <c r="B1393" s="1" t="n">
        <v>44463</v>
      </c>
      <c r="C1393" s="1" t="n">
        <v>45971</v>
      </c>
      <c r="D1393" t="inlineStr">
        <is>
          <t>VÄSTERBOTTENS LÄN</t>
        </is>
      </c>
      <c r="E1393" t="inlineStr">
        <is>
          <t>SKELLEFTEÅ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22076-2022</t>
        </is>
      </c>
      <c r="B1394" s="1" t="n">
        <v>44711</v>
      </c>
      <c r="C1394" s="1" t="n">
        <v>45971</v>
      </c>
      <c r="D1394" t="inlineStr">
        <is>
          <t>VÄSTERBOTTENS LÄN</t>
        </is>
      </c>
      <c r="E1394" t="inlineStr">
        <is>
          <t>LYCKSELE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51005-2022</t>
        </is>
      </c>
      <c r="B1395" s="1" t="n">
        <v>44867.94863425926</v>
      </c>
      <c r="C1395" s="1" t="n">
        <v>45971</v>
      </c>
      <c r="D1395" t="inlineStr">
        <is>
          <t>VÄSTERBOTTENS LÄN</t>
        </is>
      </c>
      <c r="E1395" t="inlineStr">
        <is>
          <t>NORDMALING</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51008-2022</t>
        </is>
      </c>
      <c r="B1396" s="1" t="n">
        <v>44867.94878472222</v>
      </c>
      <c r="C1396" s="1" t="n">
        <v>45971</v>
      </c>
      <c r="D1396" t="inlineStr">
        <is>
          <t>VÄSTERBOTTENS LÄN</t>
        </is>
      </c>
      <c r="E1396" t="inlineStr">
        <is>
          <t>NORDMALING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45971</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45971</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55565-2021</t>
        </is>
      </c>
      <c r="B1399" s="1" t="n">
        <v>44475</v>
      </c>
      <c r="C1399" s="1" t="n">
        <v>45971</v>
      </c>
      <c r="D1399" t="inlineStr">
        <is>
          <t>VÄSTERBOTTENS LÄN</t>
        </is>
      </c>
      <c r="E1399" t="inlineStr">
        <is>
          <t>LYCKSELE</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6249-2022</t>
        </is>
      </c>
      <c r="B1400" s="1" t="n">
        <v>44600</v>
      </c>
      <c r="C1400" s="1" t="n">
        <v>45971</v>
      </c>
      <c r="D1400" t="inlineStr">
        <is>
          <t>VÄSTERBOTTENS LÄN</t>
        </is>
      </c>
      <c r="E1400" t="inlineStr">
        <is>
          <t>VINDELN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45971</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45971</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70177-2021</t>
        </is>
      </c>
      <c r="B1403" s="1" t="n">
        <v>44533</v>
      </c>
      <c r="C1403" s="1" t="n">
        <v>45971</v>
      </c>
      <c r="D1403" t="inlineStr">
        <is>
          <t>VÄSTERBOTTENS LÄN</t>
        </is>
      </c>
      <c r="E1403" t="inlineStr">
        <is>
          <t>SORSELE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32661-2021</t>
        </is>
      </c>
      <c r="B1404" s="1" t="n">
        <v>44375</v>
      </c>
      <c r="C1404" s="1" t="n">
        <v>45971</v>
      </c>
      <c r="D1404" t="inlineStr">
        <is>
          <t>VÄSTERBOTTENS LÄN</t>
        </is>
      </c>
      <c r="E1404" t="inlineStr">
        <is>
          <t>NORSJÖ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72093-2021</t>
        </is>
      </c>
      <c r="B1405" s="1" t="n">
        <v>44543</v>
      </c>
      <c r="C1405" s="1" t="n">
        <v>45971</v>
      </c>
      <c r="D1405" t="inlineStr">
        <is>
          <t>VÄSTERBOTTENS LÄN</t>
        </is>
      </c>
      <c r="E1405" t="inlineStr">
        <is>
          <t>STORUMAN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60440-2021</t>
        </is>
      </c>
      <c r="B1406" s="1" t="n">
        <v>44496.42803240741</v>
      </c>
      <c r="C1406" s="1" t="n">
        <v>45971</v>
      </c>
      <c r="D1406" t="inlineStr">
        <is>
          <t>VÄSTERBOTTENS LÄN</t>
        </is>
      </c>
      <c r="E1406" t="inlineStr">
        <is>
          <t>LYCKSELE</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45417-2022</t>
        </is>
      </c>
      <c r="B1407" s="1" t="n">
        <v>44844</v>
      </c>
      <c r="C1407" s="1" t="n">
        <v>45971</v>
      </c>
      <c r="D1407" t="inlineStr">
        <is>
          <t>VÄSTERBOTTENS LÄN</t>
        </is>
      </c>
      <c r="E1407" t="inlineStr">
        <is>
          <t>BJURHOLM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60862-2023</t>
        </is>
      </c>
      <c r="B1408" s="1" t="n">
        <v>45260.96586805556</v>
      </c>
      <c r="C1408" s="1" t="n">
        <v>45971</v>
      </c>
      <c r="D1408" t="inlineStr">
        <is>
          <t>VÄSTERBOTTENS LÄN</t>
        </is>
      </c>
      <c r="E1408" t="inlineStr">
        <is>
          <t>BJURHOLM</t>
        </is>
      </c>
      <c r="F1408" t="inlineStr">
        <is>
          <t>SCA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23505-2022</t>
        </is>
      </c>
      <c r="B1409" s="1" t="n">
        <v>44721</v>
      </c>
      <c r="C1409" s="1" t="n">
        <v>45971</v>
      </c>
      <c r="D1409" t="inlineStr">
        <is>
          <t>VÄSTERBOTTENS LÄN</t>
        </is>
      </c>
      <c r="E1409" t="inlineStr">
        <is>
          <t>ROBERTSFORS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51068-2022</t>
        </is>
      </c>
      <c r="B1410" s="1" t="n">
        <v>44865</v>
      </c>
      <c r="C1410" s="1" t="n">
        <v>45971</v>
      </c>
      <c r="D1410" t="inlineStr">
        <is>
          <t>VÄSTERBOTTENS LÄN</t>
        </is>
      </c>
      <c r="E1410" t="inlineStr">
        <is>
          <t>BJURHOLM</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8983-2022</t>
        </is>
      </c>
      <c r="B1411" s="1" t="n">
        <v>44614</v>
      </c>
      <c r="C1411" s="1" t="n">
        <v>45971</v>
      </c>
      <c r="D1411" t="inlineStr">
        <is>
          <t>VÄSTERBOTTENS LÄN</t>
        </is>
      </c>
      <c r="E1411" t="inlineStr">
        <is>
          <t>DOROTEA</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7383-2022</t>
        </is>
      </c>
      <c r="B1412" s="1" t="n">
        <v>44606.62075231481</v>
      </c>
      <c r="C1412" s="1" t="n">
        <v>45971</v>
      </c>
      <c r="D1412" t="inlineStr">
        <is>
          <t>VÄSTERBOTTENS LÄN</t>
        </is>
      </c>
      <c r="E1412" t="inlineStr">
        <is>
          <t>UMEÅ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15111-2022</t>
        </is>
      </c>
      <c r="B1413" s="1" t="n">
        <v>44658</v>
      </c>
      <c r="C1413" s="1" t="n">
        <v>45971</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8457-2022</t>
        </is>
      </c>
      <c r="B1414" s="1" t="n">
        <v>44612.92134259259</v>
      </c>
      <c r="C1414" s="1" t="n">
        <v>45971</v>
      </c>
      <c r="D1414" t="inlineStr">
        <is>
          <t>VÄSTERBOTTENS LÄN</t>
        </is>
      </c>
      <c r="E1414" t="inlineStr">
        <is>
          <t>ROBERTSFORS</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8459-2022</t>
        </is>
      </c>
      <c r="B1415" s="1" t="n">
        <v>44612.92251157408</v>
      </c>
      <c r="C1415" s="1" t="n">
        <v>45971</v>
      </c>
      <c r="D1415" t="inlineStr">
        <is>
          <t>VÄSTERBOTTENS LÄN</t>
        </is>
      </c>
      <c r="E1415" t="inlineStr">
        <is>
          <t>ROBERTSFORS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52685-2022</t>
        </is>
      </c>
      <c r="B1416" s="1" t="n">
        <v>44874.87652777778</v>
      </c>
      <c r="C1416" s="1" t="n">
        <v>45971</v>
      </c>
      <c r="D1416" t="inlineStr">
        <is>
          <t>VÄSTERBOTTENS LÄN</t>
        </is>
      </c>
      <c r="E1416" t="inlineStr">
        <is>
          <t>VINDELN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20046-2021</t>
        </is>
      </c>
      <c r="B1417" s="1" t="n">
        <v>44313</v>
      </c>
      <c r="C1417" s="1" t="n">
        <v>45971</v>
      </c>
      <c r="D1417" t="inlineStr">
        <is>
          <t>VÄSTERBOTTENS LÄN</t>
        </is>
      </c>
      <c r="E1417" t="inlineStr">
        <is>
          <t>SKELLEFTEÅ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14851-2021</t>
        </is>
      </c>
      <c r="B1418" s="1" t="n">
        <v>44280.93606481481</v>
      </c>
      <c r="C1418" s="1" t="n">
        <v>45971</v>
      </c>
      <c r="D1418" t="inlineStr">
        <is>
          <t>VÄSTERBOTTENS LÄN</t>
        </is>
      </c>
      <c r="E1418" t="inlineStr">
        <is>
          <t>SKELLEFTEÅ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25068-2022</t>
        </is>
      </c>
      <c r="B1419" s="1" t="n">
        <v>44729</v>
      </c>
      <c r="C1419" s="1" t="n">
        <v>45971</v>
      </c>
      <c r="D1419" t="inlineStr">
        <is>
          <t>VÄSTERBOTTENS LÄN</t>
        </is>
      </c>
      <c r="E1419" t="inlineStr">
        <is>
          <t>UMEÅ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45971</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23188-2022</t>
        </is>
      </c>
      <c r="B1421" s="1" t="n">
        <v>44719.92506944444</v>
      </c>
      <c r="C1421" s="1" t="n">
        <v>45971</v>
      </c>
      <c r="D1421" t="inlineStr">
        <is>
          <t>VÄSTERBOTTENS LÄN</t>
        </is>
      </c>
      <c r="E1421" t="inlineStr">
        <is>
          <t>STORUMAN</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32998-2022</t>
        </is>
      </c>
      <c r="B1422" s="1" t="n">
        <v>44784</v>
      </c>
      <c r="C1422" s="1" t="n">
        <v>45971</v>
      </c>
      <c r="D1422" t="inlineStr">
        <is>
          <t>VÄSTERBOTTENS LÄN</t>
        </is>
      </c>
      <c r="E1422" t="inlineStr">
        <is>
          <t>LYCKSELE</t>
        </is>
      </c>
      <c r="F1422" t="inlineStr">
        <is>
          <t>SCA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14222-2022</t>
        </is>
      </c>
      <c r="B1423" s="1" t="n">
        <v>44651</v>
      </c>
      <c r="C1423" s="1" t="n">
        <v>45971</v>
      </c>
      <c r="D1423" t="inlineStr">
        <is>
          <t>VÄSTERBOTTENS LÄN</t>
        </is>
      </c>
      <c r="E1423" t="inlineStr">
        <is>
          <t>VÄNNÄS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45971</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35227-2022</t>
        </is>
      </c>
      <c r="B1425" s="1" t="n">
        <v>44797.94505787037</v>
      </c>
      <c r="C1425" s="1" t="n">
        <v>45971</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33354-2022</t>
        </is>
      </c>
      <c r="B1426" s="1" t="n">
        <v>44788</v>
      </c>
      <c r="C1426" s="1" t="n">
        <v>45971</v>
      </c>
      <c r="D1426" t="inlineStr">
        <is>
          <t>VÄSTERBOTTENS LÄN</t>
        </is>
      </c>
      <c r="E1426" t="inlineStr">
        <is>
          <t>VINDELN</t>
        </is>
      </c>
      <c r="F1426" t="inlineStr">
        <is>
          <t>Naturvårdsverket</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73081-2021</t>
        </is>
      </c>
      <c r="B1427" s="1" t="n">
        <v>44546</v>
      </c>
      <c r="C1427" s="1" t="n">
        <v>45971</v>
      </c>
      <c r="D1427" t="inlineStr">
        <is>
          <t>VÄSTERBOTTENS LÄN</t>
        </is>
      </c>
      <c r="E1427" t="inlineStr">
        <is>
          <t>VINDELN</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3876-2022</t>
        </is>
      </c>
      <c r="B1428" s="1" t="n">
        <v>44587</v>
      </c>
      <c r="C1428" s="1" t="n">
        <v>45971</v>
      </c>
      <c r="D1428" t="inlineStr">
        <is>
          <t>VÄSTERBOTTENS LÄN</t>
        </is>
      </c>
      <c r="E1428" t="inlineStr">
        <is>
          <t>SKELLEFTEÅ</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3963-2022</t>
        </is>
      </c>
      <c r="B1429" s="1" t="n">
        <v>44587.60012731481</v>
      </c>
      <c r="C1429" s="1" t="n">
        <v>45971</v>
      </c>
      <c r="D1429" t="inlineStr">
        <is>
          <t>VÄSTERBOTTENS LÄN</t>
        </is>
      </c>
      <c r="E1429" t="inlineStr">
        <is>
          <t>SKELLEFTEÅ</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45890-2022</t>
        </is>
      </c>
      <c r="B1430" s="1" t="n">
        <v>44844</v>
      </c>
      <c r="C1430" s="1" t="n">
        <v>45971</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45971</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32415-2022</t>
        </is>
      </c>
      <c r="B1432" s="1" t="n">
        <v>44782</v>
      </c>
      <c r="C1432" s="1" t="n">
        <v>45971</v>
      </c>
      <c r="D1432" t="inlineStr">
        <is>
          <t>VÄSTERBOTTENS LÄN</t>
        </is>
      </c>
      <c r="E1432" t="inlineStr">
        <is>
          <t>SKELLEFTEÅ</t>
        </is>
      </c>
      <c r="F1432" t="inlineStr">
        <is>
          <t>Kommuner</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30434-2021</t>
        </is>
      </c>
      <c r="B1433" s="1" t="n">
        <v>44364</v>
      </c>
      <c r="C1433" s="1" t="n">
        <v>45971</v>
      </c>
      <c r="D1433" t="inlineStr">
        <is>
          <t>VÄSTERBOTTENS LÄN</t>
        </is>
      </c>
      <c r="E1433" t="inlineStr">
        <is>
          <t>STORUMAN</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12622-2022</t>
        </is>
      </c>
      <c r="B1434" s="1" t="n">
        <v>44641</v>
      </c>
      <c r="C1434" s="1" t="n">
        <v>45971</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6834-2022</t>
        </is>
      </c>
      <c r="B1435" s="1" t="n">
        <v>44602</v>
      </c>
      <c r="C1435" s="1" t="n">
        <v>45971</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30938-2022</t>
        </is>
      </c>
      <c r="B1436" s="1" t="n">
        <v>44767.94136574074</v>
      </c>
      <c r="C1436" s="1" t="n">
        <v>45971</v>
      </c>
      <c r="D1436" t="inlineStr">
        <is>
          <t>VÄSTERBOTTENS LÄN</t>
        </is>
      </c>
      <c r="E1436" t="inlineStr">
        <is>
          <t>ÅSELE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31596-2022</t>
        </is>
      </c>
      <c r="B1437" s="1" t="n">
        <v>44775</v>
      </c>
      <c r="C1437" s="1" t="n">
        <v>45971</v>
      </c>
      <c r="D1437" t="inlineStr">
        <is>
          <t>VÄSTERBOTTENS LÄN</t>
        </is>
      </c>
      <c r="E1437" t="inlineStr">
        <is>
          <t>ROBERTSFORS</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22778-2022</t>
        </is>
      </c>
      <c r="B1438" s="1" t="n">
        <v>44714.94216435185</v>
      </c>
      <c r="C1438" s="1" t="n">
        <v>45971</v>
      </c>
      <c r="D1438" t="inlineStr">
        <is>
          <t>VÄSTERBOTTENS LÄN</t>
        </is>
      </c>
      <c r="E1438" t="inlineStr">
        <is>
          <t>VINDELN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45971</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48941-2022</t>
        </is>
      </c>
      <c r="B1440" s="1" t="n">
        <v>44859.95730324074</v>
      </c>
      <c r="C1440" s="1" t="n">
        <v>45971</v>
      </c>
      <c r="D1440" t="inlineStr">
        <is>
          <t>VÄSTERBOTTENS LÄN</t>
        </is>
      </c>
      <c r="E1440" t="inlineStr">
        <is>
          <t>NORDMALING</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72551-2021</t>
        </is>
      </c>
      <c r="B1441" s="1" t="n">
        <v>44545</v>
      </c>
      <c r="C1441" s="1" t="n">
        <v>45971</v>
      </c>
      <c r="D1441" t="inlineStr">
        <is>
          <t>VÄSTERBOTTENS LÄN</t>
        </is>
      </c>
      <c r="E1441" t="inlineStr">
        <is>
          <t>VINDELN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10302-2022</t>
        </is>
      </c>
      <c r="B1442" s="1" t="n">
        <v>44622.92310185185</v>
      </c>
      <c r="C1442" s="1" t="n">
        <v>45971</v>
      </c>
      <c r="D1442" t="inlineStr">
        <is>
          <t>VÄSTERBOTTENS LÄN</t>
        </is>
      </c>
      <c r="E1442" t="inlineStr">
        <is>
          <t>LYCKSELE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45418-2022</t>
        </is>
      </c>
      <c r="B1443" s="1" t="n">
        <v>44844.92738425926</v>
      </c>
      <c r="C1443" s="1" t="n">
        <v>45971</v>
      </c>
      <c r="D1443" t="inlineStr">
        <is>
          <t>VÄSTERBOTTENS LÄN</t>
        </is>
      </c>
      <c r="E1443" t="inlineStr">
        <is>
          <t>BJURHOLM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38391-2021</t>
        </is>
      </c>
      <c r="B1444" s="1" t="n">
        <v>44406</v>
      </c>
      <c r="C1444" s="1" t="n">
        <v>45971</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38721-2021</t>
        </is>
      </c>
      <c r="B1445" s="1" t="n">
        <v>44410</v>
      </c>
      <c r="C1445" s="1" t="n">
        <v>45971</v>
      </c>
      <c r="D1445" t="inlineStr">
        <is>
          <t>VÄSTERBOTTENS LÄN</t>
        </is>
      </c>
      <c r="E1445" t="inlineStr">
        <is>
          <t>UMEÅ</t>
        </is>
      </c>
      <c r="F1445" t="inlineStr">
        <is>
          <t>Kommuner</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45971</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48144-2022</t>
        </is>
      </c>
      <c r="B1447" s="1" t="n">
        <v>44858</v>
      </c>
      <c r="C1447" s="1" t="n">
        <v>45971</v>
      </c>
      <c r="D1447" t="inlineStr">
        <is>
          <t>VÄSTERBOTTENS LÄN</t>
        </is>
      </c>
      <c r="E1447" t="inlineStr">
        <is>
          <t>MALÅ</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60399-2020</t>
        </is>
      </c>
      <c r="B1448" s="1" t="n">
        <v>44152</v>
      </c>
      <c r="C1448" s="1" t="n">
        <v>45971</v>
      </c>
      <c r="D1448" t="inlineStr">
        <is>
          <t>VÄSTERBOTTENS LÄN</t>
        </is>
      </c>
      <c r="E1448" t="inlineStr">
        <is>
          <t>DOROTEA</t>
        </is>
      </c>
      <c r="F1448" t="inlineStr">
        <is>
          <t>SCA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38544-2021</t>
        </is>
      </c>
      <c r="B1449" s="1" t="n">
        <v>44407</v>
      </c>
      <c r="C1449" s="1" t="n">
        <v>45971</v>
      </c>
      <c r="D1449" t="inlineStr">
        <is>
          <t>VÄSTERBOTTENS LÄN</t>
        </is>
      </c>
      <c r="E1449" t="inlineStr">
        <is>
          <t>LYCKSELE</t>
        </is>
      </c>
      <c r="F1449" t="inlineStr">
        <is>
          <t>Sveaskog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38679-2021</t>
        </is>
      </c>
      <c r="B1450" s="1" t="n">
        <v>44407</v>
      </c>
      <c r="C1450" s="1" t="n">
        <v>45971</v>
      </c>
      <c r="D1450" t="inlineStr">
        <is>
          <t>VÄSTERBOTTENS LÄN</t>
        </is>
      </c>
      <c r="E1450" t="inlineStr">
        <is>
          <t>UMEÅ</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38690-2021</t>
        </is>
      </c>
      <c r="B1451" s="1" t="n">
        <v>44407</v>
      </c>
      <c r="C1451" s="1" t="n">
        <v>45971</v>
      </c>
      <c r="D1451" t="inlineStr">
        <is>
          <t>VÄSTERBOTTENS LÄN</t>
        </is>
      </c>
      <c r="E1451" t="inlineStr">
        <is>
          <t>UMEÅ</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38712-2021</t>
        </is>
      </c>
      <c r="B1452" s="1" t="n">
        <v>44405</v>
      </c>
      <c r="C1452" s="1" t="n">
        <v>45971</v>
      </c>
      <c r="D1452" t="inlineStr">
        <is>
          <t>VÄSTERBOTTENS LÄN</t>
        </is>
      </c>
      <c r="E1452" t="inlineStr">
        <is>
          <t>LYCKSELE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45971</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45971</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45971</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68798-2020</t>
        </is>
      </c>
      <c r="B1456" s="1" t="n">
        <v>44186</v>
      </c>
      <c r="C1456" s="1" t="n">
        <v>45971</v>
      </c>
      <c r="D1456" t="inlineStr">
        <is>
          <t>VÄSTERBOTTENS LÄN</t>
        </is>
      </c>
      <c r="E1456" t="inlineStr">
        <is>
          <t>ÅSELE</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26807-2022</t>
        </is>
      </c>
      <c r="B1457" s="1" t="n">
        <v>44740.4341087963</v>
      </c>
      <c r="C1457" s="1" t="n">
        <v>45971</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45971</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45971</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13469-2021</t>
        </is>
      </c>
      <c r="B1460" s="1" t="n">
        <v>44273.61895833333</v>
      </c>
      <c r="C1460" s="1" t="n">
        <v>45971</v>
      </c>
      <c r="D1460" t="inlineStr">
        <is>
          <t>VÄSTERBOTTENS LÄN</t>
        </is>
      </c>
      <c r="E1460" t="inlineStr">
        <is>
          <t>ROBERTSFORS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9781-2022</t>
        </is>
      </c>
      <c r="B1461" s="1" t="n">
        <v>44619</v>
      </c>
      <c r="C1461" s="1" t="n">
        <v>45971</v>
      </c>
      <c r="D1461" t="inlineStr">
        <is>
          <t>VÄSTERBOTTENS LÄN</t>
        </is>
      </c>
      <c r="E1461" t="inlineStr">
        <is>
          <t>VILHELMINA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45971</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427-2022</t>
        </is>
      </c>
      <c r="B1463" s="1" t="n">
        <v>44565.92820601852</v>
      </c>
      <c r="C1463" s="1" t="n">
        <v>45971</v>
      </c>
      <c r="D1463" t="inlineStr">
        <is>
          <t>VÄSTERBOTTENS LÄN</t>
        </is>
      </c>
      <c r="E1463" t="inlineStr">
        <is>
          <t>VÄNNÄS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18788-2022</t>
        </is>
      </c>
      <c r="B1464" s="1" t="n">
        <v>44687</v>
      </c>
      <c r="C1464" s="1" t="n">
        <v>45971</v>
      </c>
      <c r="D1464" t="inlineStr">
        <is>
          <t>VÄSTERBOTTENS LÄN</t>
        </is>
      </c>
      <c r="E1464" t="inlineStr">
        <is>
          <t>UMEÅ</t>
        </is>
      </c>
      <c r="F1464" t="inlineStr">
        <is>
          <t>Kommuner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45971</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47642-2022</t>
        </is>
      </c>
      <c r="B1466" s="1" t="n">
        <v>44854.43480324074</v>
      </c>
      <c r="C1466" s="1" t="n">
        <v>45971</v>
      </c>
      <c r="D1466" t="inlineStr">
        <is>
          <t>VÄSTERBOTTENS LÄN</t>
        </is>
      </c>
      <c r="E1466" t="inlineStr">
        <is>
          <t>UMEÅ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64497-2020</t>
        </is>
      </c>
      <c r="B1467" s="1" t="n">
        <v>44168</v>
      </c>
      <c r="C1467" s="1" t="n">
        <v>45971</v>
      </c>
      <c r="D1467" t="inlineStr">
        <is>
          <t>VÄSTERBOTTENS LÄN</t>
        </is>
      </c>
      <c r="E1467" t="inlineStr">
        <is>
          <t>DOROTEA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46422-2022</t>
        </is>
      </c>
      <c r="B1468" s="1" t="n">
        <v>44848.44364583334</v>
      </c>
      <c r="C1468" s="1" t="n">
        <v>45971</v>
      </c>
      <c r="D1468" t="inlineStr">
        <is>
          <t>VÄSTERBOTTENS LÄN</t>
        </is>
      </c>
      <c r="E1468" t="inlineStr">
        <is>
          <t>VINDELN</t>
        </is>
      </c>
      <c r="F1468" t="inlineStr">
        <is>
          <t>Holmen skog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28710-2022</t>
        </is>
      </c>
      <c r="B1469" s="1" t="n">
        <v>44748.92878472222</v>
      </c>
      <c r="C1469" s="1" t="n">
        <v>45971</v>
      </c>
      <c r="D1469" t="inlineStr">
        <is>
          <t>VÄSTERBOTTENS LÄN</t>
        </is>
      </c>
      <c r="E1469" t="inlineStr">
        <is>
          <t>STORUMAN</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42859-2021</t>
        </is>
      </c>
      <c r="B1470" s="1" t="n">
        <v>44430.8487962963</v>
      </c>
      <c r="C1470" s="1" t="n">
        <v>45971</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53597-2022</t>
        </is>
      </c>
      <c r="B1471" s="1" t="n">
        <v>44879</v>
      </c>
      <c r="C1471" s="1" t="n">
        <v>45971</v>
      </c>
      <c r="D1471" t="inlineStr">
        <is>
          <t>VÄSTERBOTTENS LÄN</t>
        </is>
      </c>
      <c r="E1471" t="inlineStr">
        <is>
          <t>VINDELN</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34786-2022</t>
        </is>
      </c>
      <c r="B1472" s="1" t="n">
        <v>44795.94395833334</v>
      </c>
      <c r="C1472" s="1" t="n">
        <v>45971</v>
      </c>
      <c r="D1472" t="inlineStr">
        <is>
          <t>VÄSTERBOTTENS LÄN</t>
        </is>
      </c>
      <c r="E1472" t="inlineStr">
        <is>
          <t>ÅSELE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24663-2022</t>
        </is>
      </c>
      <c r="B1473" s="1" t="n">
        <v>44728</v>
      </c>
      <c r="C1473" s="1" t="n">
        <v>45971</v>
      </c>
      <c r="D1473" t="inlineStr">
        <is>
          <t>VÄSTERBOTTENS LÄN</t>
        </is>
      </c>
      <c r="E1473" t="inlineStr">
        <is>
          <t>SKELLEFTEÅ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27976-2022</t>
        </is>
      </c>
      <c r="B1474" s="1" t="n">
        <v>44744.94275462963</v>
      </c>
      <c r="C1474" s="1" t="n">
        <v>45971</v>
      </c>
      <c r="D1474" t="inlineStr">
        <is>
          <t>VÄSTERBOTTENS LÄN</t>
        </is>
      </c>
      <c r="E1474" t="inlineStr">
        <is>
          <t>NORDMALING</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67587-2020</t>
        </is>
      </c>
      <c r="B1475" s="1" t="n">
        <v>44181</v>
      </c>
      <c r="C1475" s="1" t="n">
        <v>45971</v>
      </c>
      <c r="D1475" t="inlineStr">
        <is>
          <t>VÄSTERBOTTENS LÄN</t>
        </is>
      </c>
      <c r="E1475" t="inlineStr">
        <is>
          <t>STORUMAN</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64835-2020</t>
        </is>
      </c>
      <c r="B1476" s="1" t="n">
        <v>44170</v>
      </c>
      <c r="C1476" s="1" t="n">
        <v>45971</v>
      </c>
      <c r="D1476" t="inlineStr">
        <is>
          <t>VÄSTERBOTTENS LÄN</t>
        </is>
      </c>
      <c r="E1476" t="inlineStr">
        <is>
          <t>ÅSELE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11989-2021</t>
        </is>
      </c>
      <c r="B1477" s="1" t="n">
        <v>44265</v>
      </c>
      <c r="C1477" s="1" t="n">
        <v>45971</v>
      </c>
      <c r="D1477" t="inlineStr">
        <is>
          <t>VÄSTERBOTTENS LÄN</t>
        </is>
      </c>
      <c r="E1477" t="inlineStr">
        <is>
          <t>VÄNNÄS</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7034-2021</t>
        </is>
      </c>
      <c r="B1478" s="1" t="n">
        <v>44237</v>
      </c>
      <c r="C1478" s="1" t="n">
        <v>45971</v>
      </c>
      <c r="D1478" t="inlineStr">
        <is>
          <t>VÄSTERBOTTENS LÄN</t>
        </is>
      </c>
      <c r="E1478" t="inlineStr">
        <is>
          <t>SKELLEFTEÅ</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67495-2021</t>
        </is>
      </c>
      <c r="B1479" s="1" t="n">
        <v>44524</v>
      </c>
      <c r="C1479" s="1" t="n">
        <v>45971</v>
      </c>
      <c r="D1479" t="inlineStr">
        <is>
          <t>VÄSTERBOTTENS LÄN</t>
        </is>
      </c>
      <c r="E1479" t="inlineStr">
        <is>
          <t>UMEÅ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39509-2021</t>
        </is>
      </c>
      <c r="B1480" s="1" t="n">
        <v>44414.93936342592</v>
      </c>
      <c r="C1480" s="1" t="n">
        <v>45971</v>
      </c>
      <c r="D1480" t="inlineStr">
        <is>
          <t>VÄSTERBOTTENS LÄN</t>
        </is>
      </c>
      <c r="E1480" t="inlineStr">
        <is>
          <t>VINDELN</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45971</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61511-2021</t>
        </is>
      </c>
      <c r="B1482" s="1" t="n">
        <v>44501.35502314815</v>
      </c>
      <c r="C1482" s="1" t="n">
        <v>45971</v>
      </c>
      <c r="D1482" t="inlineStr">
        <is>
          <t>VÄSTERBOTTENS LÄN</t>
        </is>
      </c>
      <c r="E1482" t="inlineStr">
        <is>
          <t>LYCKSELE</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27620-2022</t>
        </is>
      </c>
      <c r="B1483" s="1" t="n">
        <v>44742</v>
      </c>
      <c r="C1483" s="1" t="n">
        <v>45971</v>
      </c>
      <c r="D1483" t="inlineStr">
        <is>
          <t>VÄSTERBOTTENS LÄN</t>
        </is>
      </c>
      <c r="E1483" t="inlineStr">
        <is>
          <t>UMEÅ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59445-2021</t>
        </is>
      </c>
      <c r="B1484" s="1" t="n">
        <v>44490</v>
      </c>
      <c r="C1484" s="1" t="n">
        <v>45971</v>
      </c>
      <c r="D1484" t="inlineStr">
        <is>
          <t>VÄSTERBOTTENS LÄN</t>
        </is>
      </c>
      <c r="E1484" t="inlineStr">
        <is>
          <t>LYCKSELE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34587-2022</t>
        </is>
      </c>
      <c r="B1485" s="1" t="n">
        <v>44795</v>
      </c>
      <c r="C1485" s="1" t="n">
        <v>45971</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31163-2021</t>
        </is>
      </c>
      <c r="B1486" s="1" t="n">
        <v>44368.57520833334</v>
      </c>
      <c r="C1486" s="1" t="n">
        <v>45971</v>
      </c>
      <c r="D1486" t="inlineStr">
        <is>
          <t>VÄSTERBOTTENS LÄN</t>
        </is>
      </c>
      <c r="E1486" t="inlineStr">
        <is>
          <t>VINDELN</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45971</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45971</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45971</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37332-2021</t>
        </is>
      </c>
      <c r="B1490" s="1" t="n">
        <v>44397</v>
      </c>
      <c r="C1490" s="1" t="n">
        <v>45971</v>
      </c>
      <c r="D1490" t="inlineStr">
        <is>
          <t>VÄSTERBOTTENS LÄN</t>
        </is>
      </c>
      <c r="E1490" t="inlineStr">
        <is>
          <t>BJURHOLM</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18971-2021</t>
        </is>
      </c>
      <c r="B1491" s="1" t="n">
        <v>44307</v>
      </c>
      <c r="C1491" s="1" t="n">
        <v>45971</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26231-2022</t>
        </is>
      </c>
      <c r="B1492" s="1" t="n">
        <v>44735</v>
      </c>
      <c r="C1492" s="1" t="n">
        <v>45971</v>
      </c>
      <c r="D1492" t="inlineStr">
        <is>
          <t>VÄSTERBOTTENS LÄN</t>
        </is>
      </c>
      <c r="E1492" t="inlineStr">
        <is>
          <t>ROBERTSFORS</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42348-2022</t>
        </is>
      </c>
      <c r="B1493" s="1" t="n">
        <v>44827</v>
      </c>
      <c r="C1493" s="1" t="n">
        <v>45971</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49027-2022</t>
        </is>
      </c>
      <c r="B1494" s="1" t="n">
        <v>44860</v>
      </c>
      <c r="C1494" s="1" t="n">
        <v>45971</v>
      </c>
      <c r="D1494" t="inlineStr">
        <is>
          <t>VÄSTERBOTTENS LÄN</t>
        </is>
      </c>
      <c r="E1494" t="inlineStr">
        <is>
          <t>UMEÅ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43714-2022</t>
        </is>
      </c>
      <c r="B1495" s="1" t="n">
        <v>44837.66417824074</v>
      </c>
      <c r="C1495" s="1" t="n">
        <v>45971</v>
      </c>
      <c r="D1495" t="inlineStr">
        <is>
          <t>VÄSTERBOTTENS LÄN</t>
        </is>
      </c>
      <c r="E1495" t="inlineStr">
        <is>
          <t>VILHELMINA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44830-2022</t>
        </is>
      </c>
      <c r="B1496" s="1" t="n">
        <v>44841</v>
      </c>
      <c r="C1496" s="1" t="n">
        <v>45971</v>
      </c>
      <c r="D1496" t="inlineStr">
        <is>
          <t>VÄSTERBOTTENS LÄN</t>
        </is>
      </c>
      <c r="E1496" t="inlineStr">
        <is>
          <t>UMEÅ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8461-2022</t>
        </is>
      </c>
      <c r="B1497" s="1" t="n">
        <v>44612.92259259259</v>
      </c>
      <c r="C1497" s="1" t="n">
        <v>45971</v>
      </c>
      <c r="D1497" t="inlineStr">
        <is>
          <t>VÄSTERBOTTENS LÄN</t>
        </is>
      </c>
      <c r="E1497" t="inlineStr">
        <is>
          <t>ROBERTSFORS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48024-2022</t>
        </is>
      </c>
      <c r="B1498" s="1" t="n">
        <v>44855</v>
      </c>
      <c r="C1498" s="1" t="n">
        <v>45971</v>
      </c>
      <c r="D1498" t="inlineStr">
        <is>
          <t>VÄSTERBOTTENS LÄN</t>
        </is>
      </c>
      <c r="E1498" t="inlineStr">
        <is>
          <t>ROBERTSFORS</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58980-2020</t>
        </is>
      </c>
      <c r="B1499" s="1" t="n">
        <v>44146.78708333334</v>
      </c>
      <c r="C1499" s="1" t="n">
        <v>45971</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59621-2020</t>
        </is>
      </c>
      <c r="B1500" s="1" t="n">
        <v>44150</v>
      </c>
      <c r="C1500" s="1" t="n">
        <v>45971</v>
      </c>
      <c r="D1500" t="inlineStr">
        <is>
          <t>VÄSTERBOTTENS LÄN</t>
        </is>
      </c>
      <c r="E1500" t="inlineStr">
        <is>
          <t>SORSELE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54911-2021</t>
        </is>
      </c>
      <c r="B1501" s="1" t="n">
        <v>44474</v>
      </c>
      <c r="C1501" s="1" t="n">
        <v>45971</v>
      </c>
      <c r="D1501" t="inlineStr">
        <is>
          <t>VÄSTERBOTTENS LÄN</t>
        </is>
      </c>
      <c r="E1501" t="inlineStr">
        <is>
          <t>ÅSELE</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45971</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58861-2020</t>
        </is>
      </c>
      <c r="B1503" s="1" t="n">
        <v>44146</v>
      </c>
      <c r="C1503" s="1" t="n">
        <v>45971</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45971</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45971</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47266-2022</t>
        </is>
      </c>
      <c r="B1506" s="1" t="n">
        <v>44852</v>
      </c>
      <c r="C1506" s="1" t="n">
        <v>45971</v>
      </c>
      <c r="D1506" t="inlineStr">
        <is>
          <t>VÄSTERBOTTENS LÄN</t>
        </is>
      </c>
      <c r="E1506" t="inlineStr">
        <is>
          <t>DOROTEA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27509-2021</t>
        </is>
      </c>
      <c r="B1507" s="1" t="n">
        <v>44351</v>
      </c>
      <c r="C1507" s="1" t="n">
        <v>45971</v>
      </c>
      <c r="D1507" t="inlineStr">
        <is>
          <t>VÄSTERBOTTENS LÄN</t>
        </is>
      </c>
      <c r="E1507" t="inlineStr">
        <is>
          <t>DOROTEA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42391-2022</t>
        </is>
      </c>
      <c r="B1508" s="1" t="n">
        <v>44831.42108796296</v>
      </c>
      <c r="C1508" s="1" t="n">
        <v>45971</v>
      </c>
      <c r="D1508" t="inlineStr">
        <is>
          <t>VÄSTERBOTTENS LÄN</t>
        </is>
      </c>
      <c r="E1508" t="inlineStr">
        <is>
          <t>BJURHOLM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45971</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45971</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38646-2022</t>
        </is>
      </c>
      <c r="B1511" s="1" t="n">
        <v>44813</v>
      </c>
      <c r="C1511" s="1" t="n">
        <v>45971</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45971</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62581-2020</t>
        </is>
      </c>
      <c r="B1513" s="1" t="n">
        <v>44160</v>
      </c>
      <c r="C1513" s="1" t="n">
        <v>45971</v>
      </c>
      <c r="D1513" t="inlineStr">
        <is>
          <t>VÄSTERBOTTENS LÄN</t>
        </is>
      </c>
      <c r="E1513" t="inlineStr">
        <is>
          <t>UMEÅ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45971</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45971</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48942-2022</t>
        </is>
      </c>
      <c r="B1516" s="1" t="n">
        <v>44859.95736111111</v>
      </c>
      <c r="C1516" s="1" t="n">
        <v>45971</v>
      </c>
      <c r="D1516" t="inlineStr">
        <is>
          <t>VÄSTERBOTTENS LÄN</t>
        </is>
      </c>
      <c r="E1516" t="inlineStr">
        <is>
          <t>NORDMALING</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48944-2022</t>
        </is>
      </c>
      <c r="B1517" s="1" t="n">
        <v>44859.95748842593</v>
      </c>
      <c r="C1517" s="1" t="n">
        <v>45971</v>
      </c>
      <c r="D1517" t="inlineStr">
        <is>
          <t>VÄSTERBOTTENS LÄN</t>
        </is>
      </c>
      <c r="E1517" t="inlineStr">
        <is>
          <t>NORDMALING</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45971</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45971</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45971</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45971</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39389-2022</t>
        </is>
      </c>
      <c r="B1522" s="1" t="n">
        <v>44817</v>
      </c>
      <c r="C1522" s="1" t="n">
        <v>45971</v>
      </c>
      <c r="D1522" t="inlineStr">
        <is>
          <t>VÄSTERBOTTENS LÄN</t>
        </is>
      </c>
      <c r="E1522" t="inlineStr">
        <is>
          <t>VILHELMINA</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39400-2022</t>
        </is>
      </c>
      <c r="B1523" s="1" t="n">
        <v>44817.94888888889</v>
      </c>
      <c r="C1523" s="1" t="n">
        <v>45971</v>
      </c>
      <c r="D1523" t="inlineStr">
        <is>
          <t>VÄSTERBOTTENS LÄN</t>
        </is>
      </c>
      <c r="E1523" t="inlineStr">
        <is>
          <t>ÅSELE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66079-2020</t>
        </is>
      </c>
      <c r="B1524" s="1" t="n">
        <v>44175</v>
      </c>
      <c r="C1524" s="1" t="n">
        <v>45971</v>
      </c>
      <c r="D1524" t="inlineStr">
        <is>
          <t>VÄSTERBOTTENS LÄN</t>
        </is>
      </c>
      <c r="E1524" t="inlineStr">
        <is>
          <t>ÅSELE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45971</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45971</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24942-2021</t>
        </is>
      </c>
      <c r="B1527" s="1" t="n">
        <v>44341</v>
      </c>
      <c r="C1527" s="1" t="n">
        <v>45971</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62658-2021</t>
        </is>
      </c>
      <c r="B1528" s="1" t="n">
        <v>44503</v>
      </c>
      <c r="C1528" s="1" t="n">
        <v>45971</v>
      </c>
      <c r="D1528" t="inlineStr">
        <is>
          <t>VÄSTERBOTTENS LÄN</t>
        </is>
      </c>
      <c r="E1528" t="inlineStr">
        <is>
          <t>VILHELMINA</t>
        </is>
      </c>
      <c r="F1528" t="inlineStr">
        <is>
          <t>SCA</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45971</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30474-2022</t>
        </is>
      </c>
      <c r="B1530" s="1" t="n">
        <v>44761</v>
      </c>
      <c r="C1530" s="1" t="n">
        <v>45971</v>
      </c>
      <c r="D1530" t="inlineStr">
        <is>
          <t>VÄSTERBOTTENS LÄN</t>
        </is>
      </c>
      <c r="E1530" t="inlineStr">
        <is>
          <t>LYCKSELE</t>
        </is>
      </c>
      <c r="F1530" t="inlineStr">
        <is>
          <t>SCA</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338-2021</t>
        </is>
      </c>
      <c r="B1531" s="1" t="n">
        <v>44186</v>
      </c>
      <c r="C1531" s="1" t="n">
        <v>45971</v>
      </c>
      <c r="D1531" t="inlineStr">
        <is>
          <t>VÄSTERBOTTENS LÄN</t>
        </is>
      </c>
      <c r="E1531" t="inlineStr">
        <is>
          <t>UMEÅ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65799-2020</t>
        </is>
      </c>
      <c r="B1532" s="1" t="n">
        <v>44172</v>
      </c>
      <c r="C1532" s="1" t="n">
        <v>45971</v>
      </c>
      <c r="D1532" t="inlineStr">
        <is>
          <t>VÄSTERBOTTENS LÄN</t>
        </is>
      </c>
      <c r="E1532" t="inlineStr">
        <is>
          <t>BJURHOLM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45971</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45971</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52883-2022</t>
        </is>
      </c>
      <c r="B1535" s="1" t="n">
        <v>44875</v>
      </c>
      <c r="C1535" s="1" t="n">
        <v>45971</v>
      </c>
      <c r="D1535" t="inlineStr">
        <is>
          <t>VÄSTERBOTTENS LÄN</t>
        </is>
      </c>
      <c r="E1535" t="inlineStr">
        <is>
          <t>VINDELN</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22125-2021</t>
        </is>
      </c>
      <c r="B1536" s="1" t="n">
        <v>44323</v>
      </c>
      <c r="C1536" s="1" t="n">
        <v>45971</v>
      </c>
      <c r="D1536" t="inlineStr">
        <is>
          <t>VÄSTERBOTTENS LÄN</t>
        </is>
      </c>
      <c r="E1536" t="inlineStr">
        <is>
          <t>VINDELN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67534-2021</t>
        </is>
      </c>
      <c r="B1537" s="1" t="n">
        <v>44524.54244212963</v>
      </c>
      <c r="C1537" s="1" t="n">
        <v>45971</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45971</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6323-2021</t>
        </is>
      </c>
      <c r="B1539" s="1" t="n">
        <v>44235</v>
      </c>
      <c r="C1539" s="1" t="n">
        <v>45971</v>
      </c>
      <c r="D1539" t="inlineStr">
        <is>
          <t>VÄSTERBOTTENS LÄN</t>
        </is>
      </c>
      <c r="E1539" t="inlineStr">
        <is>
          <t>BJURHOLM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64045-2020</t>
        </is>
      </c>
      <c r="B1540" s="1" t="n">
        <v>44167</v>
      </c>
      <c r="C1540" s="1" t="n">
        <v>45971</v>
      </c>
      <c r="D1540" t="inlineStr">
        <is>
          <t>VÄSTERBOTTENS LÄN</t>
        </is>
      </c>
      <c r="E1540" t="inlineStr">
        <is>
          <t>VINDELN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69038-2020</t>
        </is>
      </c>
      <c r="B1541" s="1" t="n">
        <v>44187</v>
      </c>
      <c r="C1541" s="1" t="n">
        <v>45971</v>
      </c>
      <c r="D1541" t="inlineStr">
        <is>
          <t>VÄSTERBOTTENS LÄN</t>
        </is>
      </c>
      <c r="E1541" t="inlineStr">
        <is>
          <t>VINDELN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45971</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43069-2022</t>
        </is>
      </c>
      <c r="B1543" s="1" t="n">
        <v>44833.63614583333</v>
      </c>
      <c r="C1543" s="1" t="n">
        <v>45971</v>
      </c>
      <c r="D1543" t="inlineStr">
        <is>
          <t>VÄSTERBOTTENS LÄN</t>
        </is>
      </c>
      <c r="E1543" t="inlineStr">
        <is>
          <t>SKELLEFTEÅ</t>
        </is>
      </c>
      <c r="F1543" t="inlineStr">
        <is>
          <t>Sveaskog</t>
        </is>
      </c>
      <c r="G1543" t="n">
        <v>19.6</v>
      </c>
      <c r="H1543" t="n">
        <v>0</v>
      </c>
      <c r="I1543" t="n">
        <v>0</v>
      </c>
      <c r="J1543" t="n">
        <v>0</v>
      </c>
      <c r="K1543" t="n">
        <v>0</v>
      </c>
      <c r="L1543" t="n">
        <v>0</v>
      </c>
      <c r="M1543" t="n">
        <v>0</v>
      </c>
      <c r="N1543" t="n">
        <v>0</v>
      </c>
      <c r="O1543" t="n">
        <v>0</v>
      </c>
      <c r="P1543" t="n">
        <v>0</v>
      </c>
      <c r="Q1543" t="n">
        <v>0</v>
      </c>
      <c r="R1543" s="2" t="inlineStr"/>
    </row>
    <row r="1544" ht="15" customHeight="1">
      <c r="A1544" t="inlineStr">
        <is>
          <t>A 47410-2022</t>
        </is>
      </c>
      <c r="B1544" s="1" t="n">
        <v>44853.53674768518</v>
      </c>
      <c r="C1544" s="1" t="n">
        <v>45971</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45971</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46982-2022</t>
        </is>
      </c>
      <c r="B1546" s="1" t="n">
        <v>44851</v>
      </c>
      <c r="C1546" s="1" t="n">
        <v>45971</v>
      </c>
      <c r="D1546" t="inlineStr">
        <is>
          <t>VÄSTERBOTTENS LÄN</t>
        </is>
      </c>
      <c r="E1546" t="inlineStr">
        <is>
          <t>DOROTEA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45971</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45907-2022</t>
        </is>
      </c>
      <c r="B1548" s="1" t="n">
        <v>44846</v>
      </c>
      <c r="C1548" s="1" t="n">
        <v>45971</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34547-2022</t>
        </is>
      </c>
      <c r="B1549" s="1" t="n">
        <v>44793.9403587963</v>
      </c>
      <c r="C1549" s="1" t="n">
        <v>45971</v>
      </c>
      <c r="D1549" t="inlineStr">
        <is>
          <t>VÄSTERBOTTENS LÄN</t>
        </is>
      </c>
      <c r="E1549" t="inlineStr">
        <is>
          <t>SKELLEFTEÅ</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68373-2020</t>
        </is>
      </c>
      <c r="B1550" s="1" t="n">
        <v>44186</v>
      </c>
      <c r="C1550" s="1" t="n">
        <v>45971</v>
      </c>
      <c r="D1550" t="inlineStr">
        <is>
          <t>VÄSTERBOTTENS LÄN</t>
        </is>
      </c>
      <c r="E1550" t="inlineStr">
        <is>
          <t>ROBERTSFORS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13729-2021</t>
        </is>
      </c>
      <c r="B1551" s="1" t="n">
        <v>44274</v>
      </c>
      <c r="C1551" s="1" t="n">
        <v>45971</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45971</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10560-2021</t>
        </is>
      </c>
      <c r="B1553" s="1" t="n">
        <v>44258</v>
      </c>
      <c r="C1553" s="1" t="n">
        <v>45971</v>
      </c>
      <c r="D1553" t="inlineStr">
        <is>
          <t>VÄSTERBOTTENS LÄN</t>
        </is>
      </c>
      <c r="E1553" t="inlineStr">
        <is>
          <t>VINDELN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10075-2021</t>
        </is>
      </c>
      <c r="B1554" s="1" t="n">
        <v>44253</v>
      </c>
      <c r="C1554" s="1" t="n">
        <v>45971</v>
      </c>
      <c r="D1554" t="inlineStr">
        <is>
          <t>VÄSTERBOTTENS LÄN</t>
        </is>
      </c>
      <c r="E1554" t="inlineStr">
        <is>
          <t>VILHELMINA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325-2022</t>
        </is>
      </c>
      <c r="B1555" s="1" t="n">
        <v>44564</v>
      </c>
      <c r="C1555" s="1" t="n">
        <v>45971</v>
      </c>
      <c r="D1555" t="inlineStr">
        <is>
          <t>VÄSTERBOTTENS LÄN</t>
        </is>
      </c>
      <c r="E1555" t="inlineStr">
        <is>
          <t>LYCKSELE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68505-2020</t>
        </is>
      </c>
      <c r="B1556" s="1" t="n">
        <v>44186</v>
      </c>
      <c r="C1556" s="1" t="n">
        <v>45971</v>
      </c>
      <c r="D1556" t="inlineStr">
        <is>
          <t>VÄSTERBOTTENS LÄN</t>
        </is>
      </c>
      <c r="E1556" t="inlineStr">
        <is>
          <t>STORUMAN</t>
        </is>
      </c>
      <c r="F1556" t="inlineStr">
        <is>
          <t>Sveaskog</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58597-2020</t>
        </is>
      </c>
      <c r="B1557" s="1" t="n">
        <v>44145</v>
      </c>
      <c r="C1557" s="1" t="n">
        <v>45971</v>
      </c>
      <c r="D1557" t="inlineStr">
        <is>
          <t>VÄSTERBOTTENS LÄN</t>
        </is>
      </c>
      <c r="E1557" t="inlineStr">
        <is>
          <t>SORSELE</t>
        </is>
      </c>
      <c r="G1557" t="n">
        <v>30.2</v>
      </c>
      <c r="H1557" t="n">
        <v>0</v>
      </c>
      <c r="I1557" t="n">
        <v>0</v>
      </c>
      <c r="J1557" t="n">
        <v>0</v>
      </c>
      <c r="K1557" t="n">
        <v>0</v>
      </c>
      <c r="L1557" t="n">
        <v>0</v>
      </c>
      <c r="M1557" t="n">
        <v>0</v>
      </c>
      <c r="N1557" t="n">
        <v>0</v>
      </c>
      <c r="O1557" t="n">
        <v>0</v>
      </c>
      <c r="P1557" t="n">
        <v>0</v>
      </c>
      <c r="Q1557" t="n">
        <v>0</v>
      </c>
      <c r="R1557" s="2" t="inlineStr"/>
    </row>
    <row r="1558" ht="15" customHeight="1">
      <c r="A1558" t="inlineStr">
        <is>
          <t>A 29923-2021</t>
        </is>
      </c>
      <c r="B1558" s="1" t="n">
        <v>44362</v>
      </c>
      <c r="C1558" s="1" t="n">
        <v>45971</v>
      </c>
      <c r="D1558" t="inlineStr">
        <is>
          <t>VÄSTERBOTTENS LÄN</t>
        </is>
      </c>
      <c r="E1558" t="inlineStr">
        <is>
          <t>NORSJÖ</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45971</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45971</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5603-2021</t>
        </is>
      </c>
      <c r="B1561" s="1" t="n">
        <v>44230</v>
      </c>
      <c r="C1561" s="1" t="n">
        <v>45971</v>
      </c>
      <c r="D1561" t="inlineStr">
        <is>
          <t>VÄSTERBOTTENS LÄN</t>
        </is>
      </c>
      <c r="E1561" t="inlineStr">
        <is>
          <t>SKELLEFTEÅ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45971</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45971</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45971</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45971</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34471-2021</t>
        </is>
      </c>
      <c r="B1566" s="1" t="n">
        <v>44381</v>
      </c>
      <c r="C1566" s="1" t="n">
        <v>45971</v>
      </c>
      <c r="D1566" t="inlineStr">
        <is>
          <t>VÄSTERBOTTENS LÄN</t>
        </is>
      </c>
      <c r="E1566" t="inlineStr">
        <is>
          <t>ÅSELE</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45270-2021</t>
        </is>
      </c>
      <c r="B1567" s="1" t="n">
        <v>44439</v>
      </c>
      <c r="C1567" s="1" t="n">
        <v>45971</v>
      </c>
      <c r="D1567" t="inlineStr">
        <is>
          <t>VÄSTERBOTTENS LÄN</t>
        </is>
      </c>
      <c r="E1567" t="inlineStr">
        <is>
          <t>LYCKSELE</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64650-2020</t>
        </is>
      </c>
      <c r="B1568" s="1" t="n">
        <v>44166</v>
      </c>
      <c r="C1568" s="1" t="n">
        <v>45971</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18996-2022</t>
        </is>
      </c>
      <c r="B1569" s="1" t="n">
        <v>44690</v>
      </c>
      <c r="C1569" s="1" t="n">
        <v>45971</v>
      </c>
      <c r="D1569" t="inlineStr">
        <is>
          <t>VÄSTERBOTTENS LÄN</t>
        </is>
      </c>
      <c r="E1569" t="inlineStr">
        <is>
          <t>VILHELMINA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35040-2021</t>
        </is>
      </c>
      <c r="B1570" s="1" t="n">
        <v>44383</v>
      </c>
      <c r="C1570" s="1" t="n">
        <v>45971</v>
      </c>
      <c r="D1570" t="inlineStr">
        <is>
          <t>VÄSTERBOTTENS LÄN</t>
        </is>
      </c>
      <c r="E1570" t="inlineStr">
        <is>
          <t>DOROTEA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45971</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45971</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61430-2021</t>
        </is>
      </c>
      <c r="B1573" s="1" t="n">
        <v>44500</v>
      </c>
      <c r="C1573" s="1" t="n">
        <v>45971</v>
      </c>
      <c r="D1573" t="inlineStr">
        <is>
          <t>VÄSTERBOTTENS LÄN</t>
        </is>
      </c>
      <c r="E1573" t="inlineStr">
        <is>
          <t>VINDELN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45971</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45971</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45971</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18183-2021</t>
        </is>
      </c>
      <c r="B1577" s="1" t="n">
        <v>44302</v>
      </c>
      <c r="C1577" s="1" t="n">
        <v>45971</v>
      </c>
      <c r="D1577" t="inlineStr">
        <is>
          <t>VÄSTERBOTTENS LÄN</t>
        </is>
      </c>
      <c r="E1577" t="inlineStr">
        <is>
          <t>SKELLEFTEÅ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45971</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45971</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45971</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45971</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45971</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62884-2020</t>
        </is>
      </c>
      <c r="B1583" s="1" t="n">
        <v>44161</v>
      </c>
      <c r="C1583" s="1" t="n">
        <v>45971</v>
      </c>
      <c r="D1583" t="inlineStr">
        <is>
          <t>VÄSTERBOTTENS LÄN</t>
        </is>
      </c>
      <c r="E1583" t="inlineStr">
        <is>
          <t>ROBERTSFORS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45971</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45971</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45971</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45971</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45971</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45971</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45971</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36058-2022</t>
        </is>
      </c>
      <c r="B1591" s="1" t="n">
        <v>44802.80567129629</v>
      </c>
      <c r="C1591" s="1" t="n">
        <v>45971</v>
      </c>
      <c r="D1591" t="inlineStr">
        <is>
          <t>VÄSTERBOTTENS LÄN</t>
        </is>
      </c>
      <c r="E1591" t="inlineStr">
        <is>
          <t>VINDELN</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62763-2020</t>
        </is>
      </c>
      <c r="B1592" s="1" t="n">
        <v>44160</v>
      </c>
      <c r="C1592" s="1" t="n">
        <v>45971</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45971</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45971</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45971</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56060-2021</t>
        </is>
      </c>
      <c r="B1596" s="1" t="n">
        <v>44477.49746527777</v>
      </c>
      <c r="C1596" s="1" t="n">
        <v>45971</v>
      </c>
      <c r="D1596" t="inlineStr">
        <is>
          <t>VÄSTERBOTTENS LÄN</t>
        </is>
      </c>
      <c r="E1596" t="inlineStr">
        <is>
          <t>ÅSELE</t>
        </is>
      </c>
      <c r="F1596" t="inlineStr">
        <is>
          <t>Holmen skog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45971</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45971</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45971</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45971</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62807-2021</t>
        </is>
      </c>
      <c r="B1601" s="1" t="n">
        <v>44504.48643518519</v>
      </c>
      <c r="C1601" s="1" t="n">
        <v>45971</v>
      </c>
      <c r="D1601" t="inlineStr">
        <is>
          <t>VÄSTERBOTTENS LÄN</t>
        </is>
      </c>
      <c r="E1601" t="inlineStr">
        <is>
          <t>BJURHOLM</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45971</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45971</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45971</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2505-2021</t>
        </is>
      </c>
      <c r="B1605" s="1" t="n">
        <v>44214</v>
      </c>
      <c r="C1605" s="1" t="n">
        <v>45971</v>
      </c>
      <c r="D1605" t="inlineStr">
        <is>
          <t>VÄSTERBOTTENS LÄN</t>
        </is>
      </c>
      <c r="E1605" t="inlineStr">
        <is>
          <t>UMEÅ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34470-2021</t>
        </is>
      </c>
      <c r="B1606" s="1" t="n">
        <v>44381.91863425926</v>
      </c>
      <c r="C1606" s="1" t="n">
        <v>45971</v>
      </c>
      <c r="D1606" t="inlineStr">
        <is>
          <t>VÄSTERBOTTENS LÄN</t>
        </is>
      </c>
      <c r="E1606" t="inlineStr">
        <is>
          <t>ÅSELE</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68042-2020</t>
        </is>
      </c>
      <c r="B1607" s="1" t="n">
        <v>44182</v>
      </c>
      <c r="C1607" s="1" t="n">
        <v>45971</v>
      </c>
      <c r="D1607" t="inlineStr">
        <is>
          <t>VÄSTERBOTTENS LÄN</t>
        </is>
      </c>
      <c r="E1607" t="inlineStr">
        <is>
          <t>NORDMALING</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45971</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45971</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36869-2022</t>
        </is>
      </c>
      <c r="B1610" s="1" t="n">
        <v>44805</v>
      </c>
      <c r="C1610" s="1" t="n">
        <v>45971</v>
      </c>
      <c r="D1610" t="inlineStr">
        <is>
          <t>VÄSTERBOTTENS LÄN</t>
        </is>
      </c>
      <c r="E1610" t="inlineStr">
        <is>
          <t>LYCKSELE</t>
        </is>
      </c>
      <c r="F1610" t="inlineStr">
        <is>
          <t>Holmen skog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45971</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45971</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45971</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8416-2021</t>
        </is>
      </c>
      <c r="B1614" s="1" t="n">
        <v>44245</v>
      </c>
      <c r="C1614" s="1" t="n">
        <v>45971</v>
      </c>
      <c r="D1614" t="inlineStr">
        <is>
          <t>VÄSTERBOTTENS LÄN</t>
        </is>
      </c>
      <c r="E1614" t="inlineStr">
        <is>
          <t>ROBERTSFORS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39827-2021</t>
        </is>
      </c>
      <c r="B1615" s="1" t="n">
        <v>44417</v>
      </c>
      <c r="C1615" s="1" t="n">
        <v>45971</v>
      </c>
      <c r="D1615" t="inlineStr">
        <is>
          <t>VÄSTERBOTTENS LÄN</t>
        </is>
      </c>
      <c r="E1615" t="inlineStr">
        <is>
          <t>SKELLEFTEÅ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8423-2021</t>
        </is>
      </c>
      <c r="B1616" s="1" t="n">
        <v>44245</v>
      </c>
      <c r="C1616" s="1" t="n">
        <v>45971</v>
      </c>
      <c r="D1616" t="inlineStr">
        <is>
          <t>VÄSTERBOTTENS LÄN</t>
        </is>
      </c>
      <c r="E1616" t="inlineStr">
        <is>
          <t>ROBERTSFORS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45971</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59171-2021</t>
        </is>
      </c>
      <c r="B1618" s="1" t="n">
        <v>44489</v>
      </c>
      <c r="C1618" s="1" t="n">
        <v>45971</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72590-2021</t>
        </is>
      </c>
      <c r="B1619" s="1" t="n">
        <v>44546.4796875</v>
      </c>
      <c r="C1619" s="1" t="n">
        <v>45971</v>
      </c>
      <c r="D1619" t="inlineStr">
        <is>
          <t>VÄSTERBOTTENS LÄN</t>
        </is>
      </c>
      <c r="E1619" t="inlineStr">
        <is>
          <t>NORSJÖ</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45971</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45971</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45971</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45971</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45971</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45971</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45971</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45971</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45971</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45971</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45971</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45971</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45971</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38932-2022</t>
        </is>
      </c>
      <c r="B1633" s="1" t="n">
        <v>44816</v>
      </c>
      <c r="C1633" s="1" t="n">
        <v>45971</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5969-2022</t>
        </is>
      </c>
      <c r="B1634" s="1" t="n">
        <v>44599</v>
      </c>
      <c r="C1634" s="1" t="n">
        <v>45971</v>
      </c>
      <c r="D1634" t="inlineStr">
        <is>
          <t>VÄSTERBOTTENS LÄN</t>
        </is>
      </c>
      <c r="E1634" t="inlineStr">
        <is>
          <t>UMEÅ</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45971</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45971</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45971</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45971</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45971</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45971</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45971</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45971</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48613-2021</t>
        </is>
      </c>
      <c r="B1643" s="1" t="n">
        <v>44452</v>
      </c>
      <c r="C1643" s="1" t="n">
        <v>45971</v>
      </c>
      <c r="D1643" t="inlineStr">
        <is>
          <t>VÄSTERBOTTENS LÄN</t>
        </is>
      </c>
      <c r="E1643" t="inlineStr">
        <is>
          <t>UMEÅ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45971</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45971</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45971</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45971</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45971</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45971</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45971</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45971</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45971</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45971</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45971</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71019-2021</t>
        </is>
      </c>
      <c r="B1655" s="1" t="n">
        <v>44538.64574074074</v>
      </c>
      <c r="C1655" s="1" t="n">
        <v>45971</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45971</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45971</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41464-2021</t>
        </is>
      </c>
      <c r="B1658" s="1" t="n">
        <v>44424.87716435185</v>
      </c>
      <c r="C1658" s="1" t="n">
        <v>45971</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52922-2021</t>
        </is>
      </c>
      <c r="B1659" s="1" t="n">
        <v>44466</v>
      </c>
      <c r="C1659" s="1" t="n">
        <v>45971</v>
      </c>
      <c r="D1659" t="inlineStr">
        <is>
          <t>VÄSTERBOTTENS LÄN</t>
        </is>
      </c>
      <c r="E1659" t="inlineStr">
        <is>
          <t>STORUMAN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45971</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45971</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45971</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45971</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45971</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65487-2021</t>
        </is>
      </c>
      <c r="B1665" s="1" t="n">
        <v>44515</v>
      </c>
      <c r="C1665" s="1" t="n">
        <v>45971</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45971</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45971</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45971</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45971</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65254-2020</t>
        </is>
      </c>
      <c r="B1670" s="1" t="n">
        <v>44172</v>
      </c>
      <c r="C1670" s="1" t="n">
        <v>45971</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43202-2021</t>
        </is>
      </c>
      <c r="B1671" s="1" t="n">
        <v>44431</v>
      </c>
      <c r="C1671" s="1" t="n">
        <v>45971</v>
      </c>
      <c r="D1671" t="inlineStr">
        <is>
          <t>VÄSTERBOTTENS LÄN</t>
        </is>
      </c>
      <c r="E1671" t="inlineStr">
        <is>
          <t>STORUMAN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45971</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45971</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65419-2020</t>
        </is>
      </c>
      <c r="B1674" s="1" t="n">
        <v>44173</v>
      </c>
      <c r="C1674" s="1" t="n">
        <v>45971</v>
      </c>
      <c r="D1674" t="inlineStr">
        <is>
          <t>VÄSTERBOTTENS LÄN</t>
        </is>
      </c>
      <c r="E1674" t="inlineStr">
        <is>
          <t>VÄNNÄS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48823-2021</t>
        </is>
      </c>
      <c r="B1675" s="1" t="n">
        <v>44452.91890046297</v>
      </c>
      <c r="C1675" s="1" t="n">
        <v>45971</v>
      </c>
      <c r="D1675" t="inlineStr">
        <is>
          <t>VÄSTERBOTTENS LÄN</t>
        </is>
      </c>
      <c r="E1675" t="inlineStr">
        <is>
          <t>ROBERTSFORS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45971</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45971</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45971</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45971</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45971</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441-2021</t>
        </is>
      </c>
      <c r="B1681" s="1" t="n">
        <v>44201</v>
      </c>
      <c r="C1681" s="1" t="n">
        <v>45971</v>
      </c>
      <c r="D1681" t="inlineStr">
        <is>
          <t>VÄSTERBOTTENS LÄN</t>
        </is>
      </c>
      <c r="E1681" t="inlineStr">
        <is>
          <t>LYCKSELE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45971</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45971</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65103-2020</t>
        </is>
      </c>
      <c r="B1684" s="1" t="n">
        <v>44167</v>
      </c>
      <c r="C1684" s="1" t="n">
        <v>45971</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65486-2020</t>
        </is>
      </c>
      <c r="B1685" s="1" t="n">
        <v>44172</v>
      </c>
      <c r="C1685" s="1" t="n">
        <v>45971</v>
      </c>
      <c r="D1685" t="inlineStr">
        <is>
          <t>VÄSTERBOTTENS LÄN</t>
        </is>
      </c>
      <c r="E1685" t="inlineStr">
        <is>
          <t>SKELLEFTEÅ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45971</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45971</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65567-2020</t>
        </is>
      </c>
      <c r="B1688" s="1" t="n">
        <v>44173</v>
      </c>
      <c r="C1688" s="1" t="n">
        <v>45971</v>
      </c>
      <c r="D1688" t="inlineStr">
        <is>
          <t>VÄSTERBOTTENS LÄN</t>
        </is>
      </c>
      <c r="E1688" t="inlineStr">
        <is>
          <t>SKELLEFTEÅ</t>
        </is>
      </c>
      <c r="F1688" t="inlineStr">
        <is>
          <t>Sveaskog</t>
        </is>
      </c>
      <c r="G1688" t="n">
        <v>17.7</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45971</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45971</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45971</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45971</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45971</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2407-2021</t>
        </is>
      </c>
      <c r="B1694" s="1" t="n">
        <v>44211</v>
      </c>
      <c r="C1694" s="1" t="n">
        <v>45971</v>
      </c>
      <c r="D1694" t="inlineStr">
        <is>
          <t>VÄSTERBOTTENS LÄN</t>
        </is>
      </c>
      <c r="E1694" t="inlineStr">
        <is>
          <t>ÅSELE</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45971</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45971</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45971</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68510-2020</t>
        </is>
      </c>
      <c r="B1698" s="1" t="n">
        <v>44183</v>
      </c>
      <c r="C1698" s="1" t="n">
        <v>45971</v>
      </c>
      <c r="D1698" t="inlineStr">
        <is>
          <t>VÄSTERBOTTENS LÄN</t>
        </is>
      </c>
      <c r="E1698" t="inlineStr">
        <is>
          <t>LYCKSELE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45971</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68203-2020</t>
        </is>
      </c>
      <c r="B1700" s="1" t="n">
        <v>44183</v>
      </c>
      <c r="C1700" s="1" t="n">
        <v>45971</v>
      </c>
      <c r="D1700" t="inlineStr">
        <is>
          <t>VÄSTERBOTTENS LÄN</t>
        </is>
      </c>
      <c r="E1700" t="inlineStr">
        <is>
          <t>SKELLEFTEÅ</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45971</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45971</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45971</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45971</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45971</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45971</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45971</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45971</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45971</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45971</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45971</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64507-2020</t>
        </is>
      </c>
      <c r="B1712" s="1" t="n">
        <v>44168</v>
      </c>
      <c r="C1712" s="1" t="n">
        <v>45971</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45971</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45971</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45971</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45971</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45971</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45971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45971</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45971</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45971</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45971</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6981-2021</t>
        </is>
      </c>
      <c r="B1723" s="1" t="n">
        <v>44237</v>
      </c>
      <c r="C1723" s="1" t="n">
        <v>45971</v>
      </c>
      <c r="D1723" t="inlineStr">
        <is>
          <t>VÄSTERBOTTENS LÄN</t>
        </is>
      </c>
      <c r="E1723" t="inlineStr">
        <is>
          <t>ROBERTSFORS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45971</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6869-2021</t>
        </is>
      </c>
      <c r="B1725" s="1" t="n">
        <v>44237</v>
      </c>
      <c r="C1725" s="1" t="n">
        <v>45971</v>
      </c>
      <c r="D1725" t="inlineStr">
        <is>
          <t>VÄSTERBOTTENS LÄN</t>
        </is>
      </c>
      <c r="E1725" t="inlineStr">
        <is>
          <t>STORUMAN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45971</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45971</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45971</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45971</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45971</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45971</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45971</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45971</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41845-2021</t>
        </is>
      </c>
      <c r="B1734" s="1" t="n">
        <v>44425.93820601852</v>
      </c>
      <c r="C1734" s="1" t="n">
        <v>45971</v>
      </c>
      <c r="D1734" t="inlineStr">
        <is>
          <t>VÄSTERBOTTENS LÄN</t>
        </is>
      </c>
      <c r="E1734" t="inlineStr">
        <is>
          <t>VINDELN</t>
        </is>
      </c>
      <c r="F1734" t="inlineStr">
        <is>
          <t>SCA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38873-2022</t>
        </is>
      </c>
      <c r="B1735" s="1" t="n">
        <v>44816</v>
      </c>
      <c r="C1735" s="1" t="n">
        <v>45971</v>
      </c>
      <c r="D1735" t="inlineStr">
        <is>
          <t>VÄSTERBOTTENS LÄN</t>
        </is>
      </c>
      <c r="E1735" t="inlineStr">
        <is>
          <t>SKELLEFTEÅ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38876-2022</t>
        </is>
      </c>
      <c r="B1736" s="1" t="n">
        <v>44816</v>
      </c>
      <c r="C1736" s="1" t="n">
        <v>45971</v>
      </c>
      <c r="D1736" t="inlineStr">
        <is>
          <t>VÄSTERBOTTENS LÄN</t>
        </is>
      </c>
      <c r="E1736" t="inlineStr">
        <is>
          <t>SKELLEFTEÅ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45971</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45971</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45971</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45971</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45971</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45971</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45971</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45971</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45971</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45971</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56179-2022</t>
        </is>
      </c>
      <c r="B1747" s="1" t="n">
        <v>44889.94913194444</v>
      </c>
      <c r="C1747" s="1" t="n">
        <v>45971</v>
      </c>
      <c r="D1747" t="inlineStr">
        <is>
          <t>VÄSTERBOTTENS LÄN</t>
        </is>
      </c>
      <c r="E1747" t="inlineStr">
        <is>
          <t>VILHELMINA</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45971</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45971</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45971</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45971</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45971</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45971</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45971</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45971</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18073-2021</t>
        </is>
      </c>
      <c r="B1756" s="1" t="n">
        <v>44302.44858796296</v>
      </c>
      <c r="C1756" s="1" t="n">
        <v>45971</v>
      </c>
      <c r="D1756" t="inlineStr">
        <is>
          <t>VÄSTERBOTTENS LÄN</t>
        </is>
      </c>
      <c r="E1756" t="inlineStr">
        <is>
          <t>SKELLEFTEÅ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45971</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45971</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45971</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45971</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45971</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45971</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45971</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45971</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45971</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45971</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58808-2021</t>
        </is>
      </c>
      <c r="B1767" s="1" t="n">
        <v>44489</v>
      </c>
      <c r="C1767" s="1" t="n">
        <v>45971</v>
      </c>
      <c r="D1767" t="inlineStr">
        <is>
          <t>VÄSTERBOTTENS LÄN</t>
        </is>
      </c>
      <c r="E1767" t="inlineStr">
        <is>
          <t>SKELLEFTEÅ</t>
        </is>
      </c>
      <c r="F1767" t="inlineStr">
        <is>
          <t>Sveaskog</t>
        </is>
      </c>
      <c r="G1767" t="n">
        <v>15.5</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45971</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45971</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45971</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22828-2022</t>
        </is>
      </c>
      <c r="B1771" s="1" t="n">
        <v>44714</v>
      </c>
      <c r="C1771" s="1" t="n">
        <v>45971</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23513-2022</t>
        </is>
      </c>
      <c r="B1772" s="1" t="n">
        <v>44721.39010416667</v>
      </c>
      <c r="C1772" s="1" t="n">
        <v>45971</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45971</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45971</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45971</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45971</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59595-2020</t>
        </is>
      </c>
      <c r="B1777" s="1" t="n">
        <v>44148</v>
      </c>
      <c r="C1777" s="1" t="n">
        <v>45971</v>
      </c>
      <c r="D1777" t="inlineStr">
        <is>
          <t>VÄSTERBOTTENS LÄN</t>
        </is>
      </c>
      <c r="E1777" t="inlineStr">
        <is>
          <t>NORDMALING</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45971</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45971</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45971</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45971</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45971</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45971</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45971</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45971</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55921-2021</t>
        </is>
      </c>
      <c r="B1786" s="1" t="n">
        <v>44476</v>
      </c>
      <c r="C1786" s="1" t="n">
        <v>45971</v>
      </c>
      <c r="D1786" t="inlineStr">
        <is>
          <t>VÄSTERBOTTENS LÄN</t>
        </is>
      </c>
      <c r="E1786" t="inlineStr">
        <is>
          <t>ÅSELE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45971</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45971</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64485-2020</t>
        </is>
      </c>
      <c r="B1789" s="1" t="n">
        <v>44168</v>
      </c>
      <c r="C1789" s="1" t="n">
        <v>45971</v>
      </c>
      <c r="D1789" t="inlineStr">
        <is>
          <t>VÄSTERBOTTENS LÄN</t>
        </is>
      </c>
      <c r="E1789" t="inlineStr">
        <is>
          <t>SKELLEFTEÅ</t>
        </is>
      </c>
      <c r="G1789" t="n">
        <v>35.4</v>
      </c>
      <c r="H1789" t="n">
        <v>0</v>
      </c>
      <c r="I1789" t="n">
        <v>0</v>
      </c>
      <c r="J1789" t="n">
        <v>0</v>
      </c>
      <c r="K1789" t="n">
        <v>0</v>
      </c>
      <c r="L1789" t="n">
        <v>0</v>
      </c>
      <c r="M1789" t="n">
        <v>0</v>
      </c>
      <c r="N1789" t="n">
        <v>0</v>
      </c>
      <c r="O1789" t="n">
        <v>0</v>
      </c>
      <c r="P1789" t="n">
        <v>0</v>
      </c>
      <c r="Q1789" t="n">
        <v>0</v>
      </c>
      <c r="R1789" s="2" t="inlineStr"/>
    </row>
    <row r="1790" ht="15" customHeight="1">
      <c r="A1790" t="inlineStr">
        <is>
          <t>A 63670-2021</t>
        </is>
      </c>
      <c r="B1790" s="1" t="n">
        <v>44509.3734375</v>
      </c>
      <c r="C1790" s="1" t="n">
        <v>45971</v>
      </c>
      <c r="D1790" t="inlineStr">
        <is>
          <t>VÄSTERBOTTENS LÄN</t>
        </is>
      </c>
      <c r="E1790" t="inlineStr">
        <is>
          <t>VINDELN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45971</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45971</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45971</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45971</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45971</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60747-2020</t>
        </is>
      </c>
      <c r="B1796" s="1" t="n">
        <v>44153</v>
      </c>
      <c r="C1796" s="1" t="n">
        <v>45971</v>
      </c>
      <c r="D1796" t="inlineStr">
        <is>
          <t>VÄSTERBOTTENS LÄN</t>
        </is>
      </c>
      <c r="E1796" t="inlineStr">
        <is>
          <t>VINDELN</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45971</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45971</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45971</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3469-2022</t>
        </is>
      </c>
      <c r="B1800" s="1" t="n">
        <v>44585</v>
      </c>
      <c r="C1800" s="1" t="n">
        <v>45971</v>
      </c>
      <c r="D1800" t="inlineStr">
        <is>
          <t>VÄSTERBOTTENS LÄN</t>
        </is>
      </c>
      <c r="E1800" t="inlineStr">
        <is>
          <t>ÅSELE</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45971</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17257-2022</t>
        </is>
      </c>
      <c r="B1802" s="1" t="n">
        <v>44678.3941550926</v>
      </c>
      <c r="C1802" s="1" t="n">
        <v>45971</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59917-2020</t>
        </is>
      </c>
      <c r="B1803" s="1" t="n">
        <v>44148</v>
      </c>
      <c r="C1803" s="1" t="n">
        <v>45971</v>
      </c>
      <c r="D1803" t="inlineStr">
        <is>
          <t>VÄSTERBOTTENS LÄN</t>
        </is>
      </c>
      <c r="E1803" t="inlineStr">
        <is>
          <t>SORSELE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43917-2022</t>
        </is>
      </c>
      <c r="B1804" s="1" t="n">
        <v>44838.51583333333</v>
      </c>
      <c r="C1804" s="1" t="n">
        <v>45971</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8973-2022</t>
        </is>
      </c>
      <c r="B1805" s="1" t="n">
        <v>44614.92071759259</v>
      </c>
      <c r="C1805" s="1" t="n">
        <v>45971</v>
      </c>
      <c r="D1805" t="inlineStr">
        <is>
          <t>VÄSTERBOTTENS LÄN</t>
        </is>
      </c>
      <c r="E1805" t="inlineStr">
        <is>
          <t>VINDELN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7915-2022</t>
        </is>
      </c>
      <c r="B1806" s="1" t="n">
        <v>44608</v>
      </c>
      <c r="C1806" s="1" t="n">
        <v>45971</v>
      </c>
      <c r="D1806" t="inlineStr">
        <is>
          <t>VÄSTERBOTTENS LÄN</t>
        </is>
      </c>
      <c r="E1806" t="inlineStr">
        <is>
          <t>BJURHOLM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20610-2022</t>
        </is>
      </c>
      <c r="B1807" s="1" t="n">
        <v>44700</v>
      </c>
      <c r="C1807" s="1" t="n">
        <v>45971</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35551-2021</t>
        </is>
      </c>
      <c r="B1808" s="1" t="n">
        <v>44385.82789351852</v>
      </c>
      <c r="C1808" s="1" t="n">
        <v>45971</v>
      </c>
      <c r="D1808" t="inlineStr">
        <is>
          <t>VÄSTERBOTTENS LÄN</t>
        </is>
      </c>
      <c r="E1808" t="inlineStr">
        <is>
          <t>ROBERTSFORS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46375-2021</t>
        </is>
      </c>
      <c r="B1809" s="1" t="n">
        <v>44442</v>
      </c>
      <c r="C1809" s="1" t="n">
        <v>45971</v>
      </c>
      <c r="D1809" t="inlineStr">
        <is>
          <t>VÄSTERBOTTENS LÄN</t>
        </is>
      </c>
      <c r="E1809" t="inlineStr">
        <is>
          <t>VILHELMINA</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47772-2022</t>
        </is>
      </c>
      <c r="B1810" s="1" t="n">
        <v>44854.92494212963</v>
      </c>
      <c r="C1810" s="1" t="n">
        <v>45971</v>
      </c>
      <c r="D1810" t="inlineStr">
        <is>
          <t>VÄSTERBOTTENS LÄN</t>
        </is>
      </c>
      <c r="E1810" t="inlineStr">
        <is>
          <t>VÄNNÄS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43556-2022</t>
        </is>
      </c>
      <c r="B1811" s="1" t="n">
        <v>44837</v>
      </c>
      <c r="C1811" s="1" t="n">
        <v>45971</v>
      </c>
      <c r="D1811" t="inlineStr">
        <is>
          <t>VÄSTERBOTTENS LÄN</t>
        </is>
      </c>
      <c r="E1811" t="inlineStr">
        <is>
          <t>LYCKSELE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22550-2022</t>
        </is>
      </c>
      <c r="B1812" s="1" t="n">
        <v>44713</v>
      </c>
      <c r="C1812" s="1" t="n">
        <v>45971</v>
      </c>
      <c r="D1812" t="inlineStr">
        <is>
          <t>VÄSTERBOTTENS LÄN</t>
        </is>
      </c>
      <c r="E1812" t="inlineStr">
        <is>
          <t>ÅSELE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22011-2022</t>
        </is>
      </c>
      <c r="B1813" s="1" t="n">
        <v>44711</v>
      </c>
      <c r="C1813" s="1" t="n">
        <v>45971</v>
      </c>
      <c r="D1813" t="inlineStr">
        <is>
          <t>VÄSTERBOTTENS LÄN</t>
        </is>
      </c>
      <c r="E1813" t="inlineStr">
        <is>
          <t>ÅSELE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46410-2022</t>
        </is>
      </c>
      <c r="B1814" s="1" t="n">
        <v>44846</v>
      </c>
      <c r="C1814" s="1" t="n">
        <v>45971</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61431-2021</t>
        </is>
      </c>
      <c r="B1815" s="1" t="n">
        <v>44500</v>
      </c>
      <c r="C1815" s="1" t="n">
        <v>45971</v>
      </c>
      <c r="D1815" t="inlineStr">
        <is>
          <t>VÄSTERBOTTENS LÄN</t>
        </is>
      </c>
      <c r="E1815" t="inlineStr">
        <is>
          <t>STORUMAN</t>
        </is>
      </c>
      <c r="F1815" t="inlineStr">
        <is>
          <t>SCA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2607-2022</t>
        </is>
      </c>
      <c r="B1816" s="1" t="n">
        <v>44580</v>
      </c>
      <c r="C1816" s="1" t="n">
        <v>45971</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2706-2022</t>
        </is>
      </c>
      <c r="B1817" s="1" t="n">
        <v>44580</v>
      </c>
      <c r="C1817" s="1" t="n">
        <v>45971</v>
      </c>
      <c r="D1817" t="inlineStr">
        <is>
          <t>VÄSTERBOTTENS LÄN</t>
        </is>
      </c>
      <c r="E1817" t="inlineStr">
        <is>
          <t>BJURHOLM</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49757-2022</t>
        </is>
      </c>
      <c r="B1818" s="1" t="n">
        <v>44862.59038194444</v>
      </c>
      <c r="C1818" s="1" t="n">
        <v>45971</v>
      </c>
      <c r="D1818" t="inlineStr">
        <is>
          <t>VÄSTERBOTTENS LÄN</t>
        </is>
      </c>
      <c r="E1818" t="inlineStr">
        <is>
          <t>SKELLEFTEÅ</t>
        </is>
      </c>
      <c r="F1818" t="inlineStr">
        <is>
          <t>Holmen skog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68564-2020</t>
        </is>
      </c>
      <c r="B1819" s="1" t="n">
        <v>44186</v>
      </c>
      <c r="C1819" s="1" t="n">
        <v>45971</v>
      </c>
      <c r="D1819" t="inlineStr">
        <is>
          <t>VÄSTERBOTTENS LÄN</t>
        </is>
      </c>
      <c r="E1819" t="inlineStr">
        <is>
          <t>SKELLEFTEÅ</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68253-2020</t>
        </is>
      </c>
      <c r="B1820" s="1" t="n">
        <v>44182</v>
      </c>
      <c r="C1820" s="1" t="n">
        <v>45971</v>
      </c>
      <c r="D1820" t="inlineStr">
        <is>
          <t>VÄSTERBOTTENS LÄN</t>
        </is>
      </c>
      <c r="E1820" t="inlineStr">
        <is>
          <t>LYCKSELE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42905-2022</t>
        </is>
      </c>
      <c r="B1821" s="1" t="n">
        <v>44832.9546875</v>
      </c>
      <c r="C1821" s="1" t="n">
        <v>45971</v>
      </c>
      <c r="D1821" t="inlineStr">
        <is>
          <t>VÄSTERBOTTENS LÄN</t>
        </is>
      </c>
      <c r="E1821" t="inlineStr">
        <is>
          <t>NORDMALING</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1834-2022</t>
        </is>
      </c>
      <c r="B1822" s="1" t="n">
        <v>44574.67953703704</v>
      </c>
      <c r="C1822" s="1" t="n">
        <v>45971</v>
      </c>
      <c r="D1822" t="inlineStr">
        <is>
          <t>VÄSTERBOTTENS LÄN</t>
        </is>
      </c>
      <c r="E1822" t="inlineStr">
        <is>
          <t>SKELLEFTEÅ</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27951-2022</t>
        </is>
      </c>
      <c r="B1823" s="1" t="n">
        <v>44743.94396990741</v>
      </c>
      <c r="C1823" s="1" t="n">
        <v>45971</v>
      </c>
      <c r="D1823" t="inlineStr">
        <is>
          <t>VÄSTERBOTTENS LÄN</t>
        </is>
      </c>
      <c r="E1823" t="inlineStr">
        <is>
          <t>BJURHOLM</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14952-2022</t>
        </is>
      </c>
      <c r="B1824" s="1" t="n">
        <v>44657</v>
      </c>
      <c r="C1824" s="1" t="n">
        <v>45971</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14540-2022</t>
        </is>
      </c>
      <c r="B1825" s="1" t="n">
        <v>44655</v>
      </c>
      <c r="C1825" s="1" t="n">
        <v>45971</v>
      </c>
      <c r="D1825" t="inlineStr">
        <is>
          <t>VÄSTERBOTTENS LÄN</t>
        </is>
      </c>
      <c r="E1825" t="inlineStr">
        <is>
          <t>NORDMALING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38746-2021</t>
        </is>
      </c>
      <c r="B1826" s="1" t="n">
        <v>44410</v>
      </c>
      <c r="C1826" s="1" t="n">
        <v>45971</v>
      </c>
      <c r="D1826" t="inlineStr">
        <is>
          <t>VÄSTERBOTTENS LÄN</t>
        </is>
      </c>
      <c r="E1826" t="inlineStr">
        <is>
          <t>UMEÅ</t>
        </is>
      </c>
      <c r="F1826" t="inlineStr">
        <is>
          <t>Övriga statliga verk och myndigheter</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24599-2021</t>
        </is>
      </c>
      <c r="B1827" s="1" t="n">
        <v>44341</v>
      </c>
      <c r="C1827" s="1" t="n">
        <v>45971</v>
      </c>
      <c r="D1827" t="inlineStr">
        <is>
          <t>VÄSTERBOTTENS LÄN</t>
        </is>
      </c>
      <c r="E1827" t="inlineStr">
        <is>
          <t>VILHELMINA</t>
        </is>
      </c>
      <c r="G1827" t="n">
        <v>14.5</v>
      </c>
      <c r="H1827" t="n">
        <v>0</v>
      </c>
      <c r="I1827" t="n">
        <v>0</v>
      </c>
      <c r="J1827" t="n">
        <v>0</v>
      </c>
      <c r="K1827" t="n">
        <v>0</v>
      </c>
      <c r="L1827" t="n">
        <v>0</v>
      </c>
      <c r="M1827" t="n">
        <v>0</v>
      </c>
      <c r="N1827" t="n">
        <v>0</v>
      </c>
      <c r="O1827" t="n">
        <v>0</v>
      </c>
      <c r="P1827" t="n">
        <v>0</v>
      </c>
      <c r="Q1827" t="n">
        <v>0</v>
      </c>
      <c r="R1827" s="2" t="inlineStr"/>
    </row>
    <row r="1828" ht="15" customHeight="1">
      <c r="A1828" t="inlineStr">
        <is>
          <t>A 37423-2022</t>
        </is>
      </c>
      <c r="B1828" s="1" t="n">
        <v>44809</v>
      </c>
      <c r="C1828" s="1" t="n">
        <v>45971</v>
      </c>
      <c r="D1828" t="inlineStr">
        <is>
          <t>VÄSTERBOTTENS LÄN</t>
        </is>
      </c>
      <c r="E1828" t="inlineStr">
        <is>
          <t>LYCKSELE</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38979-2022</t>
        </is>
      </c>
      <c r="B1829" s="1" t="n">
        <v>44816</v>
      </c>
      <c r="C1829" s="1" t="n">
        <v>45971</v>
      </c>
      <c r="D1829" t="inlineStr">
        <is>
          <t>VÄSTERBOTTENS LÄN</t>
        </is>
      </c>
      <c r="E1829" t="inlineStr">
        <is>
          <t>ÅSELE</t>
        </is>
      </c>
      <c r="F1829" t="inlineStr">
        <is>
          <t>Sveaskog</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38187-2022</t>
        </is>
      </c>
      <c r="B1830" s="1" t="n">
        <v>44812</v>
      </c>
      <c r="C1830" s="1" t="n">
        <v>45971</v>
      </c>
      <c r="D1830" t="inlineStr">
        <is>
          <t>VÄSTERBOTTENS LÄN</t>
        </is>
      </c>
      <c r="E1830" t="inlineStr">
        <is>
          <t>ROBERTSFORS</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46731-2022</t>
        </is>
      </c>
      <c r="B1831" s="1" t="n">
        <v>44851.43311342593</v>
      </c>
      <c r="C1831" s="1" t="n">
        <v>45971</v>
      </c>
      <c r="D1831" t="inlineStr">
        <is>
          <t>VÄSTERBOTTENS LÄN</t>
        </is>
      </c>
      <c r="E1831" t="inlineStr">
        <is>
          <t>ROBERTSFORS</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38541-2021</t>
        </is>
      </c>
      <c r="B1832" s="1" t="n">
        <v>44407</v>
      </c>
      <c r="C1832" s="1" t="n">
        <v>45971</v>
      </c>
      <c r="D1832" t="inlineStr">
        <is>
          <t>VÄSTERBOTTENS LÄN</t>
        </is>
      </c>
      <c r="E1832" t="inlineStr">
        <is>
          <t>UMEÅ</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38398-2021</t>
        </is>
      </c>
      <c r="B1833" s="1" t="n">
        <v>44406</v>
      </c>
      <c r="C1833" s="1" t="n">
        <v>45971</v>
      </c>
      <c r="D1833" t="inlineStr">
        <is>
          <t>VÄSTERBOTTENS LÄN</t>
        </is>
      </c>
      <c r="E1833" t="inlineStr">
        <is>
          <t>UMEÅ</t>
        </is>
      </c>
      <c r="F1833" t="inlineStr">
        <is>
          <t>Kommuner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38399-2021</t>
        </is>
      </c>
      <c r="B1834" s="1" t="n">
        <v>44406</v>
      </c>
      <c r="C1834" s="1" t="n">
        <v>45971</v>
      </c>
      <c r="D1834" t="inlineStr">
        <is>
          <t>VÄSTERBOTTENS LÄN</t>
        </is>
      </c>
      <c r="E1834" t="inlineStr">
        <is>
          <t>UMEÅ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38449-2021</t>
        </is>
      </c>
      <c r="B1835" s="1" t="n">
        <v>44406</v>
      </c>
      <c r="C1835" s="1" t="n">
        <v>45971</v>
      </c>
      <c r="D1835" t="inlineStr">
        <is>
          <t>VÄSTERBOTTENS LÄN</t>
        </is>
      </c>
      <c r="E1835" t="inlineStr">
        <is>
          <t>UMEÅ</t>
        </is>
      </c>
      <c r="F1835" t="inlineStr">
        <is>
          <t>Kommuner</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38514-2021</t>
        </is>
      </c>
      <c r="B1836" s="1" t="n">
        <v>44407</v>
      </c>
      <c r="C1836" s="1" t="n">
        <v>45971</v>
      </c>
      <c r="D1836" t="inlineStr">
        <is>
          <t>VÄSTERBOTTENS LÄN</t>
        </is>
      </c>
      <c r="E1836" t="inlineStr">
        <is>
          <t>UMEÅ</t>
        </is>
      </c>
      <c r="F1836" t="inlineStr">
        <is>
          <t>Kommuner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10500-2021</t>
        </is>
      </c>
      <c r="B1837" s="1" t="n">
        <v>44257</v>
      </c>
      <c r="C1837" s="1" t="n">
        <v>45971</v>
      </c>
      <c r="D1837" t="inlineStr">
        <is>
          <t>VÄSTERBOTTENS LÄN</t>
        </is>
      </c>
      <c r="E1837" t="inlineStr">
        <is>
          <t>STORUMAN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24983-2021</t>
        </is>
      </c>
      <c r="B1838" s="1" t="n">
        <v>44341</v>
      </c>
      <c r="C1838" s="1" t="n">
        <v>45971</v>
      </c>
      <c r="D1838" t="inlineStr">
        <is>
          <t>VÄSTERBOTTENS LÄN</t>
        </is>
      </c>
      <c r="E1838" t="inlineStr">
        <is>
          <t>VILHELMINA</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36931-2022</t>
        </is>
      </c>
      <c r="B1839" s="1" t="n">
        <v>44805</v>
      </c>
      <c r="C1839" s="1" t="n">
        <v>45971</v>
      </c>
      <c r="D1839" t="inlineStr">
        <is>
          <t>VÄSTERBOTTENS LÄN</t>
        </is>
      </c>
      <c r="E1839" t="inlineStr">
        <is>
          <t>VILHELMINA</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16210-2022</t>
        </is>
      </c>
      <c r="B1840" s="1" t="n">
        <v>44670.33633101852</v>
      </c>
      <c r="C1840" s="1" t="n">
        <v>45971</v>
      </c>
      <c r="D1840" t="inlineStr">
        <is>
          <t>VÄSTERBOTTENS LÄN</t>
        </is>
      </c>
      <c r="E1840" t="inlineStr">
        <is>
          <t>UMEÅ</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64759-2020</t>
        </is>
      </c>
      <c r="B1841" s="1" t="n">
        <v>44169</v>
      </c>
      <c r="C1841" s="1" t="n">
        <v>45971</v>
      </c>
      <c r="D1841" t="inlineStr">
        <is>
          <t>VÄSTERBOTTENS LÄN</t>
        </is>
      </c>
      <c r="E1841" t="inlineStr">
        <is>
          <t>VILHELMINA</t>
        </is>
      </c>
      <c r="G1841" t="n">
        <v>24.6</v>
      </c>
      <c r="H1841" t="n">
        <v>0</v>
      </c>
      <c r="I1841" t="n">
        <v>0</v>
      </c>
      <c r="J1841" t="n">
        <v>0</v>
      </c>
      <c r="K1841" t="n">
        <v>0</v>
      </c>
      <c r="L1841" t="n">
        <v>0</v>
      </c>
      <c r="M1841" t="n">
        <v>0</v>
      </c>
      <c r="N1841" t="n">
        <v>0</v>
      </c>
      <c r="O1841" t="n">
        <v>0</v>
      </c>
      <c r="P1841" t="n">
        <v>0</v>
      </c>
      <c r="Q1841" t="n">
        <v>0</v>
      </c>
      <c r="R1841" s="2" t="inlineStr"/>
    </row>
    <row r="1842" ht="15" customHeight="1">
      <c r="A1842" t="inlineStr">
        <is>
          <t>A 38717-2021</t>
        </is>
      </c>
      <c r="B1842" s="1" t="n">
        <v>44410</v>
      </c>
      <c r="C1842" s="1" t="n">
        <v>45971</v>
      </c>
      <c r="D1842" t="inlineStr">
        <is>
          <t>VÄSTERBOTTENS LÄN</t>
        </is>
      </c>
      <c r="E1842" t="inlineStr">
        <is>
          <t>UMEÅ</t>
        </is>
      </c>
      <c r="F1842" t="inlineStr">
        <is>
          <t>Kommuner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38720-2021</t>
        </is>
      </c>
      <c r="B1843" s="1" t="n">
        <v>44410</v>
      </c>
      <c r="C1843" s="1" t="n">
        <v>45971</v>
      </c>
      <c r="D1843" t="inlineStr">
        <is>
          <t>VÄSTERBOTTENS LÄN</t>
        </is>
      </c>
      <c r="E1843" t="inlineStr">
        <is>
          <t>UMEÅ</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38729-2021</t>
        </is>
      </c>
      <c r="B1844" s="1" t="n">
        <v>44410</v>
      </c>
      <c r="C1844" s="1" t="n">
        <v>45971</v>
      </c>
      <c r="D1844" t="inlineStr">
        <is>
          <t>VÄSTERBOTTENS LÄN</t>
        </is>
      </c>
      <c r="E1844" t="inlineStr">
        <is>
          <t>UMEÅ</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42818-2021</t>
        </is>
      </c>
      <c r="B1845" s="1" t="n">
        <v>44429</v>
      </c>
      <c r="C1845" s="1" t="n">
        <v>45971</v>
      </c>
      <c r="D1845" t="inlineStr">
        <is>
          <t>VÄSTERBOTTENS LÄN</t>
        </is>
      </c>
      <c r="E1845" t="inlineStr">
        <is>
          <t>LYCKSELE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38923-2021</t>
        </is>
      </c>
      <c r="B1846" s="1" t="n">
        <v>44410</v>
      </c>
      <c r="C1846" s="1" t="n">
        <v>45971</v>
      </c>
      <c r="D1846" t="inlineStr">
        <is>
          <t>VÄSTERBOTTENS LÄN</t>
        </is>
      </c>
      <c r="E1846" t="inlineStr">
        <is>
          <t>UMEÅ</t>
        </is>
      </c>
      <c r="F1846" t="inlineStr">
        <is>
          <t>Övriga statliga verk och myndigheter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33249-2021</t>
        </is>
      </c>
      <c r="B1847" s="1" t="n">
        <v>44376</v>
      </c>
      <c r="C1847" s="1" t="n">
        <v>45971</v>
      </c>
      <c r="D1847" t="inlineStr">
        <is>
          <t>VÄSTERBOTTENS LÄN</t>
        </is>
      </c>
      <c r="E1847" t="inlineStr">
        <is>
          <t>NORSJÖ</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54796-2021</t>
        </is>
      </c>
      <c r="B1848" s="1" t="n">
        <v>44473.94251157407</v>
      </c>
      <c r="C1848" s="1" t="n">
        <v>45971</v>
      </c>
      <c r="D1848" t="inlineStr">
        <is>
          <t>VÄSTERBOTTENS LÄN</t>
        </is>
      </c>
      <c r="E1848" t="inlineStr">
        <is>
          <t>STORUMAN</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47067-2021</t>
        </is>
      </c>
      <c r="B1849" s="1" t="n">
        <v>44446.6496412037</v>
      </c>
      <c r="C1849" s="1" t="n">
        <v>45971</v>
      </c>
      <c r="D1849" t="inlineStr">
        <is>
          <t>VÄSTERBOTTENS LÄN</t>
        </is>
      </c>
      <c r="E1849" t="inlineStr">
        <is>
          <t>LYCKSELE</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12077-2021</t>
        </is>
      </c>
      <c r="B1850" s="1" t="n">
        <v>44266</v>
      </c>
      <c r="C1850" s="1" t="n">
        <v>45971</v>
      </c>
      <c r="D1850" t="inlineStr">
        <is>
          <t>VÄSTERBOTTENS LÄN</t>
        </is>
      </c>
      <c r="E1850" t="inlineStr">
        <is>
          <t>NORDMALING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58544-2020</t>
        </is>
      </c>
      <c r="B1851" s="1" t="n">
        <v>44145</v>
      </c>
      <c r="C1851" s="1" t="n">
        <v>45971</v>
      </c>
      <c r="D1851" t="inlineStr">
        <is>
          <t>VÄSTERBOTTENS LÄN</t>
        </is>
      </c>
      <c r="E1851" t="inlineStr">
        <is>
          <t>SKELLEFTEÅ</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70068-2021</t>
        </is>
      </c>
      <c r="B1852" s="1" t="n">
        <v>44533</v>
      </c>
      <c r="C1852" s="1" t="n">
        <v>45971</v>
      </c>
      <c r="D1852" t="inlineStr">
        <is>
          <t>VÄSTERBOTTENS LÄN</t>
        </is>
      </c>
      <c r="E1852" t="inlineStr">
        <is>
          <t>UMEÅ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48207-2021</t>
        </is>
      </c>
      <c r="B1853" s="1" t="n">
        <v>44449.60212962963</v>
      </c>
      <c r="C1853" s="1" t="n">
        <v>45971</v>
      </c>
      <c r="D1853" t="inlineStr">
        <is>
          <t>VÄSTERBOTTENS LÄN</t>
        </is>
      </c>
      <c r="E1853" t="inlineStr">
        <is>
          <t>VINDELN</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61412-2020</t>
        </is>
      </c>
      <c r="B1854" s="1" t="n">
        <v>44156</v>
      </c>
      <c r="C1854" s="1" t="n">
        <v>45971</v>
      </c>
      <c r="D1854" t="inlineStr">
        <is>
          <t>VÄSTERBOTTENS LÄN</t>
        </is>
      </c>
      <c r="E1854" t="inlineStr">
        <is>
          <t>BJURHOLM</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68371-2020</t>
        </is>
      </c>
      <c r="B1855" s="1" t="n">
        <v>44186</v>
      </c>
      <c r="C1855" s="1" t="n">
        <v>45971</v>
      </c>
      <c r="D1855" t="inlineStr">
        <is>
          <t>VÄSTERBOTTENS LÄN</t>
        </is>
      </c>
      <c r="E1855" t="inlineStr">
        <is>
          <t>ROBERTSFORS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24797-2021</t>
        </is>
      </c>
      <c r="B1856" s="1" t="n">
        <v>44340</v>
      </c>
      <c r="C1856" s="1" t="n">
        <v>45971</v>
      </c>
      <c r="D1856" t="inlineStr">
        <is>
          <t>VÄSTERBOTTENS LÄN</t>
        </is>
      </c>
      <c r="E1856" t="inlineStr">
        <is>
          <t>ROBERTSFORS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1153-2021</t>
        </is>
      </c>
      <c r="B1857" s="1" t="n">
        <v>44207</v>
      </c>
      <c r="C1857" s="1" t="n">
        <v>45971</v>
      </c>
      <c r="D1857" t="inlineStr">
        <is>
          <t>VÄSTERBOTTENS LÄN</t>
        </is>
      </c>
      <c r="E1857" t="inlineStr">
        <is>
          <t>VÄNNÄS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17251-2022</t>
        </is>
      </c>
      <c r="B1858" s="1" t="n">
        <v>44678</v>
      </c>
      <c r="C1858" s="1" t="n">
        <v>45971</v>
      </c>
      <c r="D1858" t="inlineStr">
        <is>
          <t>VÄSTERBOTTENS LÄN</t>
        </is>
      </c>
      <c r="E1858" t="inlineStr">
        <is>
          <t>SKELLEFTEÅ</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53027-2022</t>
        </is>
      </c>
      <c r="B1859" s="1" t="n">
        <v>44875</v>
      </c>
      <c r="C1859" s="1" t="n">
        <v>45971</v>
      </c>
      <c r="D1859" t="inlineStr">
        <is>
          <t>VÄSTERBOTTENS LÄN</t>
        </is>
      </c>
      <c r="E1859" t="inlineStr">
        <is>
          <t>LYCKSELE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52363-2021</t>
        </is>
      </c>
      <c r="B1860" s="1" t="n">
        <v>44465.4134375</v>
      </c>
      <c r="C1860" s="1" t="n">
        <v>45971</v>
      </c>
      <c r="D1860" t="inlineStr">
        <is>
          <t>VÄSTERBOTTENS LÄN</t>
        </is>
      </c>
      <c r="E1860" t="inlineStr">
        <is>
          <t>DOROTEA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59659-2021</t>
        </is>
      </c>
      <c r="B1861" s="1" t="n">
        <v>44491</v>
      </c>
      <c r="C1861" s="1" t="n">
        <v>45971</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63438-2020</t>
        </is>
      </c>
      <c r="B1862" s="1" t="n">
        <v>44161</v>
      </c>
      <c r="C1862" s="1" t="n">
        <v>45971</v>
      </c>
      <c r="D1862" t="inlineStr">
        <is>
          <t>VÄSTERBOTTENS LÄN</t>
        </is>
      </c>
      <c r="E1862" t="inlineStr">
        <is>
          <t>VINDELN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7038-2021</t>
        </is>
      </c>
      <c r="B1863" s="1" t="n">
        <v>44237</v>
      </c>
      <c r="C1863" s="1" t="n">
        <v>45971</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38543-2021</t>
        </is>
      </c>
      <c r="B1864" s="1" t="n">
        <v>44407</v>
      </c>
      <c r="C1864" s="1" t="n">
        <v>45971</v>
      </c>
      <c r="D1864" t="inlineStr">
        <is>
          <t>VÄSTERBOTTENS LÄN</t>
        </is>
      </c>
      <c r="E1864" t="inlineStr">
        <is>
          <t>UMEÅ</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38547-2021</t>
        </is>
      </c>
      <c r="B1865" s="1" t="n">
        <v>44407</v>
      </c>
      <c r="C1865" s="1" t="n">
        <v>45971</v>
      </c>
      <c r="D1865" t="inlineStr">
        <is>
          <t>VÄSTERBOTTENS LÄN</t>
        </is>
      </c>
      <c r="E1865" t="inlineStr">
        <is>
          <t>UMEÅ</t>
        </is>
      </c>
      <c r="F1865" t="inlineStr">
        <is>
          <t>Kommuner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43326-2022</t>
        </is>
      </c>
      <c r="B1866" s="1" t="n">
        <v>44834.58712962963</v>
      </c>
      <c r="C1866" s="1" t="n">
        <v>45971</v>
      </c>
      <c r="D1866" t="inlineStr">
        <is>
          <t>VÄSTERBOTTENS LÄN</t>
        </is>
      </c>
      <c r="E1866" t="inlineStr">
        <is>
          <t>BJURHOLM</t>
        </is>
      </c>
      <c r="F1866" t="inlineStr">
        <is>
          <t>Holmen skog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8652-2021</t>
        </is>
      </c>
      <c r="B1867" s="1" t="n">
        <v>44245</v>
      </c>
      <c r="C1867" s="1" t="n">
        <v>45971</v>
      </c>
      <c r="D1867" t="inlineStr">
        <is>
          <t>VÄSTERBOTTENS LÄN</t>
        </is>
      </c>
      <c r="E1867" t="inlineStr">
        <is>
          <t>SKELLEFTEÅ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51789-2021</t>
        </is>
      </c>
      <c r="B1868" s="1" t="n">
        <v>44461</v>
      </c>
      <c r="C1868" s="1" t="n">
        <v>45971</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35435-2021</t>
        </is>
      </c>
      <c r="B1869" s="1" t="n">
        <v>44385</v>
      </c>
      <c r="C1869" s="1" t="n">
        <v>45971</v>
      </c>
      <c r="D1869" t="inlineStr">
        <is>
          <t>VÄSTERBOTTENS LÄN</t>
        </is>
      </c>
      <c r="E1869" t="inlineStr">
        <is>
          <t>SKELLEFTEÅ</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3575-2021</t>
        </is>
      </c>
      <c r="B1870" s="1" t="n">
        <v>44218</v>
      </c>
      <c r="C1870" s="1" t="n">
        <v>45971</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49173-2021</t>
        </is>
      </c>
      <c r="B1871" s="1" t="n">
        <v>44453</v>
      </c>
      <c r="C1871" s="1" t="n">
        <v>45971</v>
      </c>
      <c r="D1871" t="inlineStr">
        <is>
          <t>VÄSTERBOTTENS LÄN</t>
        </is>
      </c>
      <c r="E1871" t="inlineStr">
        <is>
          <t>NORSJÖ</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21117-2022</t>
        </is>
      </c>
      <c r="B1872" s="1" t="n">
        <v>44704.59678240741</v>
      </c>
      <c r="C1872" s="1" t="n">
        <v>45971</v>
      </c>
      <c r="D1872" t="inlineStr">
        <is>
          <t>VÄSTERBOTTENS LÄN</t>
        </is>
      </c>
      <c r="E1872" t="inlineStr">
        <is>
          <t>ÅSELE</t>
        </is>
      </c>
      <c r="F1872" t="inlineStr">
        <is>
          <t>Holmen skog AB</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64473-2020</t>
        </is>
      </c>
      <c r="B1873" s="1" t="n">
        <v>44168.84806712963</v>
      </c>
      <c r="C1873" s="1" t="n">
        <v>45971</v>
      </c>
      <c r="D1873" t="inlineStr">
        <is>
          <t>VÄSTERBOTTENS LÄN</t>
        </is>
      </c>
      <c r="E1873" t="inlineStr">
        <is>
          <t>DOROTEA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21131-2022</t>
        </is>
      </c>
      <c r="B1874" s="1" t="n">
        <v>44704.6177662037</v>
      </c>
      <c r="C1874" s="1" t="n">
        <v>45971</v>
      </c>
      <c r="D1874" t="inlineStr">
        <is>
          <t>VÄSTERBOTTENS LÄN</t>
        </is>
      </c>
      <c r="E1874" t="inlineStr">
        <is>
          <t>ÅSELE</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46818-2021</t>
        </is>
      </c>
      <c r="B1875" s="1" t="n">
        <v>44446</v>
      </c>
      <c r="C1875" s="1" t="n">
        <v>45971</v>
      </c>
      <c r="D1875" t="inlineStr">
        <is>
          <t>VÄSTERBOTTENS LÄN</t>
        </is>
      </c>
      <c r="E1875" t="inlineStr">
        <is>
          <t>MALÅ</t>
        </is>
      </c>
      <c r="F1875" t="inlineStr">
        <is>
          <t>Sveaskog</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20327-2022</t>
        </is>
      </c>
      <c r="B1876" s="1" t="n">
        <v>44698</v>
      </c>
      <c r="C1876" s="1" t="n">
        <v>45971</v>
      </c>
      <c r="D1876" t="inlineStr">
        <is>
          <t>VÄSTERBOTTENS LÄN</t>
        </is>
      </c>
      <c r="E1876" t="inlineStr">
        <is>
          <t>VINDELN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41959-2021</t>
        </is>
      </c>
      <c r="B1877" s="1" t="n">
        <v>44426</v>
      </c>
      <c r="C1877" s="1" t="n">
        <v>45971</v>
      </c>
      <c r="D1877" t="inlineStr">
        <is>
          <t>VÄSTERBOTTENS LÄN</t>
        </is>
      </c>
      <c r="E1877" t="inlineStr">
        <is>
          <t>VINDELN</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44386-2022</t>
        </is>
      </c>
      <c r="B1878" s="1" t="n">
        <v>44838</v>
      </c>
      <c r="C1878" s="1" t="n">
        <v>45971</v>
      </c>
      <c r="D1878" t="inlineStr">
        <is>
          <t>VÄSTERBOTTENS LÄN</t>
        </is>
      </c>
      <c r="E1878" t="inlineStr">
        <is>
          <t>DOROTEA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9501-2022</t>
        </is>
      </c>
      <c r="B1879" s="1" t="n">
        <v>44616.93883101852</v>
      </c>
      <c r="C1879" s="1" t="n">
        <v>45971</v>
      </c>
      <c r="D1879" t="inlineStr">
        <is>
          <t>VÄSTERBOTTENS LÄN</t>
        </is>
      </c>
      <c r="E1879" t="inlineStr">
        <is>
          <t>VILHELMINA</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43579-2021</t>
        </is>
      </c>
      <c r="B1880" s="1" t="n">
        <v>44433</v>
      </c>
      <c r="C1880" s="1" t="n">
        <v>45971</v>
      </c>
      <c r="D1880" t="inlineStr">
        <is>
          <t>VÄSTERBOTTENS LÄN</t>
        </is>
      </c>
      <c r="E1880" t="inlineStr">
        <is>
          <t>LYCKSELE</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55741-2021</t>
        </is>
      </c>
      <c r="B1881" s="1" t="n">
        <v>44476.49274305555</v>
      </c>
      <c r="C1881" s="1" t="n">
        <v>45971</v>
      </c>
      <c r="D1881" t="inlineStr">
        <is>
          <t>VÄSTERBOTTENS LÄN</t>
        </is>
      </c>
      <c r="E1881" t="inlineStr">
        <is>
          <t>NORSJÖ</t>
        </is>
      </c>
      <c r="F1881" t="inlineStr">
        <is>
          <t>Sveaskog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55814-2021</t>
        </is>
      </c>
      <c r="B1882" s="1" t="n">
        <v>44476.59821759259</v>
      </c>
      <c r="C1882" s="1" t="n">
        <v>45971</v>
      </c>
      <c r="D1882" t="inlineStr">
        <is>
          <t>VÄSTERBOTTENS LÄN</t>
        </is>
      </c>
      <c r="E1882" t="inlineStr">
        <is>
          <t>SKELLEFTEÅ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48145-2022</t>
        </is>
      </c>
      <c r="B1883" s="1" t="n">
        <v>44858</v>
      </c>
      <c r="C1883" s="1" t="n">
        <v>45971</v>
      </c>
      <c r="D1883" t="inlineStr">
        <is>
          <t>VÄSTERBOTTENS LÄN</t>
        </is>
      </c>
      <c r="E1883" t="inlineStr">
        <is>
          <t>MALÅ</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1076-2021</t>
        </is>
      </c>
      <c r="B1884" s="1" t="n">
        <v>44207</v>
      </c>
      <c r="C1884" s="1" t="n">
        <v>45971</v>
      </c>
      <c r="D1884" t="inlineStr">
        <is>
          <t>VÄSTERBOTTENS LÄN</t>
        </is>
      </c>
      <c r="E1884" t="inlineStr">
        <is>
          <t>SKELLEFTEÅ</t>
        </is>
      </c>
      <c r="F1884" t="inlineStr">
        <is>
          <t>Holmen skog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58631-2021</t>
        </is>
      </c>
      <c r="B1885" s="1" t="n">
        <v>44488</v>
      </c>
      <c r="C1885" s="1" t="n">
        <v>45971</v>
      </c>
      <c r="D1885" t="inlineStr">
        <is>
          <t>VÄSTERBOTTENS LÄN</t>
        </is>
      </c>
      <c r="E1885" t="inlineStr">
        <is>
          <t>ROBERTSFORS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9770-2022</t>
        </is>
      </c>
      <c r="B1886" s="1" t="n">
        <v>44619.72355324074</v>
      </c>
      <c r="C1886" s="1" t="n">
        <v>45971</v>
      </c>
      <c r="D1886" t="inlineStr">
        <is>
          <t>VÄSTERBOTTENS LÄN</t>
        </is>
      </c>
      <c r="E1886" t="inlineStr">
        <is>
          <t>UMEÅ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9780-2022</t>
        </is>
      </c>
      <c r="B1887" s="1" t="n">
        <v>44619.88071759259</v>
      </c>
      <c r="C1887" s="1" t="n">
        <v>45971</v>
      </c>
      <c r="D1887" t="inlineStr">
        <is>
          <t>VÄSTERBOTTENS LÄN</t>
        </is>
      </c>
      <c r="E1887" t="inlineStr">
        <is>
          <t>VILHELMINA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53974-2021</t>
        </is>
      </c>
      <c r="B1888" s="1" t="n">
        <v>44469</v>
      </c>
      <c r="C1888" s="1" t="n">
        <v>45971</v>
      </c>
      <c r="D1888" t="inlineStr">
        <is>
          <t>VÄSTERBOTTENS LÄN</t>
        </is>
      </c>
      <c r="E1888" t="inlineStr">
        <is>
          <t>LYCKSELE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617-2021</t>
        </is>
      </c>
      <c r="B1889" s="1" t="n">
        <v>44203</v>
      </c>
      <c r="C1889" s="1" t="n">
        <v>45971</v>
      </c>
      <c r="D1889" t="inlineStr">
        <is>
          <t>VÄSTERBOTTENS LÄN</t>
        </is>
      </c>
      <c r="E1889" t="inlineStr">
        <is>
          <t>SORSELE</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53658-2022</t>
        </is>
      </c>
      <c r="B1890" s="1" t="n">
        <v>44879</v>
      </c>
      <c r="C1890" s="1" t="n">
        <v>45971</v>
      </c>
      <c r="D1890" t="inlineStr">
        <is>
          <t>VÄSTERBOTTENS LÄN</t>
        </is>
      </c>
      <c r="E1890" t="inlineStr">
        <is>
          <t>VILHELMINA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17255-2022</t>
        </is>
      </c>
      <c r="B1891" s="1" t="n">
        <v>44678</v>
      </c>
      <c r="C1891" s="1" t="n">
        <v>45971</v>
      </c>
      <c r="D1891" t="inlineStr">
        <is>
          <t>VÄSTERBOTTENS LÄN</t>
        </is>
      </c>
      <c r="E1891" t="inlineStr">
        <is>
          <t>ÅSELE</t>
        </is>
      </c>
      <c r="F1891" t="inlineStr">
        <is>
          <t>Allmännings- och besparingsskogar</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28822-2021</t>
        </is>
      </c>
      <c r="B1892" s="1" t="n">
        <v>44357.62862268519</v>
      </c>
      <c r="C1892" s="1" t="n">
        <v>45971</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44384-2022</t>
        </is>
      </c>
      <c r="B1893" s="1" t="n">
        <v>44839</v>
      </c>
      <c r="C1893" s="1" t="n">
        <v>45971</v>
      </c>
      <c r="D1893" t="inlineStr">
        <is>
          <t>VÄSTERBOTTENS LÄN</t>
        </is>
      </c>
      <c r="E1893" t="inlineStr">
        <is>
          <t>VINDELN</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55922-2021</t>
        </is>
      </c>
      <c r="B1894" s="1" t="n">
        <v>44476</v>
      </c>
      <c r="C1894" s="1" t="n">
        <v>45971</v>
      </c>
      <c r="D1894" t="inlineStr">
        <is>
          <t>VÄSTERBOTTENS LÄN</t>
        </is>
      </c>
      <c r="E1894" t="inlineStr">
        <is>
          <t>ÅSELE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4077-2022</t>
        </is>
      </c>
      <c r="B1895" s="1" t="n">
        <v>44587</v>
      </c>
      <c r="C1895" s="1" t="n">
        <v>45971</v>
      </c>
      <c r="D1895" t="inlineStr">
        <is>
          <t>VÄSTERBOTTENS LÄN</t>
        </is>
      </c>
      <c r="E1895" t="inlineStr">
        <is>
          <t>MALÅ</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7025-2021</t>
        </is>
      </c>
      <c r="B1896" s="1" t="n">
        <v>44237</v>
      </c>
      <c r="C1896" s="1" t="n">
        <v>45971</v>
      </c>
      <c r="D1896" t="inlineStr">
        <is>
          <t>VÄSTERBOTTENS LÄN</t>
        </is>
      </c>
      <c r="E1896" t="inlineStr">
        <is>
          <t>NORSJÖ</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46090-2022</t>
        </is>
      </c>
      <c r="B1897" s="1" t="n">
        <v>44844</v>
      </c>
      <c r="C1897" s="1" t="n">
        <v>45971</v>
      </c>
      <c r="D1897" t="inlineStr">
        <is>
          <t>VÄSTERBOTTENS LÄN</t>
        </is>
      </c>
      <c r="E1897" t="inlineStr">
        <is>
          <t>NORSJÖ</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69226-2021</t>
        </is>
      </c>
      <c r="B1898" s="1" t="n">
        <v>44531</v>
      </c>
      <c r="C1898" s="1" t="n">
        <v>45971</v>
      </c>
      <c r="D1898" t="inlineStr">
        <is>
          <t>VÄSTERBOTTENS LÄN</t>
        </is>
      </c>
      <c r="E1898" t="inlineStr">
        <is>
          <t>LYCKSELE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10906-2022</t>
        </is>
      </c>
      <c r="B1899" s="1" t="n">
        <v>44627.92642361111</v>
      </c>
      <c r="C1899" s="1" t="n">
        <v>45971</v>
      </c>
      <c r="D1899" t="inlineStr">
        <is>
          <t>VÄSTERBOTTENS LÄN</t>
        </is>
      </c>
      <c r="E1899" t="inlineStr">
        <is>
          <t>ROBERTSFORS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10907-2022</t>
        </is>
      </c>
      <c r="B1900" s="1" t="n">
        <v>44627.9264699074</v>
      </c>
      <c r="C1900" s="1" t="n">
        <v>45971</v>
      </c>
      <c r="D1900" t="inlineStr">
        <is>
          <t>VÄSTERBOTTENS LÄN</t>
        </is>
      </c>
      <c r="E1900" t="inlineStr">
        <is>
          <t>ROBERTSFORS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8726-2021</t>
        </is>
      </c>
      <c r="B1901" s="1" t="n">
        <v>44242</v>
      </c>
      <c r="C1901" s="1" t="n">
        <v>45971</v>
      </c>
      <c r="D1901" t="inlineStr">
        <is>
          <t>VÄSTERBOTTENS LÄN</t>
        </is>
      </c>
      <c r="E1901" t="inlineStr">
        <is>
          <t>MALÅ</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41645-2022</t>
        </is>
      </c>
      <c r="B1902" s="1" t="n">
        <v>44827.50721064815</v>
      </c>
      <c r="C1902" s="1" t="n">
        <v>45971</v>
      </c>
      <c r="D1902" t="inlineStr">
        <is>
          <t>VÄSTERBOTTENS LÄN</t>
        </is>
      </c>
      <c r="E1902" t="inlineStr">
        <is>
          <t>ROBERTSFORS</t>
        </is>
      </c>
      <c r="F1902" t="inlineStr">
        <is>
          <t>Holmen skog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429-2022</t>
        </is>
      </c>
      <c r="B1903" s="1" t="n">
        <v>44565</v>
      </c>
      <c r="C1903" s="1" t="n">
        <v>45971</v>
      </c>
      <c r="D1903" t="inlineStr">
        <is>
          <t>VÄSTERBOTTENS LÄN</t>
        </is>
      </c>
      <c r="E1903" t="inlineStr">
        <is>
          <t>VÄNNÄS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3042-2021</t>
        </is>
      </c>
      <c r="B1904" s="1" t="n">
        <v>44215</v>
      </c>
      <c r="C1904" s="1" t="n">
        <v>45971</v>
      </c>
      <c r="D1904" t="inlineStr">
        <is>
          <t>VÄSTERBOTTENS LÄN</t>
        </is>
      </c>
      <c r="E1904" t="inlineStr">
        <is>
          <t>VINDELN</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42026-2021</t>
        </is>
      </c>
      <c r="B1905" s="1" t="n">
        <v>44426.5275925926</v>
      </c>
      <c r="C1905" s="1" t="n">
        <v>45971</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63171-2021</t>
        </is>
      </c>
      <c r="B1906" s="1" t="n">
        <v>44506</v>
      </c>
      <c r="C1906" s="1" t="n">
        <v>45971</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43741-2022</t>
        </is>
      </c>
      <c r="B1907" s="1" t="n">
        <v>44837</v>
      </c>
      <c r="C1907" s="1" t="n">
        <v>45971</v>
      </c>
      <c r="D1907" t="inlineStr">
        <is>
          <t>VÄSTERBOTTENS LÄN</t>
        </is>
      </c>
      <c r="E1907" t="inlineStr">
        <is>
          <t>VILHELMINA</t>
        </is>
      </c>
      <c r="G1907" t="n">
        <v>54.2</v>
      </c>
      <c r="H1907" t="n">
        <v>0</v>
      </c>
      <c r="I1907" t="n">
        <v>0</v>
      </c>
      <c r="J1907" t="n">
        <v>0</v>
      </c>
      <c r="K1907" t="n">
        <v>0</v>
      </c>
      <c r="L1907" t="n">
        <v>0</v>
      </c>
      <c r="M1907" t="n">
        <v>0</v>
      </c>
      <c r="N1907" t="n">
        <v>0</v>
      </c>
      <c r="O1907" t="n">
        <v>0</v>
      </c>
      <c r="P1907" t="n">
        <v>0</v>
      </c>
      <c r="Q1907" t="n">
        <v>0</v>
      </c>
      <c r="R1907" s="2" t="inlineStr"/>
    </row>
    <row r="1908" ht="15" customHeight="1">
      <c r="A1908" t="inlineStr">
        <is>
          <t>A 21581-2021</t>
        </is>
      </c>
      <c r="B1908" s="1" t="n">
        <v>44321</v>
      </c>
      <c r="C1908" s="1" t="n">
        <v>45971</v>
      </c>
      <c r="D1908" t="inlineStr">
        <is>
          <t>VÄSTERBOTTENS LÄN</t>
        </is>
      </c>
      <c r="E1908" t="inlineStr">
        <is>
          <t>UMEÅ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18172-2022</t>
        </is>
      </c>
      <c r="B1909" s="1" t="n">
        <v>44684.64351851852</v>
      </c>
      <c r="C1909" s="1" t="n">
        <v>45971</v>
      </c>
      <c r="D1909" t="inlineStr">
        <is>
          <t>VÄSTERBOTTENS LÄN</t>
        </is>
      </c>
      <c r="E1909" t="inlineStr">
        <is>
          <t>VINDELN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42099-2022</t>
        </is>
      </c>
      <c r="B1910" s="1" t="n">
        <v>44827</v>
      </c>
      <c r="C1910" s="1" t="n">
        <v>45971</v>
      </c>
      <c r="D1910" t="inlineStr">
        <is>
          <t>VÄSTERBOTTENS LÄN</t>
        </is>
      </c>
      <c r="E1910" t="inlineStr">
        <is>
          <t>SKELLEFTEÅ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63827-2021</t>
        </is>
      </c>
      <c r="B1911" s="1" t="n">
        <v>44509</v>
      </c>
      <c r="C1911" s="1" t="n">
        <v>45971</v>
      </c>
      <c r="D1911" t="inlineStr">
        <is>
          <t>VÄSTERBOTTENS LÄN</t>
        </is>
      </c>
      <c r="E1911" t="inlineStr">
        <is>
          <t>LYCKSELE</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15112-2021</t>
        </is>
      </c>
      <c r="B1912" s="1" t="n">
        <v>44282</v>
      </c>
      <c r="C1912" s="1" t="n">
        <v>45971</v>
      </c>
      <c r="D1912" t="inlineStr">
        <is>
          <t>VÄSTERBOTTENS LÄN</t>
        </is>
      </c>
      <c r="E1912" t="inlineStr">
        <is>
          <t>LYCKSELE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15113-2021</t>
        </is>
      </c>
      <c r="B1913" s="1" t="n">
        <v>44282.3640625</v>
      </c>
      <c r="C1913" s="1" t="n">
        <v>45971</v>
      </c>
      <c r="D1913" t="inlineStr">
        <is>
          <t>VÄSTERBOTTENS LÄN</t>
        </is>
      </c>
      <c r="E1913" t="inlineStr">
        <is>
          <t>LYCKSELE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3362-2022</t>
        </is>
      </c>
      <c r="B1914" s="1" t="n">
        <v>44585</v>
      </c>
      <c r="C1914" s="1" t="n">
        <v>45971</v>
      </c>
      <c r="D1914" t="inlineStr">
        <is>
          <t>VÄSTERBOTTENS LÄN</t>
        </is>
      </c>
      <c r="E1914" t="inlineStr">
        <is>
          <t>SKELLEFTEÅ</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46439-2022</t>
        </is>
      </c>
      <c r="B1915" s="1" t="n">
        <v>44848</v>
      </c>
      <c r="C1915" s="1" t="n">
        <v>45971</v>
      </c>
      <c r="D1915" t="inlineStr">
        <is>
          <t>VÄSTERBOTTENS LÄN</t>
        </is>
      </c>
      <c r="E1915" t="inlineStr">
        <is>
          <t>UMEÅ</t>
        </is>
      </c>
      <c r="F1915" t="inlineStr">
        <is>
          <t>Holmen skog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70699-2021</t>
        </is>
      </c>
      <c r="B1916" s="1" t="n">
        <v>44536</v>
      </c>
      <c r="C1916" s="1" t="n">
        <v>45971</v>
      </c>
      <c r="D1916" t="inlineStr">
        <is>
          <t>VÄSTERBOTTENS LÄN</t>
        </is>
      </c>
      <c r="E1916" t="inlineStr">
        <is>
          <t>VINDELN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19679-2021</t>
        </is>
      </c>
      <c r="B1917" s="1" t="n">
        <v>44312</v>
      </c>
      <c r="C1917" s="1" t="n">
        <v>45971</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35485-2022</t>
        </is>
      </c>
      <c r="B1918" s="1" t="n">
        <v>44798.92728009259</v>
      </c>
      <c r="C1918" s="1" t="n">
        <v>45971</v>
      </c>
      <c r="D1918" t="inlineStr">
        <is>
          <t>VÄSTERBOTTENS LÄN</t>
        </is>
      </c>
      <c r="E1918" t="inlineStr">
        <is>
          <t>LYCKSELE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70703-2021</t>
        </is>
      </c>
      <c r="B1919" s="1" t="n">
        <v>44536</v>
      </c>
      <c r="C1919" s="1" t="n">
        <v>45971</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55156-2022</t>
        </is>
      </c>
      <c r="B1920" s="1" t="n">
        <v>44886.6896412037</v>
      </c>
      <c r="C1920" s="1" t="n">
        <v>45971</v>
      </c>
      <c r="D1920" t="inlineStr">
        <is>
          <t>VÄSTERBOTTENS LÄN</t>
        </is>
      </c>
      <c r="E1920" t="inlineStr">
        <is>
          <t>STORUMAN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7376-2022</t>
        </is>
      </c>
      <c r="B1921" s="1" t="n">
        <v>44606</v>
      </c>
      <c r="C1921" s="1" t="n">
        <v>45971</v>
      </c>
      <c r="D1921" t="inlineStr">
        <is>
          <t>VÄSTERBOTTENS LÄN</t>
        </is>
      </c>
      <c r="E1921" t="inlineStr">
        <is>
          <t>UMEÅ</t>
        </is>
      </c>
      <c r="G1921" t="n">
        <v>16.1</v>
      </c>
      <c r="H1921" t="n">
        <v>0</v>
      </c>
      <c r="I1921" t="n">
        <v>0</v>
      </c>
      <c r="J1921" t="n">
        <v>0</v>
      </c>
      <c r="K1921" t="n">
        <v>0</v>
      </c>
      <c r="L1921" t="n">
        <v>0</v>
      </c>
      <c r="M1921" t="n">
        <v>0</v>
      </c>
      <c r="N1921" t="n">
        <v>0</v>
      </c>
      <c r="O1921" t="n">
        <v>0</v>
      </c>
      <c r="P1921" t="n">
        <v>0</v>
      </c>
      <c r="Q1921" t="n">
        <v>0</v>
      </c>
      <c r="R1921" s="2" t="inlineStr"/>
    </row>
    <row r="1922" ht="15" customHeight="1">
      <c r="A1922" t="inlineStr">
        <is>
          <t>A 33584-2022</t>
        </is>
      </c>
      <c r="B1922" s="1" t="n">
        <v>44789</v>
      </c>
      <c r="C1922" s="1" t="n">
        <v>45971</v>
      </c>
      <c r="D1922" t="inlineStr">
        <is>
          <t>VÄSTERBOTTENS LÄN</t>
        </is>
      </c>
      <c r="E1922" t="inlineStr">
        <is>
          <t>ROBERTSFORS</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6658-2022</t>
        </is>
      </c>
      <c r="B1923" s="1" t="n">
        <v>44602</v>
      </c>
      <c r="C1923" s="1" t="n">
        <v>45971</v>
      </c>
      <c r="D1923" t="inlineStr">
        <is>
          <t>VÄSTERBOTTENS LÄN</t>
        </is>
      </c>
      <c r="E1923" t="inlineStr">
        <is>
          <t>BJURHOLM</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35686-2022</t>
        </is>
      </c>
      <c r="B1924" s="1" t="n">
        <v>44799</v>
      </c>
      <c r="C1924" s="1" t="n">
        <v>45971</v>
      </c>
      <c r="D1924" t="inlineStr">
        <is>
          <t>VÄSTERBOTTENS LÄN</t>
        </is>
      </c>
      <c r="E1924" t="inlineStr">
        <is>
          <t>VILHELMINA</t>
        </is>
      </c>
      <c r="F1924" t="inlineStr">
        <is>
          <t>Övriga statliga verk och myndigheter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44822-2022</t>
        </is>
      </c>
      <c r="B1925" s="1" t="n">
        <v>44841.41417824074</v>
      </c>
      <c r="C1925" s="1" t="n">
        <v>45971</v>
      </c>
      <c r="D1925" t="inlineStr">
        <is>
          <t>VÄSTERBOTTENS LÄN</t>
        </is>
      </c>
      <c r="E1925" t="inlineStr">
        <is>
          <t>ROBERTSFORS</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40013-2022</t>
        </is>
      </c>
      <c r="B1926" s="1" t="n">
        <v>44820.3971875</v>
      </c>
      <c r="C1926" s="1" t="n">
        <v>45971</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27920-2022</t>
        </is>
      </c>
      <c r="B1927" s="1" t="n">
        <v>44743</v>
      </c>
      <c r="C1927" s="1" t="n">
        <v>45971</v>
      </c>
      <c r="D1927" t="inlineStr">
        <is>
          <t>VÄSTERBOTTENS LÄN</t>
        </is>
      </c>
      <c r="E1927" t="inlineStr">
        <is>
          <t>VILHELMINA</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6666-2022</t>
        </is>
      </c>
      <c r="B1928" s="1" t="n">
        <v>44602.37965277778</v>
      </c>
      <c r="C1928" s="1" t="n">
        <v>45971</v>
      </c>
      <c r="D1928" t="inlineStr">
        <is>
          <t>VÄSTERBOTTENS LÄN</t>
        </is>
      </c>
      <c r="E1928" t="inlineStr">
        <is>
          <t>SKELLEFTEÅ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36385-2022</t>
        </is>
      </c>
      <c r="B1929" s="1" t="n">
        <v>44803</v>
      </c>
      <c r="C1929" s="1" t="n">
        <v>45971</v>
      </c>
      <c r="D1929" t="inlineStr">
        <is>
          <t>VÄSTERBOTTENS LÄN</t>
        </is>
      </c>
      <c r="E1929" t="inlineStr">
        <is>
          <t>VINDELN</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51493-2022</t>
        </is>
      </c>
      <c r="B1930" s="1" t="n">
        <v>44869</v>
      </c>
      <c r="C1930" s="1" t="n">
        <v>45971</v>
      </c>
      <c r="D1930" t="inlineStr">
        <is>
          <t>VÄSTERBOTTENS LÄN</t>
        </is>
      </c>
      <c r="E1930" t="inlineStr">
        <is>
          <t>NORSJÖ</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46205-2021</t>
        </is>
      </c>
      <c r="B1931" s="1" t="n">
        <v>44441</v>
      </c>
      <c r="C1931" s="1" t="n">
        <v>45971</v>
      </c>
      <c r="D1931" t="inlineStr">
        <is>
          <t>VÄSTERBOTTENS LÄN</t>
        </is>
      </c>
      <c r="E1931" t="inlineStr">
        <is>
          <t>NORDMALING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57867-2021</t>
        </is>
      </c>
      <c r="B1932" s="1" t="n">
        <v>44484.98746527778</v>
      </c>
      <c r="C1932" s="1" t="n">
        <v>45971</v>
      </c>
      <c r="D1932" t="inlineStr">
        <is>
          <t>VÄSTERBOTTENS LÄN</t>
        </is>
      </c>
      <c r="E1932" t="inlineStr">
        <is>
          <t>BJURHOLM</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2857-2022</t>
        </is>
      </c>
      <c r="B1933" s="1" t="n">
        <v>44581.48346064815</v>
      </c>
      <c r="C1933" s="1" t="n">
        <v>45971</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58847-2021</t>
        </is>
      </c>
      <c r="B1934" s="1" t="n">
        <v>44489.62116898148</v>
      </c>
      <c r="C1934" s="1" t="n">
        <v>45971</v>
      </c>
      <c r="D1934" t="inlineStr">
        <is>
          <t>VÄSTERBOTTENS LÄN</t>
        </is>
      </c>
      <c r="E1934" t="inlineStr">
        <is>
          <t>SKELLEFTEÅ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48573-2022</t>
        </is>
      </c>
      <c r="B1935" s="1" t="n">
        <v>44854</v>
      </c>
      <c r="C1935" s="1" t="n">
        <v>45971</v>
      </c>
      <c r="D1935" t="inlineStr">
        <is>
          <t>VÄSTERBOTTENS LÄN</t>
        </is>
      </c>
      <c r="E1935" t="inlineStr">
        <is>
          <t>VINDELN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2575-2021</t>
        </is>
      </c>
      <c r="B1936" s="1" t="n">
        <v>44214</v>
      </c>
      <c r="C1936" s="1" t="n">
        <v>45971</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13955-2021</t>
        </is>
      </c>
      <c r="B1937" s="1" t="n">
        <v>44277</v>
      </c>
      <c r="C1937" s="1" t="n">
        <v>45971</v>
      </c>
      <c r="D1937" t="inlineStr">
        <is>
          <t>VÄSTERBOTTENS LÄN</t>
        </is>
      </c>
      <c r="E1937" t="inlineStr">
        <is>
          <t>LYCKSELE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16845-2022</t>
        </is>
      </c>
      <c r="B1938" s="1" t="n">
        <v>44673</v>
      </c>
      <c r="C1938" s="1" t="n">
        <v>45971</v>
      </c>
      <c r="D1938" t="inlineStr">
        <is>
          <t>VÄSTERBOTTENS LÄN</t>
        </is>
      </c>
      <c r="E1938" t="inlineStr">
        <is>
          <t>LYCKSELE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39558-2022</t>
        </is>
      </c>
      <c r="B1939" s="1" t="n">
        <v>44818.56847222222</v>
      </c>
      <c r="C1939" s="1" t="n">
        <v>45971</v>
      </c>
      <c r="D1939" t="inlineStr">
        <is>
          <t>VÄSTERBOTTENS LÄN</t>
        </is>
      </c>
      <c r="E1939" t="inlineStr">
        <is>
          <t>NORSJÖ</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48949-2022</t>
        </is>
      </c>
      <c r="B1940" s="1" t="n">
        <v>44859.95784722222</v>
      </c>
      <c r="C1940" s="1" t="n">
        <v>45971</v>
      </c>
      <c r="D1940" t="inlineStr">
        <is>
          <t>VÄSTERBOTTENS LÄN</t>
        </is>
      </c>
      <c r="E1940" t="inlineStr">
        <is>
          <t>NORDMALING</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7694-2022</t>
        </is>
      </c>
      <c r="B1941" s="1" t="n">
        <v>44607.94155092593</v>
      </c>
      <c r="C1941" s="1" t="n">
        <v>45971</v>
      </c>
      <c r="D1941" t="inlineStr">
        <is>
          <t>VÄSTERBOTTENS LÄN</t>
        </is>
      </c>
      <c r="E1941" t="inlineStr">
        <is>
          <t>ÅSELE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29276-2021</t>
        </is>
      </c>
      <c r="B1942" s="1" t="n">
        <v>44361</v>
      </c>
      <c r="C1942" s="1" t="n">
        <v>45971</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27172-2021</t>
        </is>
      </c>
      <c r="B1943" s="1" t="n">
        <v>44350</v>
      </c>
      <c r="C1943" s="1" t="n">
        <v>45971</v>
      </c>
      <c r="D1943" t="inlineStr">
        <is>
          <t>VÄSTERBOTTENS LÄN</t>
        </is>
      </c>
      <c r="E1943" t="inlineStr">
        <is>
          <t>UMEÅ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71445-2021</t>
        </is>
      </c>
      <c r="B1944" s="1" t="n">
        <v>44540.45789351852</v>
      </c>
      <c r="C1944" s="1" t="n">
        <v>45971</v>
      </c>
      <c r="D1944" t="inlineStr">
        <is>
          <t>VÄSTERBOTTENS LÄN</t>
        </is>
      </c>
      <c r="E1944" t="inlineStr">
        <is>
          <t>SKELLEFTEÅ</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45971</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22534-2021</t>
        </is>
      </c>
      <c r="B1946" s="1" t="n">
        <v>44326</v>
      </c>
      <c r="C1946" s="1" t="n">
        <v>45971</v>
      </c>
      <c r="D1946" t="inlineStr">
        <is>
          <t>VÄSTERBOTTENS LÄN</t>
        </is>
      </c>
      <c r="E1946" t="inlineStr">
        <is>
          <t>SORSELE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71581-2021</t>
        </is>
      </c>
      <c r="B1947" s="1" t="n">
        <v>44540</v>
      </c>
      <c r="C1947" s="1" t="n">
        <v>45971</v>
      </c>
      <c r="D1947" t="inlineStr">
        <is>
          <t>VÄSTERBOTTENS LÄN</t>
        </is>
      </c>
      <c r="E1947" t="inlineStr">
        <is>
          <t>VINDELN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57086-2021</t>
        </is>
      </c>
      <c r="B1948" s="1" t="n">
        <v>44482</v>
      </c>
      <c r="C1948" s="1" t="n">
        <v>45971</v>
      </c>
      <c r="D1948" t="inlineStr">
        <is>
          <t>VÄSTERBOTTENS LÄN</t>
        </is>
      </c>
      <c r="E1948" t="inlineStr">
        <is>
          <t>VILHELMINA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29773-2022</t>
        </is>
      </c>
      <c r="B1949" s="1" t="n">
        <v>44755.62866898148</v>
      </c>
      <c r="C1949" s="1" t="n">
        <v>45971</v>
      </c>
      <c r="D1949" t="inlineStr">
        <is>
          <t>VÄSTERBOTTENS LÄN</t>
        </is>
      </c>
      <c r="E1949" t="inlineStr">
        <is>
          <t>VILHELMINA</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71434-2021</t>
        </is>
      </c>
      <c r="B1950" s="1" t="n">
        <v>44540.44325231481</v>
      </c>
      <c r="C1950" s="1" t="n">
        <v>45971</v>
      </c>
      <c r="D1950" t="inlineStr">
        <is>
          <t>VÄSTERBOTTENS LÄN</t>
        </is>
      </c>
      <c r="E1950" t="inlineStr">
        <is>
          <t>SKELLEFTEÅ</t>
        </is>
      </c>
      <c r="F1950" t="inlineStr">
        <is>
          <t>Sveaskog</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45971</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29776-2022</t>
        </is>
      </c>
      <c r="B1952" s="1" t="n">
        <v>44755</v>
      </c>
      <c r="C1952" s="1" t="n">
        <v>45971</v>
      </c>
      <c r="D1952" t="inlineStr">
        <is>
          <t>VÄSTERBOTTENS LÄN</t>
        </is>
      </c>
      <c r="E1952" t="inlineStr">
        <is>
          <t>ÅSELE</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53736-2021</t>
        </is>
      </c>
      <c r="B1953" s="1" t="n">
        <v>44469.5366087963</v>
      </c>
      <c r="C1953" s="1" t="n">
        <v>45971</v>
      </c>
      <c r="D1953" t="inlineStr">
        <is>
          <t>VÄSTERBOTTENS LÄN</t>
        </is>
      </c>
      <c r="E1953" t="inlineStr">
        <is>
          <t>NORDMALING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45971</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45971</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36539-2022</t>
        </is>
      </c>
      <c r="B1956" s="1" t="n">
        <v>44804</v>
      </c>
      <c r="C1956" s="1" t="n">
        <v>45971</v>
      </c>
      <c r="D1956" t="inlineStr">
        <is>
          <t>VÄSTERBOTTENS LÄN</t>
        </is>
      </c>
      <c r="E1956" t="inlineStr">
        <is>
          <t>SKELLEFTEÅ</t>
        </is>
      </c>
      <c r="F1956" t="inlineStr">
        <is>
          <t>Kommuner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67514-2021</t>
        </is>
      </c>
      <c r="B1957" s="1" t="n">
        <v>44524.5028587963</v>
      </c>
      <c r="C1957" s="1" t="n">
        <v>45971</v>
      </c>
      <c r="D1957" t="inlineStr">
        <is>
          <t>VÄSTERBOTTENS LÄN</t>
        </is>
      </c>
      <c r="E1957" t="inlineStr">
        <is>
          <t>VÄNNÄS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45971</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27503-2021</t>
        </is>
      </c>
      <c r="B1959" s="1" t="n">
        <v>44351</v>
      </c>
      <c r="C1959" s="1" t="n">
        <v>45971</v>
      </c>
      <c r="D1959" t="inlineStr">
        <is>
          <t>VÄSTERBOTTENS LÄN</t>
        </is>
      </c>
      <c r="E1959" t="inlineStr">
        <is>
          <t>DOROTEA</t>
        </is>
      </c>
      <c r="F1959" t="inlineStr">
        <is>
          <t>Kommuner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25216-2022</t>
        </is>
      </c>
      <c r="B1960" s="1" t="n">
        <v>44729.68305555556</v>
      </c>
      <c r="C1960" s="1" t="n">
        <v>45971</v>
      </c>
      <c r="D1960" t="inlineStr">
        <is>
          <t>VÄSTERBOTTENS LÄN</t>
        </is>
      </c>
      <c r="E1960" t="inlineStr">
        <is>
          <t>ROBERTSFORS</t>
        </is>
      </c>
      <c r="G1960" t="n">
        <v>9.1</v>
      </c>
      <c r="H1960" t="n">
        <v>0</v>
      </c>
      <c r="I1960" t="n">
        <v>0</v>
      </c>
      <c r="J1960" t="n">
        <v>0</v>
      </c>
      <c r="K1960" t="n">
        <v>0</v>
      </c>
      <c r="L1960" t="n">
        <v>0</v>
      </c>
      <c r="M1960" t="n">
        <v>0</v>
      </c>
      <c r="N1960" t="n">
        <v>0</v>
      </c>
      <c r="O1960" t="n">
        <v>0</v>
      </c>
      <c r="P1960" t="n">
        <v>0</v>
      </c>
      <c r="Q1960" t="n">
        <v>0</v>
      </c>
      <c r="R1960" s="2" t="inlineStr"/>
    </row>
    <row r="1961" ht="15" customHeight="1">
      <c r="A1961" t="inlineStr">
        <is>
          <t>A 59257-2021</t>
        </is>
      </c>
      <c r="B1961" s="1" t="n">
        <v>44490.66326388889</v>
      </c>
      <c r="C1961" s="1" t="n">
        <v>45971</v>
      </c>
      <c r="D1961" t="inlineStr">
        <is>
          <t>VÄSTERBOTTENS LÄN</t>
        </is>
      </c>
      <c r="E1961" t="inlineStr">
        <is>
          <t>BJURHOLM</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48939-2022</t>
        </is>
      </c>
      <c r="B1962" s="1" t="n">
        <v>44859.95717592593</v>
      </c>
      <c r="C1962" s="1" t="n">
        <v>45971</v>
      </c>
      <c r="D1962" t="inlineStr">
        <is>
          <t>VÄSTERBOTTENS LÄN</t>
        </is>
      </c>
      <c r="E1962" t="inlineStr">
        <is>
          <t>NORDMALING</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60033-2020</t>
        </is>
      </c>
      <c r="B1963" s="1" t="n">
        <v>44151</v>
      </c>
      <c r="C1963" s="1" t="n">
        <v>45971</v>
      </c>
      <c r="D1963" t="inlineStr">
        <is>
          <t>VÄSTERBOTTENS LÄN</t>
        </is>
      </c>
      <c r="E1963" t="inlineStr">
        <is>
          <t>ÅSELE</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60041-2020</t>
        </is>
      </c>
      <c r="B1964" s="1" t="n">
        <v>44151</v>
      </c>
      <c r="C1964" s="1" t="n">
        <v>45971</v>
      </c>
      <c r="D1964" t="inlineStr">
        <is>
          <t>VÄSTERBOTTENS LÄN</t>
        </is>
      </c>
      <c r="E1964" t="inlineStr">
        <is>
          <t>DOROTEA</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42292-2022</t>
        </is>
      </c>
      <c r="B1965" s="1" t="n">
        <v>44830.95403935185</v>
      </c>
      <c r="C1965" s="1" t="n">
        <v>45971</v>
      </c>
      <c r="D1965" t="inlineStr">
        <is>
          <t>VÄSTERBOTTENS LÄN</t>
        </is>
      </c>
      <c r="E1965" t="inlineStr">
        <is>
          <t>NORDMALING</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51323-2022</t>
        </is>
      </c>
      <c r="B1966" s="1" t="n">
        <v>44868.95143518518</v>
      </c>
      <c r="C1966" s="1" t="n">
        <v>45971</v>
      </c>
      <c r="D1966" t="inlineStr">
        <is>
          <t>VÄSTERBOTTENS LÄN</t>
        </is>
      </c>
      <c r="E1966" t="inlineStr">
        <is>
          <t>NORDMALING</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229-2022</t>
        </is>
      </c>
      <c r="B1967" s="1" t="n">
        <v>44564.92136574074</v>
      </c>
      <c r="C1967" s="1" t="n">
        <v>45971</v>
      </c>
      <c r="D1967" t="inlineStr">
        <is>
          <t>VÄSTERBOTTENS LÄN</t>
        </is>
      </c>
      <c r="E1967" t="inlineStr">
        <is>
          <t>LYCKSELE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52309-2021</t>
        </is>
      </c>
      <c r="B1968" s="1" t="n">
        <v>44463</v>
      </c>
      <c r="C1968" s="1" t="n">
        <v>45971</v>
      </c>
      <c r="D1968" t="inlineStr">
        <is>
          <t>VÄSTERBOTTENS LÄN</t>
        </is>
      </c>
      <c r="E1968" t="inlineStr">
        <is>
          <t>UMEÅ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45971</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45971</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51919-2022</t>
        </is>
      </c>
      <c r="B1971" s="1" t="n">
        <v>44872.63363425926</v>
      </c>
      <c r="C1971" s="1" t="n">
        <v>45971</v>
      </c>
      <c r="D1971" t="inlineStr">
        <is>
          <t>VÄSTERBOTTENS LÄN</t>
        </is>
      </c>
      <c r="E1971" t="inlineStr">
        <is>
          <t>SKELLEFTEÅ</t>
        </is>
      </c>
      <c r="F1971" t="inlineStr">
        <is>
          <t>Holmen skog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2148-2021</t>
        </is>
      </c>
      <c r="B1972" s="1" t="n">
        <v>44211</v>
      </c>
      <c r="C1972" s="1" t="n">
        <v>45971</v>
      </c>
      <c r="D1972" t="inlineStr">
        <is>
          <t>VÄSTERBOTTENS LÄN</t>
        </is>
      </c>
      <c r="E1972" t="inlineStr">
        <is>
          <t>NORSJÖ</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73956-2021</t>
        </is>
      </c>
      <c r="B1973" s="1" t="n">
        <v>44553</v>
      </c>
      <c r="C1973" s="1" t="n">
        <v>45971</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22609-2022</t>
        </is>
      </c>
      <c r="B1974" s="1" t="n">
        <v>44714</v>
      </c>
      <c r="C1974" s="1" t="n">
        <v>45971</v>
      </c>
      <c r="D1974" t="inlineStr">
        <is>
          <t>VÄSTERBOTTENS LÄN</t>
        </is>
      </c>
      <c r="E1974" t="inlineStr">
        <is>
          <t>UMEÅ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22661-2022</t>
        </is>
      </c>
      <c r="B1975" s="1" t="n">
        <v>44714</v>
      </c>
      <c r="C1975" s="1" t="n">
        <v>45971</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5095-2021</t>
        </is>
      </c>
      <c r="B1976" s="1" t="n">
        <v>44224</v>
      </c>
      <c r="C1976" s="1" t="n">
        <v>45971</v>
      </c>
      <c r="D1976" t="inlineStr">
        <is>
          <t>VÄSTERBOTTENS LÄN</t>
        </is>
      </c>
      <c r="E1976" t="inlineStr">
        <is>
          <t>SKELLEFTEÅ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16233-2025</t>
        </is>
      </c>
      <c r="B1977" s="1" t="n">
        <v>45750.65672453704</v>
      </c>
      <c r="C1977" s="1" t="n">
        <v>45971</v>
      </c>
      <c r="D1977" t="inlineStr">
        <is>
          <t>VÄSTERBOTTENS LÄN</t>
        </is>
      </c>
      <c r="E1977" t="inlineStr">
        <is>
          <t>NORSJÖ</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27194-2024</t>
        </is>
      </c>
      <c r="B1978" s="1" t="n">
        <v>45471</v>
      </c>
      <c r="C1978" s="1" t="n">
        <v>45971</v>
      </c>
      <c r="D1978" t="inlineStr">
        <is>
          <t>VÄSTERBOTTENS LÄN</t>
        </is>
      </c>
      <c r="E1978" t="inlineStr">
        <is>
          <t>VILHELMINA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27199-2024</t>
        </is>
      </c>
      <c r="B1979" s="1" t="n">
        <v>45471</v>
      </c>
      <c r="C1979" s="1" t="n">
        <v>45971</v>
      </c>
      <c r="D1979" t="inlineStr">
        <is>
          <t>VÄSTERBOTTENS LÄN</t>
        </is>
      </c>
      <c r="E1979" t="inlineStr">
        <is>
          <t>DOROTEA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31323-2021</t>
        </is>
      </c>
      <c r="B1980" s="1" t="n">
        <v>44368</v>
      </c>
      <c r="C1980" s="1" t="n">
        <v>45971</v>
      </c>
      <c r="D1980" t="inlineStr">
        <is>
          <t>VÄSTERBOTTENS LÄN</t>
        </is>
      </c>
      <c r="E1980" t="inlineStr">
        <is>
          <t>VINDELN</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60117-2020</t>
        </is>
      </c>
      <c r="B1981" s="1" t="n">
        <v>44152</v>
      </c>
      <c r="C1981" s="1" t="n">
        <v>45971</v>
      </c>
      <c r="D1981" t="inlineStr">
        <is>
          <t>VÄSTERBOTTENS LÄN</t>
        </is>
      </c>
      <c r="E1981" t="inlineStr">
        <is>
          <t>BJURHOLM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45971</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56797-2024</t>
        </is>
      </c>
      <c r="B1983" s="1" t="n">
        <v>45628.46482638889</v>
      </c>
      <c r="C1983" s="1" t="n">
        <v>45971</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45971</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4449-2021</t>
        </is>
      </c>
      <c r="B1985" s="1" t="n">
        <v>44224</v>
      </c>
      <c r="C1985" s="1" t="n">
        <v>45971</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4473-2021</t>
        </is>
      </c>
      <c r="B1986" s="1" t="n">
        <v>44222</v>
      </c>
      <c r="C1986" s="1" t="n">
        <v>45971</v>
      </c>
      <c r="D1986" t="inlineStr">
        <is>
          <t>VÄSTERBOTTENS LÄN</t>
        </is>
      </c>
      <c r="E1986" t="inlineStr">
        <is>
          <t>UMEÅ</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35888-2022</t>
        </is>
      </c>
      <c r="B1987" s="1" t="n">
        <v>44803</v>
      </c>
      <c r="C1987" s="1" t="n">
        <v>45971</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10481-2021</t>
        </is>
      </c>
      <c r="B1988" s="1" t="n">
        <v>44257</v>
      </c>
      <c r="C1988" s="1" t="n">
        <v>45971</v>
      </c>
      <c r="D1988" t="inlineStr">
        <is>
          <t>VÄSTERBOTTENS LÄN</t>
        </is>
      </c>
      <c r="E1988" t="inlineStr">
        <is>
          <t>STORUMAN</t>
        </is>
      </c>
      <c r="G1988" t="n">
        <v>19.7</v>
      </c>
      <c r="H1988" t="n">
        <v>0</v>
      </c>
      <c r="I1988" t="n">
        <v>0</v>
      </c>
      <c r="J1988" t="n">
        <v>0</v>
      </c>
      <c r="K1988" t="n">
        <v>0</v>
      </c>
      <c r="L1988" t="n">
        <v>0</v>
      </c>
      <c r="M1988" t="n">
        <v>0</v>
      </c>
      <c r="N1988" t="n">
        <v>0</v>
      </c>
      <c r="O1988" t="n">
        <v>0</v>
      </c>
      <c r="P1988" t="n">
        <v>0</v>
      </c>
      <c r="Q1988" t="n">
        <v>0</v>
      </c>
      <c r="R1988" s="2" t="inlineStr"/>
    </row>
    <row r="1989" ht="15" customHeight="1">
      <c r="A1989" t="inlineStr">
        <is>
          <t>A 31251-2021</t>
        </is>
      </c>
      <c r="B1989" s="1" t="n">
        <v>44368</v>
      </c>
      <c r="C1989" s="1" t="n">
        <v>45971</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33541-2021</t>
        </is>
      </c>
      <c r="B1990" s="1" t="n">
        <v>44377</v>
      </c>
      <c r="C1990" s="1" t="n">
        <v>45971</v>
      </c>
      <c r="D1990" t="inlineStr">
        <is>
          <t>VÄSTERBOTTENS LÄN</t>
        </is>
      </c>
      <c r="E1990" t="inlineStr">
        <is>
          <t>NORDMALING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29466-2024</t>
        </is>
      </c>
      <c r="B1991" s="1" t="n">
        <v>45483.97041666666</v>
      </c>
      <c r="C1991" s="1" t="n">
        <v>45971</v>
      </c>
      <c r="D1991" t="inlineStr">
        <is>
          <t>VÄSTERBOTTENS LÄN</t>
        </is>
      </c>
      <c r="E1991" t="inlineStr">
        <is>
          <t>VINDELN</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25403-2021</t>
        </is>
      </c>
      <c r="B1992" s="1" t="n">
        <v>44342</v>
      </c>
      <c r="C1992" s="1" t="n">
        <v>45971</v>
      </c>
      <c r="D1992" t="inlineStr">
        <is>
          <t>VÄSTERBOTTENS LÄN</t>
        </is>
      </c>
      <c r="E1992" t="inlineStr">
        <is>
          <t>NORDMALING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21843-2022</t>
        </is>
      </c>
      <c r="B1993" s="1" t="n">
        <v>44711</v>
      </c>
      <c r="C1993" s="1" t="n">
        <v>45971</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66039-2020</t>
        </is>
      </c>
      <c r="B1994" s="1" t="n">
        <v>44175</v>
      </c>
      <c r="C1994" s="1" t="n">
        <v>45971</v>
      </c>
      <c r="D1994" t="inlineStr">
        <is>
          <t>VÄSTERBOTTENS LÄN</t>
        </is>
      </c>
      <c r="E1994" t="inlineStr">
        <is>
          <t>ROBERTSFORS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32438-2021</t>
        </is>
      </c>
      <c r="B1995" s="1" t="n">
        <v>44371</v>
      </c>
      <c r="C1995" s="1" t="n">
        <v>45971</v>
      </c>
      <c r="D1995" t="inlineStr">
        <is>
          <t>VÄSTERBOTTENS LÄN</t>
        </is>
      </c>
      <c r="E1995" t="inlineStr">
        <is>
          <t>SKELLEFTEÅ</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72332-2021</t>
        </is>
      </c>
      <c r="B1996" s="1" t="n">
        <v>44545</v>
      </c>
      <c r="C1996" s="1" t="n">
        <v>45971</v>
      </c>
      <c r="D1996" t="inlineStr">
        <is>
          <t>VÄSTERBOTTENS LÄN</t>
        </is>
      </c>
      <c r="E1996" t="inlineStr">
        <is>
          <t>LYCKSELE</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59358-2020</t>
        </is>
      </c>
      <c r="B1997" s="1" t="n">
        <v>44147</v>
      </c>
      <c r="C1997" s="1" t="n">
        <v>45971</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65830-2020</t>
        </is>
      </c>
      <c r="B1998" s="1" t="n">
        <v>44172</v>
      </c>
      <c r="C1998" s="1" t="n">
        <v>45971</v>
      </c>
      <c r="D1998" t="inlineStr">
        <is>
          <t>VÄSTERBOTTENS LÄN</t>
        </is>
      </c>
      <c r="E1998" t="inlineStr">
        <is>
          <t>ROBERTSFORS</t>
        </is>
      </c>
      <c r="G1998" t="n">
        <v>18.8</v>
      </c>
      <c r="H1998" t="n">
        <v>0</v>
      </c>
      <c r="I1998" t="n">
        <v>0</v>
      </c>
      <c r="J1998" t="n">
        <v>0</v>
      </c>
      <c r="K1998" t="n">
        <v>0</v>
      </c>
      <c r="L1998" t="n">
        <v>0</v>
      </c>
      <c r="M1998" t="n">
        <v>0</v>
      </c>
      <c r="N1998" t="n">
        <v>0</v>
      </c>
      <c r="O1998" t="n">
        <v>0</v>
      </c>
      <c r="P1998" t="n">
        <v>0</v>
      </c>
      <c r="Q1998" t="n">
        <v>0</v>
      </c>
      <c r="R1998" s="2" t="inlineStr"/>
    </row>
    <row r="1999" ht="15" customHeight="1">
      <c r="A1999" t="inlineStr">
        <is>
          <t>A 70854-2021</t>
        </is>
      </c>
      <c r="B1999" s="1" t="n">
        <v>44532</v>
      </c>
      <c r="C1999" s="1" t="n">
        <v>45971</v>
      </c>
      <c r="D1999" t="inlineStr">
        <is>
          <t>VÄSTERBOTTENS LÄN</t>
        </is>
      </c>
      <c r="E1999" t="inlineStr">
        <is>
          <t>VILHELMINA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70881-2021</t>
        </is>
      </c>
      <c r="B2000" s="1" t="n">
        <v>44537</v>
      </c>
      <c r="C2000" s="1" t="n">
        <v>45971</v>
      </c>
      <c r="D2000" t="inlineStr">
        <is>
          <t>VÄSTERBOTTENS LÄN</t>
        </is>
      </c>
      <c r="E2000" t="inlineStr">
        <is>
          <t>VINDELN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34787-2022</t>
        </is>
      </c>
      <c r="B2001" s="1" t="n">
        <v>44795</v>
      </c>
      <c r="C2001" s="1" t="n">
        <v>45971</v>
      </c>
      <c r="D2001" t="inlineStr">
        <is>
          <t>VÄSTERBOTTENS LÄN</t>
        </is>
      </c>
      <c r="E2001" t="inlineStr">
        <is>
          <t>ÅSELE</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59911-2020</t>
        </is>
      </c>
      <c r="B2002" s="1" t="n">
        <v>44148</v>
      </c>
      <c r="C2002" s="1" t="n">
        <v>45971</v>
      </c>
      <c r="D2002" t="inlineStr">
        <is>
          <t>VÄSTERBOTTENS LÄN</t>
        </is>
      </c>
      <c r="E2002" t="inlineStr">
        <is>
          <t>SORSELE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28525-2021</t>
        </is>
      </c>
      <c r="B2003" s="1" t="n">
        <v>44356</v>
      </c>
      <c r="C2003" s="1" t="n">
        <v>45971</v>
      </c>
      <c r="D2003" t="inlineStr">
        <is>
          <t>VÄSTERBOTTENS LÄN</t>
        </is>
      </c>
      <c r="E2003" t="inlineStr">
        <is>
          <t>SKELLEFTEÅ</t>
        </is>
      </c>
      <c r="F2003" t="inlineStr">
        <is>
          <t>Kyrkan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55157-2024</t>
        </is>
      </c>
      <c r="B2004" s="1" t="n">
        <v>45618</v>
      </c>
      <c r="C2004" s="1" t="n">
        <v>45971</v>
      </c>
      <c r="D2004" t="inlineStr">
        <is>
          <t>VÄSTERBOTTENS LÄN</t>
        </is>
      </c>
      <c r="E2004" t="inlineStr">
        <is>
          <t>NORSJÖ</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18861-2021</t>
        </is>
      </c>
      <c r="B2005" s="1" t="n">
        <v>44307.91818287037</v>
      </c>
      <c r="C2005" s="1" t="n">
        <v>45971</v>
      </c>
      <c r="D2005" t="inlineStr">
        <is>
          <t>VÄSTERBOTTENS LÄN</t>
        </is>
      </c>
      <c r="E2005" t="inlineStr">
        <is>
          <t>NORSJÖ</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60114-2020</t>
        </is>
      </c>
      <c r="B2006" s="1" t="n">
        <v>44152</v>
      </c>
      <c r="C2006" s="1" t="n">
        <v>45971</v>
      </c>
      <c r="D2006" t="inlineStr">
        <is>
          <t>VÄSTERBOTTENS LÄN</t>
        </is>
      </c>
      <c r="E2006" t="inlineStr">
        <is>
          <t>BJURHOLM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60152-2020</t>
        </is>
      </c>
      <c r="B2007" s="1" t="n">
        <v>44151</v>
      </c>
      <c r="C2007" s="1" t="n">
        <v>45971</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15889-2021</t>
        </is>
      </c>
      <c r="B2008" s="1" t="n">
        <v>44286.92057870371</v>
      </c>
      <c r="C2008" s="1" t="n">
        <v>45971</v>
      </c>
      <c r="D2008" t="inlineStr">
        <is>
          <t>VÄSTERBOTTENS LÄN</t>
        </is>
      </c>
      <c r="E2008" t="inlineStr">
        <is>
          <t>NORSJÖ</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6053-2022</t>
        </is>
      </c>
      <c r="B2009" s="1" t="n">
        <v>44599</v>
      </c>
      <c r="C2009" s="1" t="n">
        <v>45971</v>
      </c>
      <c r="D2009" t="inlineStr">
        <is>
          <t>VÄSTERBOTTENS LÄN</t>
        </is>
      </c>
      <c r="E2009" t="inlineStr">
        <is>
          <t>BJURHOLM</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2193-2021</t>
        </is>
      </c>
      <c r="B2010" s="1" t="n">
        <v>44211</v>
      </c>
      <c r="C2010" s="1" t="n">
        <v>45971</v>
      </c>
      <c r="D2010" t="inlineStr">
        <is>
          <t>VÄSTERBOTTENS LÄN</t>
        </is>
      </c>
      <c r="E2010" t="inlineStr">
        <is>
          <t>VILHELMINA</t>
        </is>
      </c>
      <c r="F2010" t="inlineStr">
        <is>
          <t>Allmännings- och besparingsskogar</t>
        </is>
      </c>
      <c r="G2010" t="n">
        <v>157.8</v>
      </c>
      <c r="H2010" t="n">
        <v>0</v>
      </c>
      <c r="I2010" t="n">
        <v>0</v>
      </c>
      <c r="J2010" t="n">
        <v>0</v>
      </c>
      <c r="K2010" t="n">
        <v>0</v>
      </c>
      <c r="L2010" t="n">
        <v>0</v>
      </c>
      <c r="M2010" t="n">
        <v>0</v>
      </c>
      <c r="N2010" t="n">
        <v>0</v>
      </c>
      <c r="O2010" t="n">
        <v>0</v>
      </c>
      <c r="P2010" t="n">
        <v>0</v>
      </c>
      <c r="Q2010" t="n">
        <v>0</v>
      </c>
      <c r="R2010" s="2" t="inlineStr"/>
    </row>
    <row r="2011" ht="15" customHeight="1">
      <c r="A2011" t="inlineStr">
        <is>
          <t>A 63293-2020</t>
        </is>
      </c>
      <c r="B2011" s="1" t="n">
        <v>44165</v>
      </c>
      <c r="C2011" s="1" t="n">
        <v>45971</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45971</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703-2022</t>
        </is>
      </c>
      <c r="B2013" s="1" t="n">
        <v>44566</v>
      </c>
      <c r="C2013" s="1" t="n">
        <v>45971</v>
      </c>
      <c r="D2013" t="inlineStr">
        <is>
          <t>VÄSTERBOTTENS LÄN</t>
        </is>
      </c>
      <c r="E2013" t="inlineStr">
        <is>
          <t>UMEÅ</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6169-2022</t>
        </is>
      </c>
      <c r="B2014" s="1" t="n">
        <v>44599.93688657408</v>
      </c>
      <c r="C2014" s="1" t="n">
        <v>45971</v>
      </c>
      <c r="D2014" t="inlineStr">
        <is>
          <t>VÄSTERBOTTENS LÄN</t>
        </is>
      </c>
      <c r="E2014" t="inlineStr">
        <is>
          <t>UMEÅ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18846-2023</t>
        </is>
      </c>
      <c r="B2015" s="1" t="n">
        <v>45042</v>
      </c>
      <c r="C2015" s="1" t="n">
        <v>45971</v>
      </c>
      <c r="D2015" t="inlineStr">
        <is>
          <t>VÄSTERBOTTENS LÄN</t>
        </is>
      </c>
      <c r="E2015" t="inlineStr">
        <is>
          <t>STORUMAN</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50086-2022</t>
        </is>
      </c>
      <c r="B2016" s="1" t="n">
        <v>44860</v>
      </c>
      <c r="C2016" s="1" t="n">
        <v>45971</v>
      </c>
      <c r="D2016" t="inlineStr">
        <is>
          <t>VÄSTERBOTTENS LÄN</t>
        </is>
      </c>
      <c r="E2016" t="inlineStr">
        <is>
          <t>VINDELN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52025-2022</t>
        </is>
      </c>
      <c r="B2017" s="1" t="n">
        <v>44872.95690972222</v>
      </c>
      <c r="C2017" s="1" t="n">
        <v>45971</v>
      </c>
      <c r="D2017" t="inlineStr">
        <is>
          <t>VÄSTERBOTTENS LÄN</t>
        </is>
      </c>
      <c r="E2017" t="inlineStr">
        <is>
          <t>ÅSELE</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39425-2022</t>
        </is>
      </c>
      <c r="B2018" s="1" t="n">
        <v>44818</v>
      </c>
      <c r="C2018" s="1" t="n">
        <v>45971</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8441-2025</t>
        </is>
      </c>
      <c r="B2019" s="1" t="n">
        <v>45709.44854166666</v>
      </c>
      <c r="C2019" s="1" t="n">
        <v>45971</v>
      </c>
      <c r="D2019" t="inlineStr">
        <is>
          <t>VÄSTERBOTTENS LÄN</t>
        </is>
      </c>
      <c r="E2019" t="inlineStr">
        <is>
          <t>MALÅ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46844-2022</t>
        </is>
      </c>
      <c r="B2020" s="1" t="n">
        <v>44851</v>
      </c>
      <c r="C2020" s="1" t="n">
        <v>45971</v>
      </c>
      <c r="D2020" t="inlineStr">
        <is>
          <t>VÄSTERBOTTENS LÄN</t>
        </is>
      </c>
      <c r="E2020" t="inlineStr">
        <is>
          <t>STORUMAN</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8030-2022</t>
        </is>
      </c>
      <c r="B2021" s="1" t="n">
        <v>44606</v>
      </c>
      <c r="C2021" s="1" t="n">
        <v>45971</v>
      </c>
      <c r="D2021" t="inlineStr">
        <is>
          <t>VÄSTERBOTTENS LÄN</t>
        </is>
      </c>
      <c r="E2021" t="inlineStr">
        <is>
          <t>SORSELE</t>
        </is>
      </c>
      <c r="F2021" t="inlineStr">
        <is>
          <t>Övriga statliga verk och myndigheter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18827-2023</t>
        </is>
      </c>
      <c r="B2022" s="1" t="n">
        <v>45042</v>
      </c>
      <c r="C2022" s="1" t="n">
        <v>45971</v>
      </c>
      <c r="D2022" t="inlineStr">
        <is>
          <t>VÄSTERBOTTENS LÄN</t>
        </is>
      </c>
      <c r="E2022" t="inlineStr">
        <is>
          <t>ROBERTSFORS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39325-2021</t>
        </is>
      </c>
      <c r="B2023" s="1" t="n">
        <v>44413.91990740741</v>
      </c>
      <c r="C2023" s="1" t="n">
        <v>45971</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45971</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68405-2020</t>
        </is>
      </c>
      <c r="B2025" s="1" t="n">
        <v>44182</v>
      </c>
      <c r="C2025" s="1" t="n">
        <v>45971</v>
      </c>
      <c r="D2025" t="inlineStr">
        <is>
          <t>VÄSTERBOTTENS LÄN</t>
        </is>
      </c>
      <c r="E2025" t="inlineStr">
        <is>
          <t>LYCKSELE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68409-2020</t>
        </is>
      </c>
      <c r="B2026" s="1" t="n">
        <v>44182</v>
      </c>
      <c r="C2026" s="1" t="n">
        <v>45971</v>
      </c>
      <c r="D2026" t="inlineStr">
        <is>
          <t>VÄSTERBOTTENS LÄN</t>
        </is>
      </c>
      <c r="E2026" t="inlineStr">
        <is>
          <t>LYCKSELE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58251-2021</t>
        </is>
      </c>
      <c r="B2027" s="1" t="n">
        <v>44487</v>
      </c>
      <c r="C2027" s="1" t="n">
        <v>45971</v>
      </c>
      <c r="D2027" t="inlineStr">
        <is>
          <t>VÄSTERBOTTENS LÄN</t>
        </is>
      </c>
      <c r="E2027" t="inlineStr">
        <is>
          <t>MALÅ</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45971</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4700-2025</t>
        </is>
      </c>
      <c r="B2029" s="1" t="n">
        <v>45688</v>
      </c>
      <c r="C2029" s="1" t="n">
        <v>45971</v>
      </c>
      <c r="D2029" t="inlineStr">
        <is>
          <t>VÄSTERBOTTENS LÄN</t>
        </is>
      </c>
      <c r="E2029" t="inlineStr">
        <is>
          <t>SKELLEFTEÅ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6463-2024</t>
        </is>
      </c>
      <c r="B2030" s="1" t="n">
        <v>45338</v>
      </c>
      <c r="C2030" s="1" t="n">
        <v>45971</v>
      </c>
      <c r="D2030" t="inlineStr">
        <is>
          <t>VÄSTERBOTTENS LÄN</t>
        </is>
      </c>
      <c r="E2030" t="inlineStr">
        <is>
          <t>VINDELN</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30959-2021</t>
        </is>
      </c>
      <c r="B2031" s="1" t="n">
        <v>44365.71322916666</v>
      </c>
      <c r="C2031" s="1" t="n">
        <v>45971</v>
      </c>
      <c r="D2031" t="inlineStr">
        <is>
          <t>VÄSTERBOTTENS LÄN</t>
        </is>
      </c>
      <c r="E2031" t="inlineStr">
        <is>
          <t>SKELLEFTEÅ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12811-2021</t>
        </is>
      </c>
      <c r="B2032" s="1" t="n">
        <v>44270</v>
      </c>
      <c r="C2032" s="1" t="n">
        <v>45971</v>
      </c>
      <c r="D2032" t="inlineStr">
        <is>
          <t>VÄSTERBOTTENS LÄN</t>
        </is>
      </c>
      <c r="E2032" t="inlineStr">
        <is>
          <t>VINDELN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54958-2024</t>
        </is>
      </c>
      <c r="B2033" s="1" t="n">
        <v>45619.7193287037</v>
      </c>
      <c r="C2033" s="1" t="n">
        <v>45971</v>
      </c>
      <c r="D2033" t="inlineStr">
        <is>
          <t>VÄSTERBOTTENS LÄN</t>
        </is>
      </c>
      <c r="E2033" t="inlineStr">
        <is>
          <t>ÅSELE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28620-2021</t>
        </is>
      </c>
      <c r="B2034" s="1" t="n">
        <v>44356.93547453704</v>
      </c>
      <c r="C2034" s="1" t="n">
        <v>45971</v>
      </c>
      <c r="D2034" t="inlineStr">
        <is>
          <t>VÄSTERBOTTENS LÄN</t>
        </is>
      </c>
      <c r="E2034" t="inlineStr">
        <is>
          <t>LYCKSELE</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66557-2021</t>
        </is>
      </c>
      <c r="B2035" s="1" t="n">
        <v>44519.41366898148</v>
      </c>
      <c r="C2035" s="1" t="n">
        <v>45971</v>
      </c>
      <c r="D2035" t="inlineStr">
        <is>
          <t>VÄSTERBOTTENS LÄN</t>
        </is>
      </c>
      <c r="E2035" t="inlineStr">
        <is>
          <t>ÅSELE</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30754-2021</t>
        </is>
      </c>
      <c r="B2036" s="1" t="n">
        <v>44365.46270833333</v>
      </c>
      <c r="C2036" s="1" t="n">
        <v>45971</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44790-2023</t>
        </is>
      </c>
      <c r="B2037" s="1" t="n">
        <v>45190.45606481482</v>
      </c>
      <c r="C2037" s="1" t="n">
        <v>45971</v>
      </c>
      <c r="D2037" t="inlineStr">
        <is>
          <t>VÄSTERBOTTENS LÄN</t>
        </is>
      </c>
      <c r="E2037" t="inlineStr">
        <is>
          <t>BJURHOLM</t>
        </is>
      </c>
      <c r="F2037" t="inlineStr">
        <is>
          <t>Holmen skog AB</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39938-2021</t>
        </is>
      </c>
      <c r="B2038" s="1" t="n">
        <v>44417</v>
      </c>
      <c r="C2038" s="1" t="n">
        <v>45971</v>
      </c>
      <c r="D2038" t="inlineStr">
        <is>
          <t>VÄSTERBOTTENS LÄN</t>
        </is>
      </c>
      <c r="E2038" t="inlineStr">
        <is>
          <t>ÅSELE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50055-2022</t>
        </is>
      </c>
      <c r="B2039" s="1" t="n">
        <v>44865.47516203704</v>
      </c>
      <c r="C2039" s="1" t="n">
        <v>45971</v>
      </c>
      <c r="D2039" t="inlineStr">
        <is>
          <t>VÄSTERBOTTENS LÄN</t>
        </is>
      </c>
      <c r="E2039" t="inlineStr">
        <is>
          <t>SKELLEFTEÅ</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62486-2021</t>
        </is>
      </c>
      <c r="B2040" s="1" t="n">
        <v>44503</v>
      </c>
      <c r="C2040" s="1" t="n">
        <v>45971</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9147-2025</t>
        </is>
      </c>
      <c r="B2041" s="1" t="n">
        <v>45714</v>
      </c>
      <c r="C2041" s="1" t="n">
        <v>45971</v>
      </c>
      <c r="D2041" t="inlineStr">
        <is>
          <t>VÄSTERBOTTENS LÄN</t>
        </is>
      </c>
      <c r="E2041" t="inlineStr">
        <is>
          <t>UMEÅ</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27874-2022</t>
        </is>
      </c>
      <c r="B2042" s="1" t="n">
        <v>44743</v>
      </c>
      <c r="C2042" s="1" t="n">
        <v>45971</v>
      </c>
      <c r="D2042" t="inlineStr">
        <is>
          <t>VÄSTERBOTTENS LÄN</t>
        </is>
      </c>
      <c r="E2042" t="inlineStr">
        <is>
          <t>VILHELMINA</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27880-2022</t>
        </is>
      </c>
      <c r="B2043" s="1" t="n">
        <v>44743</v>
      </c>
      <c r="C2043" s="1" t="n">
        <v>45971</v>
      </c>
      <c r="D2043" t="inlineStr">
        <is>
          <t>VÄSTERBOTTENS LÄN</t>
        </is>
      </c>
      <c r="E2043" t="inlineStr">
        <is>
          <t>VILHELMINA</t>
        </is>
      </c>
      <c r="F2043" t="inlineStr">
        <is>
          <t>Sveaskog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45971</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45971</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45971</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17609-2022</t>
        </is>
      </c>
      <c r="B2047" s="1" t="n">
        <v>44680</v>
      </c>
      <c r="C2047" s="1" t="n">
        <v>45971</v>
      </c>
      <c r="D2047" t="inlineStr">
        <is>
          <t>VÄSTERBOTTENS LÄN</t>
        </is>
      </c>
      <c r="E2047" t="inlineStr">
        <is>
          <t>BJURHOLM</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46474-2022</t>
        </is>
      </c>
      <c r="B2048" s="1" t="n">
        <v>44846</v>
      </c>
      <c r="C2048" s="1" t="n">
        <v>45971</v>
      </c>
      <c r="D2048" t="inlineStr">
        <is>
          <t>VÄSTERBOTTENS LÄN</t>
        </is>
      </c>
      <c r="E2048" t="inlineStr">
        <is>
          <t>LYCKSELE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73614-2021</t>
        </is>
      </c>
      <c r="B2049" s="1" t="n">
        <v>44551</v>
      </c>
      <c r="C2049" s="1" t="n">
        <v>45971</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65455-2021</t>
        </is>
      </c>
      <c r="B2050" s="1" t="n">
        <v>44516.28991898148</v>
      </c>
      <c r="C2050" s="1" t="n">
        <v>45971</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69370-2021</t>
        </is>
      </c>
      <c r="B2051" s="1" t="n">
        <v>44531</v>
      </c>
      <c r="C2051" s="1" t="n">
        <v>45971</v>
      </c>
      <c r="D2051" t="inlineStr">
        <is>
          <t>VÄSTERBOTTENS LÄN</t>
        </is>
      </c>
      <c r="E2051" t="inlineStr">
        <is>
          <t>ÅSELE</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65231-2021</t>
        </is>
      </c>
      <c r="B2052" s="1" t="n">
        <v>44513</v>
      </c>
      <c r="C2052" s="1" t="n">
        <v>45971</v>
      </c>
      <c r="D2052" t="inlineStr">
        <is>
          <t>VÄSTERBOTTENS LÄN</t>
        </is>
      </c>
      <c r="E2052" t="inlineStr">
        <is>
          <t>LYCKSELE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4032-2024</t>
        </is>
      </c>
      <c r="B2053" s="1" t="n">
        <v>45323.40850694444</v>
      </c>
      <c r="C2053" s="1" t="n">
        <v>45971</v>
      </c>
      <c r="D2053" t="inlineStr">
        <is>
          <t>VÄSTERBOTTENS LÄN</t>
        </is>
      </c>
      <c r="E2053" t="inlineStr">
        <is>
          <t>SKELLEFTEÅ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2189-2021</t>
        </is>
      </c>
      <c r="B2054" s="1" t="n">
        <v>44211</v>
      </c>
      <c r="C2054" s="1" t="n">
        <v>45971</v>
      </c>
      <c r="D2054" t="inlineStr">
        <is>
          <t>VÄSTERBOTTENS LÄN</t>
        </is>
      </c>
      <c r="E2054" t="inlineStr">
        <is>
          <t>VILHELMINA</t>
        </is>
      </c>
      <c r="F2054" t="inlineStr">
        <is>
          <t>Allmännings- och besparingsskogar</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9961-2025</t>
        </is>
      </c>
      <c r="B2055" s="1" t="n">
        <v>45719.36620370371</v>
      </c>
      <c r="C2055" s="1" t="n">
        <v>45971</v>
      </c>
      <c r="D2055" t="inlineStr">
        <is>
          <t>VÄSTERBOTTENS LÄN</t>
        </is>
      </c>
      <c r="E2055" t="inlineStr">
        <is>
          <t>STORUMAN</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64158-2020</t>
        </is>
      </c>
      <c r="B2056" s="1" t="n">
        <v>44167</v>
      </c>
      <c r="C2056" s="1" t="n">
        <v>45971</v>
      </c>
      <c r="D2056" t="inlineStr">
        <is>
          <t>VÄSTERBOTTENS LÄN</t>
        </is>
      </c>
      <c r="E2056" t="inlineStr">
        <is>
          <t>ROBERTSFORS</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64735-2021</t>
        </is>
      </c>
      <c r="B2057" s="1" t="n">
        <v>44511</v>
      </c>
      <c r="C2057" s="1" t="n">
        <v>45971</v>
      </c>
      <c r="D2057" t="inlineStr">
        <is>
          <t>VÄSTERBOTTENS LÄN</t>
        </is>
      </c>
      <c r="E2057" t="inlineStr">
        <is>
          <t>VINDELN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36021-2022</t>
        </is>
      </c>
      <c r="B2058" s="1" t="n">
        <v>44802.65265046297</v>
      </c>
      <c r="C2058" s="1" t="n">
        <v>45971</v>
      </c>
      <c r="D2058" t="inlineStr">
        <is>
          <t>VÄSTERBOTTENS LÄN</t>
        </is>
      </c>
      <c r="E2058" t="inlineStr">
        <is>
          <t>BJURHOLM</t>
        </is>
      </c>
      <c r="F2058" t="inlineStr">
        <is>
          <t>Holmen skog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1437-2025</t>
        </is>
      </c>
      <c r="B2059" s="1" t="n">
        <v>45669.67790509259</v>
      </c>
      <c r="C2059" s="1" t="n">
        <v>45971</v>
      </c>
      <c r="D2059" t="inlineStr">
        <is>
          <t>VÄSTERBOTTENS LÄN</t>
        </is>
      </c>
      <c r="E2059" t="inlineStr">
        <is>
          <t>VÄNNÄS</t>
        </is>
      </c>
      <c r="G2059" t="n">
        <v>11.7</v>
      </c>
      <c r="H2059" t="n">
        <v>0</v>
      </c>
      <c r="I2059" t="n">
        <v>0</v>
      </c>
      <c r="J2059" t="n">
        <v>0</v>
      </c>
      <c r="K2059" t="n">
        <v>0</v>
      </c>
      <c r="L2059" t="n">
        <v>0</v>
      </c>
      <c r="M2059" t="n">
        <v>0</v>
      </c>
      <c r="N2059" t="n">
        <v>0</v>
      </c>
      <c r="O2059" t="n">
        <v>0</v>
      </c>
      <c r="P2059" t="n">
        <v>0</v>
      </c>
      <c r="Q2059" t="n">
        <v>0</v>
      </c>
      <c r="R2059" s="2" t="inlineStr"/>
    </row>
    <row r="2060" ht="15" customHeight="1">
      <c r="A2060" t="inlineStr">
        <is>
          <t>A 13200-2025</t>
        </is>
      </c>
      <c r="B2060" s="1" t="n">
        <v>45735</v>
      </c>
      <c r="C2060" s="1" t="n">
        <v>45971</v>
      </c>
      <c r="D2060" t="inlineStr">
        <is>
          <t>VÄSTERBOTTENS LÄN</t>
        </is>
      </c>
      <c r="E2060" t="inlineStr">
        <is>
          <t>VILHELMINA</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42043-2022</t>
        </is>
      </c>
      <c r="B2061" s="1" t="n">
        <v>44830</v>
      </c>
      <c r="C2061" s="1" t="n">
        <v>45971</v>
      </c>
      <c r="D2061" t="inlineStr">
        <is>
          <t>VÄSTERBOTTENS LÄN</t>
        </is>
      </c>
      <c r="E2061" t="inlineStr">
        <is>
          <t>UMEÅ</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27560-2022</t>
        </is>
      </c>
      <c r="B2062" s="1" t="n">
        <v>44742.9269212963</v>
      </c>
      <c r="C2062" s="1" t="n">
        <v>45971</v>
      </c>
      <c r="D2062" t="inlineStr">
        <is>
          <t>VÄSTERBOTTENS LÄN</t>
        </is>
      </c>
      <c r="E2062" t="inlineStr">
        <is>
          <t>SKELLEFTEÅ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74179-2021</t>
        </is>
      </c>
      <c r="B2063" s="1" t="n">
        <v>44558</v>
      </c>
      <c r="C2063" s="1" t="n">
        <v>45971</v>
      </c>
      <c r="D2063" t="inlineStr">
        <is>
          <t>VÄSTERBOTTENS LÄN</t>
        </is>
      </c>
      <c r="E2063" t="inlineStr">
        <is>
          <t>LYCKSELE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39255-2022</t>
        </is>
      </c>
      <c r="B2064" s="1" t="n">
        <v>44817</v>
      </c>
      <c r="C2064" s="1" t="n">
        <v>45971</v>
      </c>
      <c r="D2064" t="inlineStr">
        <is>
          <t>VÄSTERBOTTENS LÄN</t>
        </is>
      </c>
      <c r="E2064" t="inlineStr">
        <is>
          <t>VINDELN</t>
        </is>
      </c>
      <c r="F2064" t="inlineStr">
        <is>
          <t>Sveaskog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43426-2023</t>
        </is>
      </c>
      <c r="B2065" s="1" t="n">
        <v>45183</v>
      </c>
      <c r="C2065" s="1" t="n">
        <v>45971</v>
      </c>
      <c r="D2065" t="inlineStr">
        <is>
          <t>VÄSTERBOTTENS LÄN</t>
        </is>
      </c>
      <c r="E2065" t="inlineStr">
        <is>
          <t>NORDMALING</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47287-2022</t>
        </is>
      </c>
      <c r="B2066" s="1" t="n">
        <v>44852.95145833334</v>
      </c>
      <c r="C2066" s="1" t="n">
        <v>45971</v>
      </c>
      <c r="D2066" t="inlineStr">
        <is>
          <t>VÄSTERBOTTENS LÄN</t>
        </is>
      </c>
      <c r="E2066" t="inlineStr">
        <is>
          <t>VILHELMINA</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47288-2022</t>
        </is>
      </c>
      <c r="B2067" s="1" t="n">
        <v>44852</v>
      </c>
      <c r="C2067" s="1" t="n">
        <v>45971</v>
      </c>
      <c r="D2067" t="inlineStr">
        <is>
          <t>VÄSTERBOTTENS LÄN</t>
        </is>
      </c>
      <c r="E2067" t="inlineStr">
        <is>
          <t>VILHELMINA</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41256-2022</t>
        </is>
      </c>
      <c r="B2068" s="1" t="n">
        <v>44826</v>
      </c>
      <c r="C2068" s="1" t="n">
        <v>45971</v>
      </c>
      <c r="D2068" t="inlineStr">
        <is>
          <t>VÄSTERBOTTENS LÄN</t>
        </is>
      </c>
      <c r="E2068" t="inlineStr">
        <is>
          <t>LYCKSELE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41330-2022</t>
        </is>
      </c>
      <c r="B2069" s="1" t="n">
        <v>44826</v>
      </c>
      <c r="C2069" s="1" t="n">
        <v>45971</v>
      </c>
      <c r="D2069" t="inlineStr">
        <is>
          <t>VÄSTERBOTTENS LÄN</t>
        </is>
      </c>
      <c r="E2069" t="inlineStr">
        <is>
          <t>VILHELMINA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22568-2021</t>
        </is>
      </c>
      <c r="B2070" s="1" t="n">
        <v>44322</v>
      </c>
      <c r="C2070" s="1" t="n">
        <v>45971</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51197-2023</t>
        </is>
      </c>
      <c r="B2071" s="1" t="n">
        <v>45219.41938657407</v>
      </c>
      <c r="C2071" s="1" t="n">
        <v>45971</v>
      </c>
      <c r="D2071" t="inlineStr">
        <is>
          <t>VÄSTERBOTTENS LÄN</t>
        </is>
      </c>
      <c r="E2071" t="inlineStr">
        <is>
          <t>NORSJÖ</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25859-2021</t>
        </is>
      </c>
      <c r="B2072" s="1" t="n">
        <v>44343</v>
      </c>
      <c r="C2072" s="1" t="n">
        <v>45971</v>
      </c>
      <c r="D2072" t="inlineStr">
        <is>
          <t>VÄSTERBOTTENS LÄN</t>
        </is>
      </c>
      <c r="E2072" t="inlineStr">
        <is>
          <t>UMEÅ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14774-2025</t>
        </is>
      </c>
      <c r="B2073" s="1" t="n">
        <v>45742.69414351852</v>
      </c>
      <c r="C2073" s="1" t="n">
        <v>45971</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49084-2022</t>
        </is>
      </c>
      <c r="B2074" s="1" t="n">
        <v>44860</v>
      </c>
      <c r="C2074" s="1" t="n">
        <v>45971</v>
      </c>
      <c r="D2074" t="inlineStr">
        <is>
          <t>VÄSTERBOTTENS LÄN</t>
        </is>
      </c>
      <c r="E2074" t="inlineStr">
        <is>
          <t>STORUMAN</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11087-2021</t>
        </is>
      </c>
      <c r="B2075" s="1" t="n">
        <v>44259</v>
      </c>
      <c r="C2075" s="1" t="n">
        <v>45971</v>
      </c>
      <c r="D2075" t="inlineStr">
        <is>
          <t>VÄSTERBOTTENS LÄN</t>
        </is>
      </c>
      <c r="E2075" t="inlineStr">
        <is>
          <t>SKELLEFTEÅ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51334-2023</t>
        </is>
      </c>
      <c r="B2076" s="1" t="n">
        <v>45219</v>
      </c>
      <c r="C2076" s="1" t="n">
        <v>45971</v>
      </c>
      <c r="D2076" t="inlineStr">
        <is>
          <t>VÄSTERBOTTENS LÄN</t>
        </is>
      </c>
      <c r="E2076" t="inlineStr">
        <is>
          <t>STORUMAN</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14903-2025</t>
        </is>
      </c>
      <c r="B2077" s="1" t="n">
        <v>45743.48991898148</v>
      </c>
      <c r="C2077" s="1" t="n">
        <v>45971</v>
      </c>
      <c r="D2077" t="inlineStr">
        <is>
          <t>VÄSTERBOTTENS LÄN</t>
        </is>
      </c>
      <c r="E2077" t="inlineStr">
        <is>
          <t>ROBERTSFORS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51995-2022</t>
        </is>
      </c>
      <c r="B2078" s="1" t="n">
        <v>44872.92878472222</v>
      </c>
      <c r="C2078" s="1" t="n">
        <v>45971</v>
      </c>
      <c r="D2078" t="inlineStr">
        <is>
          <t>VÄSTERBOTTENS LÄN</t>
        </is>
      </c>
      <c r="E2078" t="inlineStr">
        <is>
          <t>NORSJÖ</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9045-2021</t>
        </is>
      </c>
      <c r="B2079" s="1" t="n">
        <v>44249</v>
      </c>
      <c r="C2079" s="1" t="n">
        <v>45971</v>
      </c>
      <c r="D2079" t="inlineStr">
        <is>
          <t>VÄSTERBOTTENS LÄN</t>
        </is>
      </c>
      <c r="E2079" t="inlineStr">
        <is>
          <t>SKELLEFTEÅ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52019-2022</t>
        </is>
      </c>
      <c r="B2080" s="1" t="n">
        <v>44872</v>
      </c>
      <c r="C2080" s="1" t="n">
        <v>45971</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7356-2022</t>
        </is>
      </c>
      <c r="B2081" s="1" t="n">
        <v>44606</v>
      </c>
      <c r="C2081" s="1" t="n">
        <v>45971</v>
      </c>
      <c r="D2081" t="inlineStr">
        <is>
          <t>VÄSTERBOTTENS LÄN</t>
        </is>
      </c>
      <c r="E2081" t="inlineStr">
        <is>
          <t>UMEÅ</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71410-2021</t>
        </is>
      </c>
      <c r="B2082" s="1" t="n">
        <v>44540.36674768518</v>
      </c>
      <c r="C2082" s="1" t="n">
        <v>45971</v>
      </c>
      <c r="D2082" t="inlineStr">
        <is>
          <t>VÄSTERBOTTENS LÄN</t>
        </is>
      </c>
      <c r="E2082" t="inlineStr">
        <is>
          <t>SKELLEFTEÅ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27665-2022</t>
        </is>
      </c>
      <c r="B2083" s="1" t="n">
        <v>44743</v>
      </c>
      <c r="C2083" s="1" t="n">
        <v>45971</v>
      </c>
      <c r="D2083" t="inlineStr">
        <is>
          <t>VÄSTERBOTTENS LÄN</t>
        </is>
      </c>
      <c r="E2083" t="inlineStr">
        <is>
          <t>VINDELN</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16893-2021</t>
        </is>
      </c>
      <c r="B2084" s="1" t="n">
        <v>44295</v>
      </c>
      <c r="C2084" s="1" t="n">
        <v>45971</v>
      </c>
      <c r="D2084" t="inlineStr">
        <is>
          <t>VÄSTERBOTTENS LÄN</t>
        </is>
      </c>
      <c r="E2084" t="inlineStr">
        <is>
          <t>SORSELE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67032-2020</t>
        </is>
      </c>
      <c r="B2085" s="1" t="n">
        <v>44180</v>
      </c>
      <c r="C2085" s="1" t="n">
        <v>45971</v>
      </c>
      <c r="D2085" t="inlineStr">
        <is>
          <t>VÄSTERBOTTENS LÄN</t>
        </is>
      </c>
      <c r="E2085" t="inlineStr">
        <is>
          <t>VINDELN</t>
        </is>
      </c>
      <c r="G2085" t="n">
        <v>18.8</v>
      </c>
      <c r="H2085" t="n">
        <v>0</v>
      </c>
      <c r="I2085" t="n">
        <v>0</v>
      </c>
      <c r="J2085" t="n">
        <v>0</v>
      </c>
      <c r="K2085" t="n">
        <v>0</v>
      </c>
      <c r="L2085" t="n">
        <v>0</v>
      </c>
      <c r="M2085" t="n">
        <v>0</v>
      </c>
      <c r="N2085" t="n">
        <v>0</v>
      </c>
      <c r="O2085" t="n">
        <v>0</v>
      </c>
      <c r="P2085" t="n">
        <v>0</v>
      </c>
      <c r="Q2085" t="n">
        <v>0</v>
      </c>
      <c r="R2085" s="2" t="inlineStr"/>
    </row>
    <row r="2086" ht="15" customHeight="1">
      <c r="A2086" t="inlineStr">
        <is>
          <t>A 67775-2021</t>
        </is>
      </c>
      <c r="B2086" s="1" t="n">
        <v>44524</v>
      </c>
      <c r="C2086" s="1" t="n">
        <v>45971</v>
      </c>
      <c r="D2086" t="inlineStr">
        <is>
          <t>VÄSTERBOTTENS LÄN</t>
        </is>
      </c>
      <c r="E2086" t="inlineStr">
        <is>
          <t>BJURHOLM</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32436-2022</t>
        </is>
      </c>
      <c r="B2087" s="1" t="n">
        <v>44782</v>
      </c>
      <c r="C2087" s="1" t="n">
        <v>45971</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18568-2022</t>
        </is>
      </c>
      <c r="B2088" s="1" t="n">
        <v>44686.94269675926</v>
      </c>
      <c r="C2088" s="1" t="n">
        <v>45971</v>
      </c>
      <c r="D2088" t="inlineStr">
        <is>
          <t>VÄSTERBOTTENS LÄN</t>
        </is>
      </c>
      <c r="E2088" t="inlineStr">
        <is>
          <t>ÅSELE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30715-2022</t>
        </is>
      </c>
      <c r="B2089" s="1" t="n">
        <v>44763</v>
      </c>
      <c r="C2089" s="1" t="n">
        <v>45971</v>
      </c>
      <c r="D2089" t="inlineStr">
        <is>
          <t>VÄSTERBOTTENS LÄN</t>
        </is>
      </c>
      <c r="E2089" t="inlineStr">
        <is>
          <t>NORDMALING</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43591-2021</t>
        </is>
      </c>
      <c r="B2090" s="1" t="n">
        <v>44433</v>
      </c>
      <c r="C2090" s="1" t="n">
        <v>45971</v>
      </c>
      <c r="D2090" t="inlineStr">
        <is>
          <t>VÄSTERBOTTENS LÄN</t>
        </is>
      </c>
      <c r="E2090" t="inlineStr">
        <is>
          <t>UMEÅ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23885-2021</t>
        </is>
      </c>
      <c r="B2091" s="1" t="n">
        <v>44335</v>
      </c>
      <c r="C2091" s="1" t="n">
        <v>45971</v>
      </c>
      <c r="D2091" t="inlineStr">
        <is>
          <t>VÄSTERBOTTENS LÄN</t>
        </is>
      </c>
      <c r="E2091" t="inlineStr">
        <is>
          <t>SKELLEFTEÅ</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16909-2021</t>
        </is>
      </c>
      <c r="B2092" s="1" t="n">
        <v>44294</v>
      </c>
      <c r="C2092" s="1" t="n">
        <v>45971</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17197-2022</t>
        </is>
      </c>
      <c r="B2093" s="1" t="n">
        <v>44677.75340277778</v>
      </c>
      <c r="C2093" s="1" t="n">
        <v>45971</v>
      </c>
      <c r="D2093" t="inlineStr">
        <is>
          <t>VÄSTERBOTTENS LÄN</t>
        </is>
      </c>
      <c r="E2093" t="inlineStr">
        <is>
          <t>SKELLEFTEÅ</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39732-2022</t>
        </is>
      </c>
      <c r="B2094" s="1" t="n">
        <v>44819.34829861111</v>
      </c>
      <c r="C2094" s="1" t="n">
        <v>45971</v>
      </c>
      <c r="D2094" t="inlineStr">
        <is>
          <t>VÄSTERBOTTENS LÄN</t>
        </is>
      </c>
      <c r="E2094" t="inlineStr">
        <is>
          <t>SKELLEFTEÅ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48931-2023</t>
        </is>
      </c>
      <c r="B2095" s="1" t="n">
        <v>45209</v>
      </c>
      <c r="C2095" s="1" t="n">
        <v>45971</v>
      </c>
      <c r="D2095" t="inlineStr">
        <is>
          <t>VÄSTERBOTTENS LÄN</t>
        </is>
      </c>
      <c r="E2095" t="inlineStr">
        <is>
          <t>MALÅ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17581-2022</t>
        </is>
      </c>
      <c r="B2096" s="1" t="n">
        <v>44679.92644675926</v>
      </c>
      <c r="C2096" s="1" t="n">
        <v>45971</v>
      </c>
      <c r="D2096" t="inlineStr">
        <is>
          <t>VÄSTERBOTTENS LÄN</t>
        </is>
      </c>
      <c r="E2096" t="inlineStr">
        <is>
          <t>VINDELN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43737-2021</t>
        </is>
      </c>
      <c r="B2097" s="1" t="n">
        <v>44433.64141203704</v>
      </c>
      <c r="C2097" s="1" t="n">
        <v>45971</v>
      </c>
      <c r="D2097" t="inlineStr">
        <is>
          <t>VÄSTERBOTTENS LÄN</t>
        </is>
      </c>
      <c r="E2097" t="inlineStr">
        <is>
          <t>ÅSELE</t>
        </is>
      </c>
      <c r="F2097" t="inlineStr">
        <is>
          <t>Naturvårdsverket</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5012-2024</t>
        </is>
      </c>
      <c r="B2098" s="1" t="n">
        <v>45329</v>
      </c>
      <c r="C2098" s="1" t="n">
        <v>45971</v>
      </c>
      <c r="D2098" t="inlineStr">
        <is>
          <t>VÄSTERBOTTENS LÄN</t>
        </is>
      </c>
      <c r="E2098" t="inlineStr">
        <is>
          <t>ÅSELE</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34563-2022</t>
        </is>
      </c>
      <c r="B2099" s="1" t="n">
        <v>44794</v>
      </c>
      <c r="C2099" s="1" t="n">
        <v>45971</v>
      </c>
      <c r="D2099" t="inlineStr">
        <is>
          <t>VÄSTERBOTTENS LÄN</t>
        </is>
      </c>
      <c r="E2099" t="inlineStr">
        <is>
          <t>VINDELN</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28609-2021</t>
        </is>
      </c>
      <c r="B2100" s="1" t="n">
        <v>44356.93478009259</v>
      </c>
      <c r="C2100" s="1" t="n">
        <v>45971</v>
      </c>
      <c r="D2100" t="inlineStr">
        <is>
          <t>VÄSTERBOTTENS LÄN</t>
        </is>
      </c>
      <c r="E2100" t="inlineStr">
        <is>
          <t>ÅSELE</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45964-2022</t>
        </is>
      </c>
      <c r="B2101" s="1" t="n">
        <v>44846</v>
      </c>
      <c r="C2101" s="1" t="n">
        <v>45971</v>
      </c>
      <c r="D2101" t="inlineStr">
        <is>
          <t>VÄSTERBOTTENS LÄN</t>
        </is>
      </c>
      <c r="E2101" t="inlineStr">
        <is>
          <t>LYCKSELE</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45985-2022</t>
        </is>
      </c>
      <c r="B2102" s="1" t="n">
        <v>44844</v>
      </c>
      <c r="C2102" s="1" t="n">
        <v>45971</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51357-2023</t>
        </is>
      </c>
      <c r="B2103" s="1" t="n">
        <v>45219</v>
      </c>
      <c r="C2103" s="1" t="n">
        <v>45971</v>
      </c>
      <c r="D2103" t="inlineStr">
        <is>
          <t>VÄSTERBOTTENS LÄN</t>
        </is>
      </c>
      <c r="E2103" t="inlineStr">
        <is>
          <t>MALÅ</t>
        </is>
      </c>
      <c r="F2103" t="inlineStr">
        <is>
          <t>Sveaskog</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49648-2022</t>
        </is>
      </c>
      <c r="B2104" s="1" t="n">
        <v>44862.44689814815</v>
      </c>
      <c r="C2104" s="1" t="n">
        <v>45971</v>
      </c>
      <c r="D2104" t="inlineStr">
        <is>
          <t>VÄSTERBOTTENS LÄN</t>
        </is>
      </c>
      <c r="E2104" t="inlineStr">
        <is>
          <t>BJURHOLM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41047-2022</t>
        </is>
      </c>
      <c r="B2105" s="1" t="n">
        <v>44824</v>
      </c>
      <c r="C2105" s="1" t="n">
        <v>45971</v>
      </c>
      <c r="D2105" t="inlineStr">
        <is>
          <t>VÄSTERBOTTENS LÄN</t>
        </is>
      </c>
      <c r="E2105" t="inlineStr">
        <is>
          <t>ROBERTSFORS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39019-2022</t>
        </is>
      </c>
      <c r="B2106" s="1" t="n">
        <v>44817</v>
      </c>
      <c r="C2106" s="1" t="n">
        <v>45971</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38995-2022</t>
        </is>
      </c>
      <c r="B2107" s="1" t="n">
        <v>44816</v>
      </c>
      <c r="C2107" s="1" t="n">
        <v>45971</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48283-2022</t>
        </is>
      </c>
      <c r="B2108" s="1" t="n">
        <v>44858</v>
      </c>
      <c r="C2108" s="1" t="n">
        <v>45971</v>
      </c>
      <c r="D2108" t="inlineStr">
        <is>
          <t>VÄSTERBOTTENS LÄN</t>
        </is>
      </c>
      <c r="E2108" t="inlineStr">
        <is>
          <t>ÅSELE</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4084-2022</t>
        </is>
      </c>
      <c r="B2109" s="1" t="n">
        <v>44588.39104166667</v>
      </c>
      <c r="C2109" s="1" t="n">
        <v>45971</v>
      </c>
      <c r="D2109" t="inlineStr">
        <is>
          <t>VÄSTERBOTTENS LÄN</t>
        </is>
      </c>
      <c r="E2109" t="inlineStr">
        <is>
          <t>UMEÅ</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38731-2021</t>
        </is>
      </c>
      <c r="B2110" s="1" t="n">
        <v>44410</v>
      </c>
      <c r="C2110" s="1" t="n">
        <v>45971</v>
      </c>
      <c r="D2110" t="inlineStr">
        <is>
          <t>VÄSTERBOTTENS LÄN</t>
        </is>
      </c>
      <c r="E2110" t="inlineStr">
        <is>
          <t>UMEÅ</t>
        </is>
      </c>
      <c r="F2110" t="inlineStr">
        <is>
          <t>Kommuner</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38912-2021</t>
        </is>
      </c>
      <c r="B2111" s="1" t="n">
        <v>44410</v>
      </c>
      <c r="C2111" s="1" t="n">
        <v>45971</v>
      </c>
      <c r="D2111" t="inlineStr">
        <is>
          <t>VÄSTERBOTTENS LÄN</t>
        </is>
      </c>
      <c r="E2111" t="inlineStr">
        <is>
          <t>UMEÅ</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45266-2021</t>
        </is>
      </c>
      <c r="B2112" s="1" t="n">
        <v>44439</v>
      </c>
      <c r="C2112" s="1" t="n">
        <v>45971</v>
      </c>
      <c r="D2112" t="inlineStr">
        <is>
          <t>VÄSTERBOTTENS LÄN</t>
        </is>
      </c>
      <c r="E2112" t="inlineStr">
        <is>
          <t>LYCKSELE</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69627-2021</t>
        </is>
      </c>
      <c r="B2113" s="1" t="n">
        <v>44532.41537037037</v>
      </c>
      <c r="C2113" s="1" t="n">
        <v>45971</v>
      </c>
      <c r="D2113" t="inlineStr">
        <is>
          <t>VÄSTERBOTTENS LÄN</t>
        </is>
      </c>
      <c r="E2113" t="inlineStr">
        <is>
          <t>LYCKSELE</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62268-2021</t>
        </is>
      </c>
      <c r="B2114" s="1" t="n">
        <v>44503</v>
      </c>
      <c r="C2114" s="1" t="n">
        <v>45971</v>
      </c>
      <c r="D2114" t="inlineStr">
        <is>
          <t>VÄSTERBOTTENS LÄN</t>
        </is>
      </c>
      <c r="E2114" t="inlineStr">
        <is>
          <t>ÅSELE</t>
        </is>
      </c>
      <c r="F2114" t="inlineStr">
        <is>
          <t>Holmen skog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39836-2022</t>
        </is>
      </c>
      <c r="B2115" s="1" t="n">
        <v>44819.5896875</v>
      </c>
      <c r="C2115" s="1" t="n">
        <v>45971</v>
      </c>
      <c r="D2115" t="inlineStr">
        <is>
          <t>VÄSTERBOTTENS LÄN</t>
        </is>
      </c>
      <c r="E2115" t="inlineStr">
        <is>
          <t>ROBERTSFORS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40219-2022</t>
        </is>
      </c>
      <c r="B2116" s="1" t="n">
        <v>44820</v>
      </c>
      <c r="C2116" s="1" t="n">
        <v>45971</v>
      </c>
      <c r="D2116" t="inlineStr">
        <is>
          <t>VÄSTERBOTTENS LÄN</t>
        </is>
      </c>
      <c r="E2116" t="inlineStr">
        <is>
          <t>SKELLEFTEÅ</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38220-2021</t>
        </is>
      </c>
      <c r="B2117" s="1" t="n">
        <v>44407</v>
      </c>
      <c r="C2117" s="1" t="n">
        <v>45971</v>
      </c>
      <c r="D2117" t="inlineStr">
        <is>
          <t>VÄSTERBOTTENS LÄN</t>
        </is>
      </c>
      <c r="E2117" t="inlineStr">
        <is>
          <t>UMEÅ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47748-2022</t>
        </is>
      </c>
      <c r="B2118" s="1" t="n">
        <v>44854.65578703704</v>
      </c>
      <c r="C2118" s="1" t="n">
        <v>45971</v>
      </c>
      <c r="D2118" t="inlineStr">
        <is>
          <t>VÄSTERBOTTENS LÄN</t>
        </is>
      </c>
      <c r="E2118" t="inlineStr">
        <is>
          <t>NORDMALING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31656-2021</t>
        </is>
      </c>
      <c r="B2119" s="1" t="n">
        <v>44377</v>
      </c>
      <c r="C2119" s="1" t="n">
        <v>45971</v>
      </c>
      <c r="D2119" t="inlineStr">
        <is>
          <t>VÄSTERBOTTENS LÄN</t>
        </is>
      </c>
      <c r="E2119" t="inlineStr">
        <is>
          <t>VILHELMINA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17149-2022</t>
        </is>
      </c>
      <c r="B2120" s="1" t="n">
        <v>44677</v>
      </c>
      <c r="C2120" s="1" t="n">
        <v>45971</v>
      </c>
      <c r="D2120" t="inlineStr">
        <is>
          <t>VÄSTERBOTTENS LÄN</t>
        </is>
      </c>
      <c r="E2120" t="inlineStr">
        <is>
          <t>STORUMAN</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35561-2021</t>
        </is>
      </c>
      <c r="B2121" s="1" t="n">
        <v>44385.93583333334</v>
      </c>
      <c r="C2121" s="1" t="n">
        <v>45971</v>
      </c>
      <c r="D2121" t="inlineStr">
        <is>
          <t>VÄSTERBOTTENS LÄN</t>
        </is>
      </c>
      <c r="E2121" t="inlineStr">
        <is>
          <t>ÅSELE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30413-2021</t>
        </is>
      </c>
      <c r="B2122" s="1" t="n">
        <v>44364</v>
      </c>
      <c r="C2122" s="1" t="n">
        <v>45971</v>
      </c>
      <c r="D2122" t="inlineStr">
        <is>
          <t>VÄSTERBOTTENS LÄN</t>
        </is>
      </c>
      <c r="E2122" t="inlineStr">
        <is>
          <t>SORSELE</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35379-2021</t>
        </is>
      </c>
      <c r="B2123" s="1" t="n">
        <v>44384</v>
      </c>
      <c r="C2123" s="1" t="n">
        <v>45971</v>
      </c>
      <c r="D2123" t="inlineStr">
        <is>
          <t>VÄSTERBOTTENS LÄN</t>
        </is>
      </c>
      <c r="E2123" t="inlineStr">
        <is>
          <t>VINDELN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72377-2021</t>
        </is>
      </c>
      <c r="B2124" s="1" t="n">
        <v>44544</v>
      </c>
      <c r="C2124" s="1" t="n">
        <v>45971</v>
      </c>
      <c r="D2124" t="inlineStr">
        <is>
          <t>VÄSTERBOTTENS LÄN</t>
        </is>
      </c>
      <c r="E2124" t="inlineStr">
        <is>
          <t>LYCKSELE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12037-2025</t>
        </is>
      </c>
      <c r="B2125" s="1" t="n">
        <v>45728.65577546296</v>
      </c>
      <c r="C2125" s="1" t="n">
        <v>45971</v>
      </c>
      <c r="D2125" t="inlineStr">
        <is>
          <t>VÄSTERBOTTENS LÄN</t>
        </is>
      </c>
      <c r="E2125" t="inlineStr">
        <is>
          <t>VINDELN</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13023-2025</t>
        </is>
      </c>
      <c r="B2126" s="1" t="n">
        <v>45734.55266203704</v>
      </c>
      <c r="C2126" s="1" t="n">
        <v>45971</v>
      </c>
      <c r="D2126" t="inlineStr">
        <is>
          <t>VÄSTERBOTTENS LÄN</t>
        </is>
      </c>
      <c r="E2126" t="inlineStr">
        <is>
          <t>DOROTEA</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13091-2025</t>
        </is>
      </c>
      <c r="B2127" s="1" t="n">
        <v>45734.65295138889</v>
      </c>
      <c r="C2127" s="1" t="n">
        <v>45971</v>
      </c>
      <c r="D2127" t="inlineStr">
        <is>
          <t>VÄSTERBOTTENS LÄN</t>
        </is>
      </c>
      <c r="E2127" t="inlineStr">
        <is>
          <t>VINDELN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9463-2025</t>
        </is>
      </c>
      <c r="B2128" s="1" t="n">
        <v>45715.45984953704</v>
      </c>
      <c r="C2128" s="1" t="n">
        <v>45971</v>
      </c>
      <c r="D2128" t="inlineStr">
        <is>
          <t>VÄSTERBOTTENS LÄN</t>
        </is>
      </c>
      <c r="E2128" t="inlineStr">
        <is>
          <t>ROBERTSFORS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9497-2025</t>
        </is>
      </c>
      <c r="B2129" s="1" t="n">
        <v>45715.51086805556</v>
      </c>
      <c r="C2129" s="1" t="n">
        <v>45971</v>
      </c>
      <c r="D2129" t="inlineStr">
        <is>
          <t>VÄSTERBOTTENS LÄN</t>
        </is>
      </c>
      <c r="E2129" t="inlineStr">
        <is>
          <t>VILHELMINA</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40851-2022</t>
        </is>
      </c>
      <c r="B2130" s="1" t="n">
        <v>44825.26050925926</v>
      </c>
      <c r="C2130" s="1" t="n">
        <v>45971</v>
      </c>
      <c r="D2130" t="inlineStr">
        <is>
          <t>VÄSTERBOTTENS LÄN</t>
        </is>
      </c>
      <c r="E2130" t="inlineStr">
        <is>
          <t>SKELLEFTEÅ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18478-2023</t>
        </is>
      </c>
      <c r="B2131" s="1" t="n">
        <v>45042.58392361111</v>
      </c>
      <c r="C2131" s="1" t="n">
        <v>45971</v>
      </c>
      <c r="D2131" t="inlineStr">
        <is>
          <t>VÄSTERBOTTENS LÄN</t>
        </is>
      </c>
      <c r="E2131" t="inlineStr">
        <is>
          <t>SKELLEFTEÅ</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40000-2024</t>
        </is>
      </c>
      <c r="B2132" s="1" t="n">
        <v>45553.64158564815</v>
      </c>
      <c r="C2132" s="1" t="n">
        <v>45971</v>
      </c>
      <c r="D2132" t="inlineStr">
        <is>
          <t>VÄSTERBOTTENS LÄN</t>
        </is>
      </c>
      <c r="E2132" t="inlineStr">
        <is>
          <t>VINDELN</t>
        </is>
      </c>
      <c r="F2132" t="inlineStr">
        <is>
          <t>Holmen skog AB</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35852-2021</t>
        </is>
      </c>
      <c r="B2133" s="1" t="n">
        <v>44386</v>
      </c>
      <c r="C2133" s="1" t="n">
        <v>45971</v>
      </c>
      <c r="D2133" t="inlineStr">
        <is>
          <t>VÄSTERBOTTENS LÄN</t>
        </is>
      </c>
      <c r="E2133" t="inlineStr">
        <is>
          <t>ROBERTSFORS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53624-2022</t>
        </is>
      </c>
      <c r="B2134" s="1" t="n">
        <v>44879.82162037037</v>
      </c>
      <c r="C2134" s="1" t="n">
        <v>45971</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51671-2021</t>
        </is>
      </c>
      <c r="B2135" s="1" t="n">
        <v>44462.52583333333</v>
      </c>
      <c r="C2135" s="1" t="n">
        <v>45971</v>
      </c>
      <c r="D2135" t="inlineStr">
        <is>
          <t>VÄSTERBOTTENS LÄN</t>
        </is>
      </c>
      <c r="E2135" t="inlineStr">
        <is>
          <t>SORSELE</t>
        </is>
      </c>
      <c r="F2135" t="inlineStr">
        <is>
          <t>Sveaskog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20008-2025</t>
        </is>
      </c>
      <c r="B2136" s="1" t="n">
        <v>45772.27237268518</v>
      </c>
      <c r="C2136" s="1" t="n">
        <v>45971</v>
      </c>
      <c r="D2136" t="inlineStr">
        <is>
          <t>VÄSTERBOTTENS LÄN</t>
        </is>
      </c>
      <c r="E2136" t="inlineStr">
        <is>
          <t>NORDMALING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44185-2022</t>
        </is>
      </c>
      <c r="B2137" s="1" t="n">
        <v>44839.46023148148</v>
      </c>
      <c r="C2137" s="1" t="n">
        <v>45971</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5251-2024</t>
        </is>
      </c>
      <c r="B2138" s="1" t="n">
        <v>45330</v>
      </c>
      <c r="C2138" s="1" t="n">
        <v>45971</v>
      </c>
      <c r="D2138" t="inlineStr">
        <is>
          <t>VÄSTERBOTTENS LÄN</t>
        </is>
      </c>
      <c r="E2138" t="inlineStr">
        <is>
          <t>DOROTEA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316-2021</t>
        </is>
      </c>
      <c r="B2139" s="1" t="n">
        <v>44201</v>
      </c>
      <c r="C2139" s="1" t="n">
        <v>45971</v>
      </c>
      <c r="D2139" t="inlineStr">
        <is>
          <t>VÄSTERBOTTENS LÄN</t>
        </is>
      </c>
      <c r="E2139" t="inlineStr">
        <is>
          <t>VINDELN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11102-2021</t>
        </is>
      </c>
      <c r="B2140" s="1" t="n">
        <v>44259</v>
      </c>
      <c r="C2140" s="1" t="n">
        <v>45971</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4482-2024</t>
        </is>
      </c>
      <c r="B2141" s="1" t="n">
        <v>45327</v>
      </c>
      <c r="C2141" s="1" t="n">
        <v>45971</v>
      </c>
      <c r="D2141" t="inlineStr">
        <is>
          <t>VÄSTERBOTTENS LÄN</t>
        </is>
      </c>
      <c r="E2141" t="inlineStr">
        <is>
          <t>NORSJÖ</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28381-2022</t>
        </is>
      </c>
      <c r="B2142" s="1" t="n">
        <v>44747</v>
      </c>
      <c r="C2142" s="1" t="n">
        <v>45971</v>
      </c>
      <c r="D2142" t="inlineStr">
        <is>
          <t>VÄSTERBOTTENS LÄN</t>
        </is>
      </c>
      <c r="E2142" t="inlineStr">
        <is>
          <t>ÅSELE</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5133-2025</t>
        </is>
      </c>
      <c r="B2143" s="1" t="n">
        <v>45691.57523148148</v>
      </c>
      <c r="C2143" s="1" t="n">
        <v>45971</v>
      </c>
      <c r="D2143" t="inlineStr">
        <is>
          <t>VÄSTERBOTTENS LÄN</t>
        </is>
      </c>
      <c r="E2143" t="inlineStr">
        <is>
          <t>SKELLEFTEÅ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51093-2022</t>
        </is>
      </c>
      <c r="B2144" s="1" t="n">
        <v>44865</v>
      </c>
      <c r="C2144" s="1" t="n">
        <v>45971</v>
      </c>
      <c r="D2144" t="inlineStr">
        <is>
          <t>VÄSTERBOTTENS LÄN</t>
        </is>
      </c>
      <c r="E2144" t="inlineStr">
        <is>
          <t>VINDELN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44437-2022</t>
        </is>
      </c>
      <c r="B2145" s="1" t="n">
        <v>44839.95413194445</v>
      </c>
      <c r="C2145" s="1" t="n">
        <v>45971</v>
      </c>
      <c r="D2145" t="inlineStr">
        <is>
          <t>VÄSTERBOTTENS LÄN</t>
        </is>
      </c>
      <c r="E2145" t="inlineStr">
        <is>
          <t>VINDELN</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49527-2022</t>
        </is>
      </c>
      <c r="B2146" s="1" t="n">
        <v>44861.95710648148</v>
      </c>
      <c r="C2146" s="1" t="n">
        <v>45971</v>
      </c>
      <c r="D2146" t="inlineStr">
        <is>
          <t>VÄSTERBOTTENS LÄN</t>
        </is>
      </c>
      <c r="E2146" t="inlineStr">
        <is>
          <t>ÅSELE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4901-2024</t>
        </is>
      </c>
      <c r="B2147" s="1" t="n">
        <v>45329</v>
      </c>
      <c r="C2147" s="1" t="n">
        <v>45971</v>
      </c>
      <c r="D2147" t="inlineStr">
        <is>
          <t>VÄSTERBOTTENS LÄN</t>
        </is>
      </c>
      <c r="E2147" t="inlineStr">
        <is>
          <t>ÅSELE</t>
        </is>
      </c>
      <c r="F2147" t="inlineStr">
        <is>
          <t>Övriga Aktiebolag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19272-2025</t>
        </is>
      </c>
      <c r="B2148" s="1" t="n">
        <v>45769.52287037037</v>
      </c>
      <c r="C2148" s="1" t="n">
        <v>45971</v>
      </c>
      <c r="D2148" t="inlineStr">
        <is>
          <t>VÄSTERBOTTENS LÄN</t>
        </is>
      </c>
      <c r="E2148" t="inlineStr">
        <is>
          <t>UMEÅ</t>
        </is>
      </c>
      <c r="F2148" t="inlineStr">
        <is>
          <t>Holmen skog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27301-2021</t>
        </is>
      </c>
      <c r="B2149" s="1" t="n">
        <v>44350</v>
      </c>
      <c r="C2149" s="1" t="n">
        <v>45971</v>
      </c>
      <c r="D2149" t="inlineStr">
        <is>
          <t>VÄSTERBOTTENS LÄN</t>
        </is>
      </c>
      <c r="E2149" t="inlineStr">
        <is>
          <t>ÅSELE</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42609-2021</t>
        </is>
      </c>
      <c r="B2150" s="1" t="n">
        <v>44428.39925925926</v>
      </c>
      <c r="C2150" s="1" t="n">
        <v>45971</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57877-2023</t>
        </is>
      </c>
      <c r="B2151" s="1" t="n">
        <v>45247.46681712963</v>
      </c>
      <c r="C2151" s="1" t="n">
        <v>45971</v>
      </c>
      <c r="D2151" t="inlineStr">
        <is>
          <t>VÄSTERBOTTENS LÄN</t>
        </is>
      </c>
      <c r="E2151" t="inlineStr">
        <is>
          <t>BJURHOLM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6123-2025</t>
        </is>
      </c>
      <c r="B2152" s="1" t="n">
        <v>45698.34989583334</v>
      </c>
      <c r="C2152" s="1" t="n">
        <v>45971</v>
      </c>
      <c r="D2152" t="inlineStr">
        <is>
          <t>VÄSTERBOTTENS LÄN</t>
        </is>
      </c>
      <c r="E2152" t="inlineStr">
        <is>
          <t>LYCKSELE</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41113-2021</t>
        </is>
      </c>
      <c r="B2153" s="1" t="n">
        <v>44423.50511574074</v>
      </c>
      <c r="C2153" s="1" t="n">
        <v>45971</v>
      </c>
      <c r="D2153" t="inlineStr">
        <is>
          <t>VÄSTERBOTTENS LÄN</t>
        </is>
      </c>
      <c r="E2153" t="inlineStr">
        <is>
          <t>VINDELN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62504-2023</t>
        </is>
      </c>
      <c r="B2154" s="1" t="n">
        <v>45268</v>
      </c>
      <c r="C2154" s="1" t="n">
        <v>45971</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62506-2023</t>
        </is>
      </c>
      <c r="B2155" s="1" t="n">
        <v>45268</v>
      </c>
      <c r="C2155" s="1" t="n">
        <v>45971</v>
      </c>
      <c r="D2155" t="inlineStr">
        <is>
          <t>VÄSTERBOTTENS LÄN</t>
        </is>
      </c>
      <c r="E2155" t="inlineStr">
        <is>
          <t>ROBERTSFORS</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52536-2023</t>
        </is>
      </c>
      <c r="B2156" s="1" t="n">
        <v>45218</v>
      </c>
      <c r="C2156" s="1" t="n">
        <v>45971</v>
      </c>
      <c r="D2156" t="inlineStr">
        <is>
          <t>VÄSTERBOTTENS LÄN</t>
        </is>
      </c>
      <c r="E2156" t="inlineStr">
        <is>
          <t>VÄNNÄS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8718-2025</t>
        </is>
      </c>
      <c r="B2157" s="1" t="n">
        <v>45712</v>
      </c>
      <c r="C2157" s="1" t="n">
        <v>45971</v>
      </c>
      <c r="D2157" t="inlineStr">
        <is>
          <t>VÄSTERBOTTENS LÄN</t>
        </is>
      </c>
      <c r="E2157" t="inlineStr">
        <is>
          <t>VILHELMINA</t>
        </is>
      </c>
      <c r="G2157" t="n">
        <v>21.3</v>
      </c>
      <c r="H2157" t="n">
        <v>0</v>
      </c>
      <c r="I2157" t="n">
        <v>0</v>
      </c>
      <c r="J2157" t="n">
        <v>0</v>
      </c>
      <c r="K2157" t="n">
        <v>0</v>
      </c>
      <c r="L2157" t="n">
        <v>0</v>
      </c>
      <c r="M2157" t="n">
        <v>0</v>
      </c>
      <c r="N2157" t="n">
        <v>0</v>
      </c>
      <c r="O2157" t="n">
        <v>0</v>
      </c>
      <c r="P2157" t="n">
        <v>0</v>
      </c>
      <c r="Q2157" t="n">
        <v>0</v>
      </c>
      <c r="R2157" s="2" t="inlineStr"/>
    </row>
    <row r="2158" ht="15" customHeight="1">
      <c r="A2158" t="inlineStr">
        <is>
          <t>A 13924-2021</t>
        </is>
      </c>
      <c r="B2158" s="1" t="n">
        <v>44277</v>
      </c>
      <c r="C2158" s="1" t="n">
        <v>45971</v>
      </c>
      <c r="D2158" t="inlineStr">
        <is>
          <t>VÄSTERBOTTENS LÄN</t>
        </is>
      </c>
      <c r="E2158" t="inlineStr">
        <is>
          <t>LYCKSELE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41101-2022</t>
        </is>
      </c>
      <c r="B2159" s="1" t="n">
        <v>44820</v>
      </c>
      <c r="C2159" s="1" t="n">
        <v>45971</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54807-2021</t>
        </is>
      </c>
      <c r="B2160" s="1" t="n">
        <v>44473.94260416667</v>
      </c>
      <c r="C2160" s="1" t="n">
        <v>45971</v>
      </c>
      <c r="D2160" t="inlineStr">
        <is>
          <t>VÄSTERBOTTENS LÄN</t>
        </is>
      </c>
      <c r="E2160" t="inlineStr">
        <is>
          <t>STORUMAN</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23801-2021</t>
        </is>
      </c>
      <c r="B2161" s="1" t="n">
        <v>44334</v>
      </c>
      <c r="C2161" s="1" t="n">
        <v>45971</v>
      </c>
      <c r="D2161" t="inlineStr">
        <is>
          <t>VÄSTERBOTTENS LÄN</t>
        </is>
      </c>
      <c r="E2161" t="inlineStr">
        <is>
          <t>SKELLEFTEÅ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48600-2021</t>
        </is>
      </c>
      <c r="B2162" s="1" t="n">
        <v>44452</v>
      </c>
      <c r="C2162" s="1" t="n">
        <v>45971</v>
      </c>
      <c r="D2162" t="inlineStr">
        <is>
          <t>VÄSTERBOTTENS LÄN</t>
        </is>
      </c>
      <c r="E2162" t="inlineStr">
        <is>
          <t>VILHELMINA</t>
        </is>
      </c>
      <c r="F2162" t="inlineStr">
        <is>
          <t>Allmännings- och besparingsskogar</t>
        </is>
      </c>
      <c r="G2162" t="n">
        <v>48.6</v>
      </c>
      <c r="H2162" t="n">
        <v>0</v>
      </c>
      <c r="I2162" t="n">
        <v>0</v>
      </c>
      <c r="J2162" t="n">
        <v>0</v>
      </c>
      <c r="K2162" t="n">
        <v>0</v>
      </c>
      <c r="L2162" t="n">
        <v>0</v>
      </c>
      <c r="M2162" t="n">
        <v>0</v>
      </c>
      <c r="N2162" t="n">
        <v>0</v>
      </c>
      <c r="O2162" t="n">
        <v>0</v>
      </c>
      <c r="P2162" t="n">
        <v>0</v>
      </c>
      <c r="Q2162" t="n">
        <v>0</v>
      </c>
      <c r="R2162" s="2" t="inlineStr"/>
    </row>
    <row r="2163" ht="15" customHeight="1">
      <c r="A2163" t="inlineStr">
        <is>
          <t>A 55484-2021</t>
        </is>
      </c>
      <c r="B2163" s="1" t="n">
        <v>44475</v>
      </c>
      <c r="C2163" s="1" t="n">
        <v>45971</v>
      </c>
      <c r="D2163" t="inlineStr">
        <is>
          <t>VÄSTERBOTTENS LÄN</t>
        </is>
      </c>
      <c r="E2163" t="inlineStr">
        <is>
          <t>ROBERTSFORS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24234-2021</t>
        </is>
      </c>
      <c r="B2164" s="1" t="n">
        <v>44336.9184375</v>
      </c>
      <c r="C2164" s="1" t="n">
        <v>45971</v>
      </c>
      <c r="D2164" t="inlineStr">
        <is>
          <t>VÄSTERBOTTENS LÄN</t>
        </is>
      </c>
      <c r="E2164" t="inlineStr">
        <is>
          <t>NORDMALING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27637-2022</t>
        </is>
      </c>
      <c r="B2165" s="1" t="n">
        <v>44743</v>
      </c>
      <c r="C2165" s="1" t="n">
        <v>45971</v>
      </c>
      <c r="D2165" t="inlineStr">
        <is>
          <t>VÄSTERBOTTENS LÄN</t>
        </is>
      </c>
      <c r="E2165" t="inlineStr">
        <is>
          <t>SKELLEFTEÅ</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52361-2021</t>
        </is>
      </c>
      <c r="B2166" s="1" t="n">
        <v>44465</v>
      </c>
      <c r="C2166" s="1" t="n">
        <v>45971</v>
      </c>
      <c r="D2166" t="inlineStr">
        <is>
          <t>VÄSTERBOTTENS LÄN</t>
        </is>
      </c>
      <c r="E2166" t="inlineStr">
        <is>
          <t>DOROTEA</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52362-2021</t>
        </is>
      </c>
      <c r="B2167" s="1" t="n">
        <v>44465.40667824074</v>
      </c>
      <c r="C2167" s="1" t="n">
        <v>45971</v>
      </c>
      <c r="D2167" t="inlineStr">
        <is>
          <t>VÄSTERBOTTENS LÄN</t>
        </is>
      </c>
      <c r="E2167" t="inlineStr">
        <is>
          <t>DOROTEA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15644-2022</t>
        </is>
      </c>
      <c r="B2168" s="1" t="n">
        <v>44662.92425925926</v>
      </c>
      <c r="C2168" s="1" t="n">
        <v>45971</v>
      </c>
      <c r="D2168" t="inlineStr">
        <is>
          <t>VÄSTERBOTTENS LÄN</t>
        </is>
      </c>
      <c r="E2168" t="inlineStr">
        <is>
          <t>ROBERTSFORS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9448-2025</t>
        </is>
      </c>
      <c r="B2169" s="1" t="n">
        <v>45715.42537037037</v>
      </c>
      <c r="C2169" s="1" t="n">
        <v>45971</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49803-2021</t>
        </is>
      </c>
      <c r="B2170" s="1" t="n">
        <v>44455.60459490741</v>
      </c>
      <c r="C2170" s="1" t="n">
        <v>45971</v>
      </c>
      <c r="D2170" t="inlineStr">
        <is>
          <t>VÄSTERBOTTENS LÄN</t>
        </is>
      </c>
      <c r="E2170" t="inlineStr">
        <is>
          <t>ÅSELE</t>
        </is>
      </c>
      <c r="F2170" t="inlineStr">
        <is>
          <t>Holmen skog AB</t>
        </is>
      </c>
      <c r="G2170" t="n">
        <v>13.7</v>
      </c>
      <c r="H2170" t="n">
        <v>0</v>
      </c>
      <c r="I2170" t="n">
        <v>0</v>
      </c>
      <c r="J2170" t="n">
        <v>0</v>
      </c>
      <c r="K2170" t="n">
        <v>0</v>
      </c>
      <c r="L2170" t="n">
        <v>0</v>
      </c>
      <c r="M2170" t="n">
        <v>0</v>
      </c>
      <c r="N2170" t="n">
        <v>0</v>
      </c>
      <c r="O2170" t="n">
        <v>0</v>
      </c>
      <c r="P2170" t="n">
        <v>0</v>
      </c>
      <c r="Q2170" t="n">
        <v>0</v>
      </c>
      <c r="R2170" s="2" t="inlineStr"/>
    </row>
    <row r="2171" ht="15" customHeight="1">
      <c r="A2171" t="inlineStr">
        <is>
          <t>A 4478-2021</t>
        </is>
      </c>
      <c r="B2171" s="1" t="n">
        <v>44222</v>
      </c>
      <c r="C2171" s="1" t="n">
        <v>45971</v>
      </c>
      <c r="D2171" t="inlineStr">
        <is>
          <t>VÄSTERBOTTENS LÄN</t>
        </is>
      </c>
      <c r="E2171" t="inlineStr">
        <is>
          <t>UMEÅ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54872-2021</t>
        </is>
      </c>
      <c r="B2172" s="1" t="n">
        <v>44473</v>
      </c>
      <c r="C2172" s="1" t="n">
        <v>45971</v>
      </c>
      <c r="D2172" t="inlineStr">
        <is>
          <t>VÄSTERBOTTENS LÄN</t>
        </is>
      </c>
      <c r="E2172" t="inlineStr">
        <is>
          <t>NORDMALING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45971</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45971</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27844-2022</t>
        </is>
      </c>
      <c r="B2175" s="1" t="n">
        <v>44743.620625</v>
      </c>
      <c r="C2175" s="1" t="n">
        <v>45971</v>
      </c>
      <c r="D2175" t="inlineStr">
        <is>
          <t>VÄSTERBOTTENS LÄN</t>
        </is>
      </c>
      <c r="E2175" t="inlineStr">
        <is>
          <t>VILHELMINA</t>
        </is>
      </c>
      <c r="F2175" t="inlineStr">
        <is>
          <t>Sveaskog</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50081-2023</t>
        </is>
      </c>
      <c r="B2176" s="1" t="n">
        <v>45215.58771990741</v>
      </c>
      <c r="C2176" s="1" t="n">
        <v>45971</v>
      </c>
      <c r="D2176" t="inlineStr">
        <is>
          <t>VÄSTERBOTTENS LÄN</t>
        </is>
      </c>
      <c r="E2176" t="inlineStr">
        <is>
          <t>SKELLEFTEÅ</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6549-2023</t>
        </is>
      </c>
      <c r="B2177" s="1" t="n">
        <v>44966</v>
      </c>
      <c r="C2177" s="1" t="n">
        <v>45971</v>
      </c>
      <c r="D2177" t="inlineStr">
        <is>
          <t>VÄSTERBOTTENS LÄN</t>
        </is>
      </c>
      <c r="E2177" t="inlineStr">
        <is>
          <t>STORUMAN</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8911-2021</t>
        </is>
      </c>
      <c r="B2178" s="1" t="n">
        <v>44245</v>
      </c>
      <c r="C2178" s="1" t="n">
        <v>45971</v>
      </c>
      <c r="D2178" t="inlineStr">
        <is>
          <t>VÄSTERBOTTENS LÄN</t>
        </is>
      </c>
      <c r="E2178" t="inlineStr">
        <is>
          <t>SKELLEFTEÅ</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49667-2024</t>
        </is>
      </c>
      <c r="B2179" s="1" t="n">
        <v>45596.64743055555</v>
      </c>
      <c r="C2179" s="1" t="n">
        <v>45971</v>
      </c>
      <c r="D2179" t="inlineStr">
        <is>
          <t>VÄSTERBOTTENS LÄN</t>
        </is>
      </c>
      <c r="E2179" t="inlineStr">
        <is>
          <t>LYCKSELE</t>
        </is>
      </c>
      <c r="F2179" t="inlineStr">
        <is>
          <t>Sveaskog</t>
        </is>
      </c>
      <c r="G2179" t="n">
        <v>13.9</v>
      </c>
      <c r="H2179" t="n">
        <v>0</v>
      </c>
      <c r="I2179" t="n">
        <v>0</v>
      </c>
      <c r="J2179" t="n">
        <v>0</v>
      </c>
      <c r="K2179" t="n">
        <v>0</v>
      </c>
      <c r="L2179" t="n">
        <v>0</v>
      </c>
      <c r="M2179" t="n">
        <v>0</v>
      </c>
      <c r="N2179" t="n">
        <v>0</v>
      </c>
      <c r="O2179" t="n">
        <v>0</v>
      </c>
      <c r="P2179" t="n">
        <v>0</v>
      </c>
      <c r="Q2179" t="n">
        <v>0</v>
      </c>
      <c r="R2179" s="2" t="inlineStr"/>
    </row>
    <row r="2180" ht="15" customHeight="1">
      <c r="A2180" t="inlineStr">
        <is>
          <t>A 32435-2024</t>
        </is>
      </c>
      <c r="B2180" s="1" t="n">
        <v>45512.92917824074</v>
      </c>
      <c r="C2180" s="1" t="n">
        <v>45971</v>
      </c>
      <c r="D2180" t="inlineStr">
        <is>
          <t>VÄSTERBOTTENS LÄN</t>
        </is>
      </c>
      <c r="E2180" t="inlineStr">
        <is>
          <t>VINDELN</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46362-2024</t>
        </is>
      </c>
      <c r="B2181" s="1" t="n">
        <v>45582</v>
      </c>
      <c r="C2181" s="1" t="n">
        <v>45971</v>
      </c>
      <c r="D2181" t="inlineStr">
        <is>
          <t>VÄSTERBOTTENS LÄN</t>
        </is>
      </c>
      <c r="E2181" t="inlineStr">
        <is>
          <t>STORUMAN</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2193-2023</t>
        </is>
      </c>
      <c r="B2182" s="1" t="n">
        <v>44942.36244212963</v>
      </c>
      <c r="C2182" s="1" t="n">
        <v>45971</v>
      </c>
      <c r="D2182" t="inlineStr">
        <is>
          <t>VÄSTERBOTTENS LÄN</t>
        </is>
      </c>
      <c r="E2182" t="inlineStr">
        <is>
          <t>LYCKSELE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50635-2021</t>
        </is>
      </c>
      <c r="B2183" s="1" t="n">
        <v>44459.71978009259</v>
      </c>
      <c r="C2183" s="1" t="n">
        <v>45971</v>
      </c>
      <c r="D2183" t="inlineStr">
        <is>
          <t>VÄSTERBOTTENS LÄN</t>
        </is>
      </c>
      <c r="E2183" t="inlineStr">
        <is>
          <t>VILHELMINA</t>
        </is>
      </c>
      <c r="F2183" t="inlineStr">
        <is>
          <t>Kommuner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19909-2025</t>
        </is>
      </c>
      <c r="B2184" s="1" t="n">
        <v>45771.60482638889</v>
      </c>
      <c r="C2184" s="1" t="n">
        <v>45971</v>
      </c>
      <c r="D2184" t="inlineStr">
        <is>
          <t>VÄSTERBOTTENS LÄN</t>
        </is>
      </c>
      <c r="E2184" t="inlineStr">
        <is>
          <t>VILHELMINA</t>
        </is>
      </c>
      <c r="G2184" t="n">
        <v>12.4</v>
      </c>
      <c r="H2184" t="n">
        <v>0</v>
      </c>
      <c r="I2184" t="n">
        <v>0</v>
      </c>
      <c r="J2184" t="n">
        <v>0</v>
      </c>
      <c r="K2184" t="n">
        <v>0</v>
      </c>
      <c r="L2184" t="n">
        <v>0</v>
      </c>
      <c r="M2184" t="n">
        <v>0</v>
      </c>
      <c r="N2184" t="n">
        <v>0</v>
      </c>
      <c r="O2184" t="n">
        <v>0</v>
      </c>
      <c r="P2184" t="n">
        <v>0</v>
      </c>
      <c r="Q2184" t="n">
        <v>0</v>
      </c>
      <c r="R2184" s="2" t="inlineStr"/>
    </row>
    <row r="2185" ht="15" customHeight="1">
      <c r="A2185" t="inlineStr">
        <is>
          <t>A 47109-2021</t>
        </is>
      </c>
      <c r="B2185" s="1" t="n">
        <v>44446</v>
      </c>
      <c r="C2185" s="1" t="n">
        <v>45971</v>
      </c>
      <c r="D2185" t="inlineStr">
        <is>
          <t>VÄSTERBOTTENS LÄN</t>
        </is>
      </c>
      <c r="E2185" t="inlineStr">
        <is>
          <t>VINDELN</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12359-2023</t>
        </is>
      </c>
      <c r="B2186" s="1" t="n">
        <v>44995</v>
      </c>
      <c r="C2186" s="1" t="n">
        <v>45971</v>
      </c>
      <c r="D2186" t="inlineStr">
        <is>
          <t>VÄSTERBOTTENS LÄN</t>
        </is>
      </c>
      <c r="E2186" t="inlineStr">
        <is>
          <t>STORUMAN</t>
        </is>
      </c>
      <c r="F2186" t="inlineStr">
        <is>
          <t>Allmännings- och besparingsskogar</t>
        </is>
      </c>
      <c r="G2186" t="n">
        <v>449.4</v>
      </c>
      <c r="H2186" t="n">
        <v>0</v>
      </c>
      <c r="I2186" t="n">
        <v>0</v>
      </c>
      <c r="J2186" t="n">
        <v>0</v>
      </c>
      <c r="K2186" t="n">
        <v>0</v>
      </c>
      <c r="L2186" t="n">
        <v>0</v>
      </c>
      <c r="M2186" t="n">
        <v>0</v>
      </c>
      <c r="N2186" t="n">
        <v>0</v>
      </c>
      <c r="O2186" t="n">
        <v>0</v>
      </c>
      <c r="P2186" t="n">
        <v>0</v>
      </c>
      <c r="Q2186" t="n">
        <v>0</v>
      </c>
      <c r="R2186" s="2" t="inlineStr"/>
    </row>
    <row r="2187" ht="15" customHeight="1">
      <c r="A2187" t="inlineStr">
        <is>
          <t>A 47100-2021</t>
        </is>
      </c>
      <c r="B2187" s="1" t="n">
        <v>44446.67491898148</v>
      </c>
      <c r="C2187" s="1" t="n">
        <v>45971</v>
      </c>
      <c r="D2187" t="inlineStr">
        <is>
          <t>VÄSTERBOTTENS LÄN</t>
        </is>
      </c>
      <c r="E2187" t="inlineStr">
        <is>
          <t>VINDELN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33496-2022</t>
        </is>
      </c>
      <c r="B2188" s="1" t="n">
        <v>44788.92680555556</v>
      </c>
      <c r="C2188" s="1" t="n">
        <v>45971</v>
      </c>
      <c r="D2188" t="inlineStr">
        <is>
          <t>VÄSTERBOTTENS LÄN</t>
        </is>
      </c>
      <c r="E2188" t="inlineStr">
        <is>
          <t>NORDMALING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11604-2023</t>
        </is>
      </c>
      <c r="B2189" s="1" t="n">
        <v>44994</v>
      </c>
      <c r="C2189" s="1" t="n">
        <v>45971</v>
      </c>
      <c r="D2189" t="inlineStr">
        <is>
          <t>VÄSTERBOTTENS LÄN</t>
        </is>
      </c>
      <c r="E2189" t="inlineStr">
        <is>
          <t>LYCKSELE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11629-2023</t>
        </is>
      </c>
      <c r="B2190" s="1" t="n">
        <v>44994.43855324074</v>
      </c>
      <c r="C2190" s="1" t="n">
        <v>45971</v>
      </c>
      <c r="D2190" t="inlineStr">
        <is>
          <t>VÄSTERBOTTENS LÄN</t>
        </is>
      </c>
      <c r="E2190" t="inlineStr">
        <is>
          <t>SKELLEFTEÅ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29150-2021</t>
        </is>
      </c>
      <c r="B2191" s="1" t="n">
        <v>44358</v>
      </c>
      <c r="C2191" s="1" t="n">
        <v>45971</v>
      </c>
      <c r="D2191" t="inlineStr">
        <is>
          <t>VÄSTERBOTTENS LÄN</t>
        </is>
      </c>
      <c r="E2191" t="inlineStr">
        <is>
          <t>LYCKSELE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33529-2022</t>
        </is>
      </c>
      <c r="B2192" s="1" t="n">
        <v>44789.33445601852</v>
      </c>
      <c r="C2192" s="1" t="n">
        <v>45971</v>
      </c>
      <c r="D2192" t="inlineStr">
        <is>
          <t>VÄSTERBOTTENS LÄN</t>
        </is>
      </c>
      <c r="E2192" t="inlineStr">
        <is>
          <t>SKELLEFTEÅ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48924-2024</t>
        </is>
      </c>
      <c r="B2193" s="1" t="n">
        <v>45594.37393518518</v>
      </c>
      <c r="C2193" s="1" t="n">
        <v>45971</v>
      </c>
      <c r="D2193" t="inlineStr">
        <is>
          <t>VÄSTERBOTTENS LÄN</t>
        </is>
      </c>
      <c r="E2193" t="inlineStr">
        <is>
          <t>SORSELE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57530-2021</t>
        </is>
      </c>
      <c r="B2194" s="1" t="n">
        <v>44483</v>
      </c>
      <c r="C2194" s="1" t="n">
        <v>45971</v>
      </c>
      <c r="D2194" t="inlineStr">
        <is>
          <t>VÄSTERBOTTENS LÄN</t>
        </is>
      </c>
      <c r="E2194" t="inlineStr">
        <is>
          <t>SKELLEFTEÅ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53117-2023</t>
        </is>
      </c>
      <c r="B2195" s="1" t="n">
        <v>45228</v>
      </c>
      <c r="C2195" s="1" t="n">
        <v>45971</v>
      </c>
      <c r="D2195" t="inlineStr">
        <is>
          <t>VÄSTERBOTTENS LÄN</t>
        </is>
      </c>
      <c r="E2195" t="inlineStr">
        <is>
          <t>DOROTEA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53118-2023</t>
        </is>
      </c>
      <c r="B2196" s="1" t="n">
        <v>45228</v>
      </c>
      <c r="C2196" s="1" t="n">
        <v>45971</v>
      </c>
      <c r="D2196" t="inlineStr">
        <is>
          <t>VÄSTERBOTTENS LÄN</t>
        </is>
      </c>
      <c r="E2196" t="inlineStr">
        <is>
          <t>DOROTEA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44730-2022</t>
        </is>
      </c>
      <c r="B2197" s="1" t="n">
        <v>44840</v>
      </c>
      <c r="C2197" s="1" t="n">
        <v>45971</v>
      </c>
      <c r="D2197" t="inlineStr">
        <is>
          <t>VÄSTERBOTTENS LÄN</t>
        </is>
      </c>
      <c r="E2197" t="inlineStr">
        <is>
          <t>UMEÅ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51935-2021</t>
        </is>
      </c>
      <c r="B2198" s="1" t="n">
        <v>44462</v>
      </c>
      <c r="C2198" s="1" t="n">
        <v>45971</v>
      </c>
      <c r="D2198" t="inlineStr">
        <is>
          <t>VÄSTERBOTTENS LÄN</t>
        </is>
      </c>
      <c r="E2198" t="inlineStr">
        <is>
          <t>VILHELMINA</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45971</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45971</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28870-2024</t>
        </is>
      </c>
      <c r="B2201" s="1" t="n">
        <v>45478.94733796296</v>
      </c>
      <c r="C2201" s="1" t="n">
        <v>45971</v>
      </c>
      <c r="D2201" t="inlineStr">
        <is>
          <t>VÄSTERBOTTENS LÄN</t>
        </is>
      </c>
      <c r="E2201" t="inlineStr">
        <is>
          <t>VILHELMINA</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28889-2024</t>
        </is>
      </c>
      <c r="B2202" s="1" t="n">
        <v>45479.9489699074</v>
      </c>
      <c r="C2202" s="1" t="n">
        <v>45971</v>
      </c>
      <c r="D2202" t="inlineStr">
        <is>
          <t>VÄSTERBOTTENS LÄN</t>
        </is>
      </c>
      <c r="E2202" t="inlineStr">
        <is>
          <t>ÅSELE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16003-2024</t>
        </is>
      </c>
      <c r="B2203" s="1" t="n">
        <v>45405</v>
      </c>
      <c r="C2203" s="1" t="n">
        <v>45971</v>
      </c>
      <c r="D2203" t="inlineStr">
        <is>
          <t>VÄSTERBOTTENS LÄN</t>
        </is>
      </c>
      <c r="E2203" t="inlineStr">
        <is>
          <t>UMEÅ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1666-2023</t>
        </is>
      </c>
      <c r="B2204" s="1" t="n">
        <v>44938.36417824074</v>
      </c>
      <c r="C2204" s="1" t="n">
        <v>45971</v>
      </c>
      <c r="D2204" t="inlineStr">
        <is>
          <t>VÄSTERBOTTENS LÄN</t>
        </is>
      </c>
      <c r="E2204" t="inlineStr">
        <is>
          <t>SKELLEFTEÅ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17496-2023</t>
        </is>
      </c>
      <c r="B2205" s="1" t="n">
        <v>45034</v>
      </c>
      <c r="C2205" s="1" t="n">
        <v>45971</v>
      </c>
      <c r="D2205" t="inlineStr">
        <is>
          <t>VÄSTERBOTTENS LÄN</t>
        </is>
      </c>
      <c r="E2205" t="inlineStr">
        <is>
          <t>NORDMALING</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4056-2023</t>
        </is>
      </c>
      <c r="B2206" s="1" t="n">
        <v>44952</v>
      </c>
      <c r="C2206" s="1" t="n">
        <v>45971</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41076-2022</t>
        </is>
      </c>
      <c r="B2207" s="1" t="n">
        <v>44825</v>
      </c>
      <c r="C2207" s="1" t="n">
        <v>45971</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41213-2022</t>
        </is>
      </c>
      <c r="B2208" s="1" t="n">
        <v>44825</v>
      </c>
      <c r="C2208" s="1" t="n">
        <v>45971</v>
      </c>
      <c r="D2208" t="inlineStr">
        <is>
          <t>VÄSTERBOTTENS LÄN</t>
        </is>
      </c>
      <c r="E2208" t="inlineStr">
        <is>
          <t>UMEÅ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45965-2023</t>
        </is>
      </c>
      <c r="B2209" s="1" t="n">
        <v>45195.94755787037</v>
      </c>
      <c r="C2209" s="1" t="n">
        <v>45971</v>
      </c>
      <c r="D2209" t="inlineStr">
        <is>
          <t>VÄSTERBOTTENS LÄN</t>
        </is>
      </c>
      <c r="E2209" t="inlineStr">
        <is>
          <t>VILHELMINA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8399-2022</t>
        </is>
      </c>
      <c r="B2210" s="1" t="n">
        <v>44610</v>
      </c>
      <c r="C2210" s="1" t="n">
        <v>45971</v>
      </c>
      <c r="D2210" t="inlineStr">
        <is>
          <t>VÄSTERBOTTENS LÄN</t>
        </is>
      </c>
      <c r="E2210" t="inlineStr">
        <is>
          <t>VÄNNÄS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61554-2021</t>
        </is>
      </c>
      <c r="B2211" s="1" t="n">
        <v>44501.41797453703</v>
      </c>
      <c r="C2211" s="1" t="n">
        <v>45971</v>
      </c>
      <c r="D2211" t="inlineStr">
        <is>
          <t>VÄSTERBOTTENS LÄN</t>
        </is>
      </c>
      <c r="E2211" t="inlineStr">
        <is>
          <t>LYCKSELE</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58284-2021</t>
        </is>
      </c>
      <c r="B2212" s="1" t="n">
        <v>44487.97035879629</v>
      </c>
      <c r="C2212" s="1" t="n">
        <v>45971</v>
      </c>
      <c r="D2212" t="inlineStr">
        <is>
          <t>VÄSTERBOTTENS LÄN</t>
        </is>
      </c>
      <c r="E2212" t="inlineStr">
        <is>
          <t>UMEÅ</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7907-2022</t>
        </is>
      </c>
      <c r="B2213" s="1" t="n">
        <v>44608.6668287037</v>
      </c>
      <c r="C2213" s="1" t="n">
        <v>45971</v>
      </c>
      <c r="D2213" t="inlineStr">
        <is>
          <t>VÄSTERBOTTENS LÄN</t>
        </is>
      </c>
      <c r="E2213" t="inlineStr">
        <is>
          <t>BJURHOLM</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39186-2021</t>
        </is>
      </c>
      <c r="B2214" s="1" t="n">
        <v>44412</v>
      </c>
      <c r="C2214" s="1" t="n">
        <v>45971</v>
      </c>
      <c r="D2214" t="inlineStr">
        <is>
          <t>VÄSTERBOTTENS LÄN</t>
        </is>
      </c>
      <c r="E2214" t="inlineStr">
        <is>
          <t>VILHELMINA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56952-2024</t>
        </is>
      </c>
      <c r="B2215" s="1" t="n">
        <v>45628</v>
      </c>
      <c r="C2215" s="1" t="n">
        <v>45971</v>
      </c>
      <c r="D2215" t="inlineStr">
        <is>
          <t>VÄSTERBOTTENS LÄN</t>
        </is>
      </c>
      <c r="E2215" t="inlineStr">
        <is>
          <t>SKELLEFTEÅ</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56983-2024</t>
        </is>
      </c>
      <c r="B2216" s="1" t="n">
        <v>45628.69109953703</v>
      </c>
      <c r="C2216" s="1" t="n">
        <v>45971</v>
      </c>
      <c r="D2216" t="inlineStr">
        <is>
          <t>VÄSTERBOTTENS LÄN</t>
        </is>
      </c>
      <c r="E2216" t="inlineStr">
        <is>
          <t>SKELLEFTEÅ</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27104-2022</t>
        </is>
      </c>
      <c r="B2217" s="1" t="n">
        <v>44741</v>
      </c>
      <c r="C2217" s="1" t="n">
        <v>45971</v>
      </c>
      <c r="D2217" t="inlineStr">
        <is>
          <t>VÄSTERBOTTENS LÄN</t>
        </is>
      </c>
      <c r="E2217" t="inlineStr">
        <is>
          <t>UMEÅ</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38578-2022</t>
        </is>
      </c>
      <c r="B2218" s="1" t="n">
        <v>44813.48444444445</v>
      </c>
      <c r="C2218" s="1" t="n">
        <v>45971</v>
      </c>
      <c r="D2218" t="inlineStr">
        <is>
          <t>VÄSTERBOTTENS LÄN</t>
        </is>
      </c>
      <c r="E2218" t="inlineStr">
        <is>
          <t>SKELLEFTEÅ</t>
        </is>
      </c>
      <c r="F2218" t="inlineStr">
        <is>
          <t>Holmen skog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46282-2024</t>
        </is>
      </c>
      <c r="B2219" s="1" t="n">
        <v>45581.6378587963</v>
      </c>
      <c r="C2219" s="1" t="n">
        <v>45971</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66250-2021</t>
        </is>
      </c>
      <c r="B2220" s="1" t="n">
        <v>44518.42975694445</v>
      </c>
      <c r="C2220" s="1" t="n">
        <v>45971</v>
      </c>
      <c r="D2220" t="inlineStr">
        <is>
          <t>VÄSTERBOTTENS LÄN</t>
        </is>
      </c>
      <c r="E2220" t="inlineStr">
        <is>
          <t>SKELLEFTEÅ</t>
        </is>
      </c>
      <c r="F2220" t="inlineStr">
        <is>
          <t>Holmen skog AB</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19538-2021</t>
        </is>
      </c>
      <c r="B2221" s="1" t="n">
        <v>44309</v>
      </c>
      <c r="C2221" s="1" t="n">
        <v>45971</v>
      </c>
      <c r="D2221" t="inlineStr">
        <is>
          <t>VÄSTERBOTTENS LÄN</t>
        </is>
      </c>
      <c r="E2221" t="inlineStr">
        <is>
          <t>SKELLEFTEÅ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26130-2021</t>
        </is>
      </c>
      <c r="B2222" s="1" t="n">
        <v>44345.93436342593</v>
      </c>
      <c r="C2222" s="1" t="n">
        <v>45971</v>
      </c>
      <c r="D2222" t="inlineStr">
        <is>
          <t>VÄSTERBOTTENS LÄN</t>
        </is>
      </c>
      <c r="E2222" t="inlineStr">
        <is>
          <t>SKELLEFTEÅ</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21814-2022</t>
        </is>
      </c>
      <c r="B2223" s="1" t="n">
        <v>44708</v>
      </c>
      <c r="C2223" s="1" t="n">
        <v>45971</v>
      </c>
      <c r="D2223" t="inlineStr">
        <is>
          <t>VÄSTERBOTTENS LÄN</t>
        </is>
      </c>
      <c r="E2223" t="inlineStr">
        <is>
          <t>VILHELMINA</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57869-2023</t>
        </is>
      </c>
      <c r="B2224" s="1" t="n">
        <v>45244</v>
      </c>
      <c r="C2224" s="1" t="n">
        <v>45971</v>
      </c>
      <c r="D2224" t="inlineStr">
        <is>
          <t>VÄSTERBOTTENS LÄN</t>
        </is>
      </c>
      <c r="E2224" t="inlineStr">
        <is>
          <t>NORSJÖ</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44632-2021</t>
        </is>
      </c>
      <c r="B2225" s="1" t="n">
        <v>44437.3965625</v>
      </c>
      <c r="C2225" s="1" t="n">
        <v>45971</v>
      </c>
      <c r="D2225" t="inlineStr">
        <is>
          <t>VÄSTERBOTTENS LÄN</t>
        </is>
      </c>
      <c r="E2225" t="inlineStr">
        <is>
          <t>LYCKSELE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8003-2021</t>
        </is>
      </c>
      <c r="B2226" s="1" t="n">
        <v>44243</v>
      </c>
      <c r="C2226" s="1" t="n">
        <v>45971</v>
      </c>
      <c r="D2226" t="inlineStr">
        <is>
          <t>VÄSTERBOTTENS LÄN</t>
        </is>
      </c>
      <c r="E2226" t="inlineStr">
        <is>
          <t>VILHELMINA</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43544-2022</t>
        </is>
      </c>
      <c r="B2227" s="1" t="n">
        <v>44837.42186342592</v>
      </c>
      <c r="C2227" s="1" t="n">
        <v>45971</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37901-2021</t>
        </is>
      </c>
      <c r="B2228" s="1" t="n">
        <v>44403</v>
      </c>
      <c r="C2228" s="1" t="n">
        <v>45971</v>
      </c>
      <c r="D2228" t="inlineStr">
        <is>
          <t>VÄSTERBOTTENS LÄN</t>
        </is>
      </c>
      <c r="E2228" t="inlineStr">
        <is>
          <t>NORDMALING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2590-2022</t>
        </is>
      </c>
      <c r="B2229" s="1" t="n">
        <v>44580</v>
      </c>
      <c r="C2229" s="1" t="n">
        <v>45971</v>
      </c>
      <c r="D2229" t="inlineStr">
        <is>
          <t>VÄSTERBOTTENS LÄN</t>
        </is>
      </c>
      <c r="E2229" t="inlineStr">
        <is>
          <t>ROBERTSFORS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45881-2022</t>
        </is>
      </c>
      <c r="B2230" s="1" t="n">
        <v>44846</v>
      </c>
      <c r="C2230" s="1" t="n">
        <v>45971</v>
      </c>
      <c r="D2230" t="inlineStr">
        <is>
          <t>VÄSTERBOTTENS LÄN</t>
        </is>
      </c>
      <c r="E2230" t="inlineStr">
        <is>
          <t>UMEÅ</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31722-2021</t>
        </is>
      </c>
      <c r="B2231" s="1" t="n">
        <v>44369.91984953704</v>
      </c>
      <c r="C2231" s="1" t="n">
        <v>45971</v>
      </c>
      <c r="D2231" t="inlineStr">
        <is>
          <t>VÄSTERBOTTENS LÄN</t>
        </is>
      </c>
      <c r="E2231" t="inlineStr">
        <is>
          <t>VILHELMINA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38559-2021</t>
        </is>
      </c>
      <c r="B2232" s="1" t="n">
        <v>44407</v>
      </c>
      <c r="C2232" s="1" t="n">
        <v>45971</v>
      </c>
      <c r="D2232" t="inlineStr">
        <is>
          <t>VÄSTERBOTTENS LÄN</t>
        </is>
      </c>
      <c r="E2232" t="inlineStr">
        <is>
          <t>UMEÅ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38560-2021</t>
        </is>
      </c>
      <c r="B2233" s="1" t="n">
        <v>44407</v>
      </c>
      <c r="C2233" s="1" t="n">
        <v>45971</v>
      </c>
      <c r="D2233" t="inlineStr">
        <is>
          <t>VÄSTERBOTTENS LÄN</t>
        </is>
      </c>
      <c r="E2233" t="inlineStr">
        <is>
          <t>UMEÅ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60672-2022</t>
        </is>
      </c>
      <c r="B2234" s="1" t="n">
        <v>44911.93910879629</v>
      </c>
      <c r="C2234" s="1" t="n">
        <v>45971</v>
      </c>
      <c r="D2234" t="inlineStr">
        <is>
          <t>VÄSTERBOTTENS LÄN</t>
        </is>
      </c>
      <c r="E2234" t="inlineStr">
        <is>
          <t>VINDELN</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39192-2021</t>
        </is>
      </c>
      <c r="B2235" s="1" t="n">
        <v>44413.34373842592</v>
      </c>
      <c r="C2235" s="1" t="n">
        <v>45971</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72488-2021</t>
        </is>
      </c>
      <c r="B2236" s="1" t="n">
        <v>44545.9203587963</v>
      </c>
      <c r="C2236" s="1" t="n">
        <v>45971</v>
      </c>
      <c r="D2236" t="inlineStr">
        <is>
          <t>VÄSTERBOTTENS LÄN</t>
        </is>
      </c>
      <c r="E2236" t="inlineStr">
        <is>
          <t>VILHELMINA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72493-2021</t>
        </is>
      </c>
      <c r="B2237" s="1" t="n">
        <v>44545</v>
      </c>
      <c r="C2237" s="1" t="n">
        <v>45971</v>
      </c>
      <c r="D2237" t="inlineStr">
        <is>
          <t>VÄSTERBOTTENS LÄN</t>
        </is>
      </c>
      <c r="E2237" t="inlineStr">
        <is>
          <t>VILHELMINA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18520-2023</t>
        </is>
      </c>
      <c r="B2238" s="1" t="n">
        <v>45041</v>
      </c>
      <c r="C2238" s="1" t="n">
        <v>45971</v>
      </c>
      <c r="D2238" t="inlineStr">
        <is>
          <t>VÄSTERBOTTENS LÄN</t>
        </is>
      </c>
      <c r="E2238" t="inlineStr">
        <is>
          <t>UMEÅ</t>
        </is>
      </c>
      <c r="F2238" t="inlineStr">
        <is>
          <t>Kommuner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15899-2023</t>
        </is>
      </c>
      <c r="B2239" s="1" t="n">
        <v>45021</v>
      </c>
      <c r="C2239" s="1" t="n">
        <v>45971</v>
      </c>
      <c r="D2239" t="inlineStr">
        <is>
          <t>VÄSTERBOTTENS LÄN</t>
        </is>
      </c>
      <c r="E2239" t="inlineStr">
        <is>
          <t>SKELLEFTEÅ</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24207-2021</t>
        </is>
      </c>
      <c r="B2240" s="1" t="n">
        <v>44336</v>
      </c>
      <c r="C2240" s="1" t="n">
        <v>45971</v>
      </c>
      <c r="D2240" t="inlineStr">
        <is>
          <t>VÄSTERBOTTENS LÄN</t>
        </is>
      </c>
      <c r="E2240" t="inlineStr">
        <is>
          <t>DOROTEA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12942-2022</t>
        </is>
      </c>
      <c r="B2241" s="1" t="n">
        <v>44642.92290509259</v>
      </c>
      <c r="C2241" s="1" t="n">
        <v>45971</v>
      </c>
      <c r="D2241" t="inlineStr">
        <is>
          <t>VÄSTERBOTTENS LÄN</t>
        </is>
      </c>
      <c r="E2241" t="inlineStr">
        <is>
          <t>UMEÅ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70817-2021</t>
        </is>
      </c>
      <c r="B2242" s="1" t="n">
        <v>44537</v>
      </c>
      <c r="C2242" s="1" t="n">
        <v>45971</v>
      </c>
      <c r="D2242" t="inlineStr">
        <is>
          <t>VÄSTERBOTTENS LÄN</t>
        </is>
      </c>
      <c r="E2242" t="inlineStr">
        <is>
          <t>LYCKSELE</t>
        </is>
      </c>
      <c r="F2242" t="inlineStr">
        <is>
          <t>Naturvårdsverket</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13693-2022</t>
        </is>
      </c>
      <c r="B2243" s="1" t="n">
        <v>44648</v>
      </c>
      <c r="C2243" s="1" t="n">
        <v>45971</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17471-2022</t>
        </is>
      </c>
      <c r="B2244" s="1" t="n">
        <v>44679</v>
      </c>
      <c r="C2244" s="1" t="n">
        <v>45971</v>
      </c>
      <c r="D2244" t="inlineStr">
        <is>
          <t>VÄSTERBOTTENS LÄN</t>
        </is>
      </c>
      <c r="E2244" t="inlineStr">
        <is>
          <t>STORUMAN</t>
        </is>
      </c>
      <c r="G2244" t="n">
        <v>59.1</v>
      </c>
      <c r="H2244" t="n">
        <v>0</v>
      </c>
      <c r="I2244" t="n">
        <v>0</v>
      </c>
      <c r="J2244" t="n">
        <v>0</v>
      </c>
      <c r="K2244" t="n">
        <v>0</v>
      </c>
      <c r="L2244" t="n">
        <v>0</v>
      </c>
      <c r="M2244" t="n">
        <v>0</v>
      </c>
      <c r="N2244" t="n">
        <v>0</v>
      </c>
      <c r="O2244" t="n">
        <v>0</v>
      </c>
      <c r="P2244" t="n">
        <v>0</v>
      </c>
      <c r="Q2244" t="n">
        <v>0</v>
      </c>
      <c r="R2244" s="2" t="inlineStr"/>
    </row>
    <row r="2245" ht="15" customHeight="1">
      <c r="A2245" t="inlineStr">
        <is>
          <t>A 7512-2023</t>
        </is>
      </c>
      <c r="B2245" s="1" t="n">
        <v>44971.93078703704</v>
      </c>
      <c r="C2245" s="1" t="n">
        <v>45971</v>
      </c>
      <c r="D2245" t="inlineStr">
        <is>
          <t>VÄSTERBOTTENS LÄN</t>
        </is>
      </c>
      <c r="E2245" t="inlineStr">
        <is>
          <t>ÅSELE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18527-2023</t>
        </is>
      </c>
      <c r="B2246" s="1" t="n">
        <v>45041</v>
      </c>
      <c r="C2246" s="1" t="n">
        <v>45971</v>
      </c>
      <c r="D2246" t="inlineStr">
        <is>
          <t>VÄSTERBOTTENS LÄN</t>
        </is>
      </c>
      <c r="E2246" t="inlineStr">
        <is>
          <t>UMEÅ</t>
        </is>
      </c>
      <c r="F2246" t="inlineStr">
        <is>
          <t>Kommuner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61730-2023</t>
        </is>
      </c>
      <c r="B2247" s="1" t="n">
        <v>45264</v>
      </c>
      <c r="C2247" s="1" t="n">
        <v>45971</v>
      </c>
      <c r="D2247" t="inlineStr">
        <is>
          <t>VÄSTERBOTTENS LÄN</t>
        </is>
      </c>
      <c r="E2247" t="inlineStr">
        <is>
          <t>SKELLEFTEÅ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19230-2023</t>
        </is>
      </c>
      <c r="B2248" s="1" t="n">
        <v>45048</v>
      </c>
      <c r="C2248" s="1" t="n">
        <v>45971</v>
      </c>
      <c r="D2248" t="inlineStr">
        <is>
          <t>VÄSTERBOTTENS LÄN</t>
        </is>
      </c>
      <c r="E2248" t="inlineStr">
        <is>
          <t>NORDMALING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12797-2023</t>
        </is>
      </c>
      <c r="B2249" s="1" t="n">
        <v>45000</v>
      </c>
      <c r="C2249" s="1" t="n">
        <v>45971</v>
      </c>
      <c r="D2249" t="inlineStr">
        <is>
          <t>VÄSTERBOTTENS LÄN</t>
        </is>
      </c>
      <c r="E2249" t="inlineStr">
        <is>
          <t>MALÅ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65771-2021</t>
        </is>
      </c>
      <c r="B2250" s="1" t="n">
        <v>44516</v>
      </c>
      <c r="C2250" s="1" t="n">
        <v>45971</v>
      </c>
      <c r="D2250" t="inlineStr">
        <is>
          <t>VÄSTERBOTTENS LÄN</t>
        </is>
      </c>
      <c r="E2250" t="inlineStr">
        <is>
          <t>ROBERTSFORS</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62038-2021</t>
        </is>
      </c>
      <c r="B2251" s="1" t="n">
        <v>44501</v>
      </c>
      <c r="C2251" s="1" t="n">
        <v>45971</v>
      </c>
      <c r="D2251" t="inlineStr">
        <is>
          <t>VÄSTERBOTTENS LÄN</t>
        </is>
      </c>
      <c r="E2251" t="inlineStr">
        <is>
          <t>SORSELE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12065-2022</t>
        </is>
      </c>
      <c r="B2252" s="1" t="n">
        <v>44637</v>
      </c>
      <c r="C2252" s="1" t="n">
        <v>45971</v>
      </c>
      <c r="D2252" t="inlineStr">
        <is>
          <t>VÄSTERBOTTENS LÄN</t>
        </is>
      </c>
      <c r="E2252" t="inlineStr">
        <is>
          <t>VILHELMINA</t>
        </is>
      </c>
      <c r="G2252" t="n">
        <v>27.7</v>
      </c>
      <c r="H2252" t="n">
        <v>0</v>
      </c>
      <c r="I2252" t="n">
        <v>0</v>
      </c>
      <c r="J2252" t="n">
        <v>0</v>
      </c>
      <c r="K2252" t="n">
        <v>0</v>
      </c>
      <c r="L2252" t="n">
        <v>0</v>
      </c>
      <c r="M2252" t="n">
        <v>0</v>
      </c>
      <c r="N2252" t="n">
        <v>0</v>
      </c>
      <c r="O2252" t="n">
        <v>0</v>
      </c>
      <c r="P2252" t="n">
        <v>0</v>
      </c>
      <c r="Q2252" t="n">
        <v>0</v>
      </c>
      <c r="R2252" s="2" t="inlineStr"/>
    </row>
    <row r="2253" ht="15" customHeight="1">
      <c r="A2253" t="inlineStr">
        <is>
          <t>A 31782-2022</t>
        </is>
      </c>
      <c r="B2253" s="1" t="n">
        <v>44776</v>
      </c>
      <c r="C2253" s="1" t="n">
        <v>45971</v>
      </c>
      <c r="D2253" t="inlineStr">
        <is>
          <t>VÄSTERBOTTENS LÄN</t>
        </is>
      </c>
      <c r="E2253" t="inlineStr">
        <is>
          <t>BJURHOLM</t>
        </is>
      </c>
      <c r="F2253" t="inlineStr">
        <is>
          <t>Holmen skog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32359-2022</t>
        </is>
      </c>
      <c r="B2254" s="1" t="n">
        <v>44781</v>
      </c>
      <c r="C2254" s="1" t="n">
        <v>45971</v>
      </c>
      <c r="D2254" t="inlineStr">
        <is>
          <t>VÄSTERBOTTENS LÄN</t>
        </is>
      </c>
      <c r="E2254" t="inlineStr">
        <is>
          <t>ÅSELE</t>
        </is>
      </c>
      <c r="F2254" t="inlineStr">
        <is>
          <t>SCA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26788-2023</t>
        </is>
      </c>
      <c r="B2255" s="1" t="n">
        <v>45090</v>
      </c>
      <c r="C2255" s="1" t="n">
        <v>45971</v>
      </c>
      <c r="D2255" t="inlineStr">
        <is>
          <t>VÄSTERBOTTENS LÄN</t>
        </is>
      </c>
      <c r="E2255" t="inlineStr">
        <is>
          <t>ROBERTSFORS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20594-2023</t>
        </is>
      </c>
      <c r="B2256" s="1" t="n">
        <v>45057.9408912037</v>
      </c>
      <c r="C2256" s="1" t="n">
        <v>45971</v>
      </c>
      <c r="D2256" t="inlineStr">
        <is>
          <t>VÄSTERBOTTENS LÄN</t>
        </is>
      </c>
      <c r="E2256" t="inlineStr">
        <is>
          <t>BJURHOLM</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52080-2021</t>
        </is>
      </c>
      <c r="B2257" s="1" t="n">
        <v>44463</v>
      </c>
      <c r="C2257" s="1" t="n">
        <v>45971</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35745-2021</t>
        </is>
      </c>
      <c r="B2258" s="1" t="n">
        <v>44386.56488425926</v>
      </c>
      <c r="C2258" s="1" t="n">
        <v>45971</v>
      </c>
      <c r="D2258" t="inlineStr">
        <is>
          <t>VÄSTERBOTTENS LÄN</t>
        </is>
      </c>
      <c r="E2258" t="inlineStr">
        <is>
          <t>ÅSELE</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60317-2021</t>
        </is>
      </c>
      <c r="B2259" s="1" t="n">
        <v>44495.94003472223</v>
      </c>
      <c r="C2259" s="1" t="n">
        <v>45971</v>
      </c>
      <c r="D2259" t="inlineStr">
        <is>
          <t>VÄSTERBOTTENS LÄN</t>
        </is>
      </c>
      <c r="E2259" t="inlineStr">
        <is>
          <t>VILHELMINA</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60413-2021</t>
        </is>
      </c>
      <c r="B2260" s="1" t="n">
        <v>44496.39971064815</v>
      </c>
      <c r="C2260" s="1" t="n">
        <v>45971</v>
      </c>
      <c r="D2260" t="inlineStr">
        <is>
          <t>VÄSTERBOTTENS LÄN</t>
        </is>
      </c>
      <c r="E2260" t="inlineStr">
        <is>
          <t>ÅSELE</t>
        </is>
      </c>
      <c r="F2260" t="inlineStr">
        <is>
          <t>Holmen skog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28001-2022</t>
        </is>
      </c>
      <c r="B2261" s="1" t="n">
        <v>44743</v>
      </c>
      <c r="C2261" s="1" t="n">
        <v>45971</v>
      </c>
      <c r="D2261" t="inlineStr">
        <is>
          <t>VÄSTERBOTTENS LÄN</t>
        </is>
      </c>
      <c r="E2261" t="inlineStr">
        <is>
          <t>STORUMAN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1671-2022</t>
        </is>
      </c>
      <c r="B2262" s="1" t="n">
        <v>44574</v>
      </c>
      <c r="C2262" s="1" t="n">
        <v>45971</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35465-2021</t>
        </is>
      </c>
      <c r="B2263" s="1" t="n">
        <v>44385</v>
      </c>
      <c r="C2263" s="1" t="n">
        <v>45971</v>
      </c>
      <c r="D2263" t="inlineStr">
        <is>
          <t>VÄSTERBOTTENS LÄN</t>
        </is>
      </c>
      <c r="E2263" t="inlineStr">
        <is>
          <t>UMEÅ</t>
        </is>
      </c>
      <c r="F2263" t="inlineStr">
        <is>
          <t>Sveaskog</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43974-2024</t>
        </is>
      </c>
      <c r="B2264" s="1" t="n">
        <v>45572</v>
      </c>
      <c r="C2264" s="1" t="n">
        <v>45971</v>
      </c>
      <c r="D2264" t="inlineStr">
        <is>
          <t>VÄSTERBOTTENS LÄN</t>
        </is>
      </c>
      <c r="E2264" t="inlineStr">
        <is>
          <t>UMEÅ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23325-2023</t>
        </is>
      </c>
      <c r="B2265" s="1" t="n">
        <v>45076</v>
      </c>
      <c r="C2265" s="1" t="n">
        <v>45971</v>
      </c>
      <c r="D2265" t="inlineStr">
        <is>
          <t>VÄSTERBOTTENS LÄN</t>
        </is>
      </c>
      <c r="E2265" t="inlineStr">
        <is>
          <t>BJURHOLM</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44375-2022</t>
        </is>
      </c>
      <c r="B2266" s="1" t="n">
        <v>44838</v>
      </c>
      <c r="C2266" s="1" t="n">
        <v>45971</v>
      </c>
      <c r="D2266" t="inlineStr">
        <is>
          <t>VÄSTERBOTTENS LÄN</t>
        </is>
      </c>
      <c r="E2266" t="inlineStr">
        <is>
          <t>UMEÅ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53127-2024</t>
        </is>
      </c>
      <c r="B2267" s="1" t="n">
        <v>45611</v>
      </c>
      <c r="C2267" s="1" t="n">
        <v>45971</v>
      </c>
      <c r="D2267" t="inlineStr">
        <is>
          <t>VÄSTERBOTTENS LÄN</t>
        </is>
      </c>
      <c r="E2267" t="inlineStr">
        <is>
          <t>BJURHOLM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34492-2024</t>
        </is>
      </c>
      <c r="B2268" s="1" t="n">
        <v>45525.6207175926</v>
      </c>
      <c r="C2268" s="1" t="n">
        <v>45971</v>
      </c>
      <c r="D2268" t="inlineStr">
        <is>
          <t>VÄSTERBOTTENS LÄN</t>
        </is>
      </c>
      <c r="E2268" t="inlineStr">
        <is>
          <t>NORDMALING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40123-2022</t>
        </is>
      </c>
      <c r="B2269" s="1" t="n">
        <v>44820</v>
      </c>
      <c r="C2269" s="1" t="n">
        <v>45971</v>
      </c>
      <c r="D2269" t="inlineStr">
        <is>
          <t>VÄSTERBOTTENS LÄN</t>
        </is>
      </c>
      <c r="E2269" t="inlineStr">
        <is>
          <t>VINDELN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31954-2022</t>
        </is>
      </c>
      <c r="B2270" s="1" t="n">
        <v>44777.92450231482</v>
      </c>
      <c r="C2270" s="1" t="n">
        <v>45971</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12629-2022</t>
        </is>
      </c>
      <c r="B2271" s="1" t="n">
        <v>44641</v>
      </c>
      <c r="C2271" s="1" t="n">
        <v>45971</v>
      </c>
      <c r="D2271" t="inlineStr">
        <is>
          <t>VÄSTERBOTTENS LÄN</t>
        </is>
      </c>
      <c r="E2271" t="inlineStr">
        <is>
          <t>ROBERTSFORS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1275-2025</t>
        </is>
      </c>
      <c r="B2272" s="1" t="n">
        <v>45666</v>
      </c>
      <c r="C2272" s="1" t="n">
        <v>45971</v>
      </c>
      <c r="D2272" t="inlineStr">
        <is>
          <t>VÄSTERBOTTENS LÄN</t>
        </is>
      </c>
      <c r="E2272" t="inlineStr">
        <is>
          <t>ÅSELE</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33372-2024</t>
        </is>
      </c>
      <c r="B2273" s="1" t="n">
        <v>45519</v>
      </c>
      <c r="C2273" s="1" t="n">
        <v>45971</v>
      </c>
      <c r="D2273" t="inlineStr">
        <is>
          <t>VÄSTERBOTTENS LÄN</t>
        </is>
      </c>
      <c r="E2273" t="inlineStr">
        <is>
          <t>DOROTEA</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15395-2023</t>
        </is>
      </c>
      <c r="B2274" s="1" t="n">
        <v>45019.65273148148</v>
      </c>
      <c r="C2274" s="1" t="n">
        <v>45971</v>
      </c>
      <c r="D2274" t="inlineStr">
        <is>
          <t>VÄSTERBOTTENS LÄN</t>
        </is>
      </c>
      <c r="E2274" t="inlineStr">
        <is>
          <t>NORSJÖ</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41250-2021</t>
        </is>
      </c>
      <c r="B2275" s="1" t="n">
        <v>44424</v>
      </c>
      <c r="C2275" s="1" t="n">
        <v>45971</v>
      </c>
      <c r="D2275" t="inlineStr">
        <is>
          <t>VÄSTERBOTTENS LÄN</t>
        </is>
      </c>
      <c r="E2275" t="inlineStr">
        <is>
          <t>NORSJÖ</t>
        </is>
      </c>
      <c r="F2275" t="inlineStr">
        <is>
          <t>Kommuner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10051-2021</t>
        </is>
      </c>
      <c r="B2276" s="1" t="n">
        <v>44256</v>
      </c>
      <c r="C2276" s="1" t="n">
        <v>45971</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21058-2022</t>
        </is>
      </c>
      <c r="B2277" s="1" t="n">
        <v>44704</v>
      </c>
      <c r="C2277" s="1" t="n">
        <v>45971</v>
      </c>
      <c r="D2277" t="inlineStr">
        <is>
          <t>VÄSTERBOTTENS LÄN</t>
        </is>
      </c>
      <c r="E2277" t="inlineStr">
        <is>
          <t>LYCKSELE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54727-2024</t>
        </is>
      </c>
      <c r="B2278" s="1" t="n">
        <v>45618.43804398148</v>
      </c>
      <c r="C2278" s="1" t="n">
        <v>45971</v>
      </c>
      <c r="D2278" t="inlineStr">
        <is>
          <t>VÄSTERBOTTENS LÄN</t>
        </is>
      </c>
      <c r="E2278" t="inlineStr">
        <is>
          <t>VILHELMINA</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7210-2022</t>
        </is>
      </c>
      <c r="B2279" s="1" t="n">
        <v>44606</v>
      </c>
      <c r="C2279" s="1" t="n">
        <v>45971</v>
      </c>
      <c r="D2279" t="inlineStr">
        <is>
          <t>VÄSTERBOTTENS LÄN</t>
        </is>
      </c>
      <c r="E2279" t="inlineStr">
        <is>
          <t>UMEÅ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54804-2024</t>
        </is>
      </c>
      <c r="B2280" s="1" t="n">
        <v>45618</v>
      </c>
      <c r="C2280" s="1" t="n">
        <v>45971</v>
      </c>
      <c r="D2280" t="inlineStr">
        <is>
          <t>VÄSTERBOTTENS LÄN</t>
        </is>
      </c>
      <c r="E2280" t="inlineStr">
        <is>
          <t>VILHELMINA</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8648-2023</t>
        </is>
      </c>
      <c r="B2281" s="1" t="n">
        <v>44977.98358796296</v>
      </c>
      <c r="C2281" s="1" t="n">
        <v>45971</v>
      </c>
      <c r="D2281" t="inlineStr">
        <is>
          <t>VÄSTERBOTTENS LÄN</t>
        </is>
      </c>
      <c r="E2281" t="inlineStr">
        <is>
          <t>SKELLEFTEÅ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24478-2022</t>
        </is>
      </c>
      <c r="B2282" s="1" t="n">
        <v>44726</v>
      </c>
      <c r="C2282" s="1" t="n">
        <v>45971</v>
      </c>
      <c r="D2282" t="inlineStr">
        <is>
          <t>VÄSTERBOTTENS LÄN</t>
        </is>
      </c>
      <c r="E2282" t="inlineStr">
        <is>
          <t>LYCKSELE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38684-2021</t>
        </is>
      </c>
      <c r="B2283" s="1" t="n">
        <v>44407</v>
      </c>
      <c r="C2283" s="1" t="n">
        <v>45971</v>
      </c>
      <c r="D2283" t="inlineStr">
        <is>
          <t>VÄSTERBOTTENS LÄN</t>
        </is>
      </c>
      <c r="E2283" t="inlineStr">
        <is>
          <t>UMEÅ</t>
        </is>
      </c>
      <c r="F2283" t="inlineStr">
        <is>
          <t>Kommuner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45971</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1733-2025</t>
        </is>
      </c>
      <c r="B2285" s="1" t="n">
        <v>45671</v>
      </c>
      <c r="C2285" s="1" t="n">
        <v>45971</v>
      </c>
      <c r="D2285" t="inlineStr">
        <is>
          <t>VÄSTERBOTTENS LÄN</t>
        </is>
      </c>
      <c r="E2285" t="inlineStr">
        <is>
          <t>ÅSELE</t>
        </is>
      </c>
      <c r="F2285" t="inlineStr">
        <is>
          <t>Sveaskog</t>
        </is>
      </c>
      <c r="G2285" t="n">
        <v>18.2</v>
      </c>
      <c r="H2285" t="n">
        <v>0</v>
      </c>
      <c r="I2285" t="n">
        <v>0</v>
      </c>
      <c r="J2285" t="n">
        <v>0</v>
      </c>
      <c r="K2285" t="n">
        <v>0</v>
      </c>
      <c r="L2285" t="n">
        <v>0</v>
      </c>
      <c r="M2285" t="n">
        <v>0</v>
      </c>
      <c r="N2285" t="n">
        <v>0</v>
      </c>
      <c r="O2285" t="n">
        <v>0</v>
      </c>
      <c r="P2285" t="n">
        <v>0</v>
      </c>
      <c r="Q2285" t="n">
        <v>0</v>
      </c>
      <c r="R2285" s="2" t="inlineStr"/>
    </row>
    <row r="2286" ht="15" customHeight="1">
      <c r="A2286" t="inlineStr">
        <is>
          <t>A 60162-2024</t>
        </is>
      </c>
      <c r="B2286" s="1" t="n">
        <v>45642</v>
      </c>
      <c r="C2286" s="1" t="n">
        <v>45971</v>
      </c>
      <c r="D2286" t="inlineStr">
        <is>
          <t>VÄSTERBOTTENS LÄN</t>
        </is>
      </c>
      <c r="E2286" t="inlineStr">
        <is>
          <t>DOROTEA</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57848-2021</t>
        </is>
      </c>
      <c r="B2287" s="1" t="n">
        <v>44484</v>
      </c>
      <c r="C2287" s="1" t="n">
        <v>45971</v>
      </c>
      <c r="D2287" t="inlineStr">
        <is>
          <t>VÄSTERBOTTENS LÄN</t>
        </is>
      </c>
      <c r="E2287" t="inlineStr">
        <is>
          <t>LYCKSELE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28994-2022</t>
        </is>
      </c>
      <c r="B2288" s="1" t="n">
        <v>44749</v>
      </c>
      <c r="C2288" s="1" t="n">
        <v>45971</v>
      </c>
      <c r="D2288" t="inlineStr">
        <is>
          <t>VÄSTERBOTTENS LÄN</t>
        </is>
      </c>
      <c r="E2288" t="inlineStr">
        <is>
          <t>LYCKSELE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37475-2021</t>
        </is>
      </c>
      <c r="B2289" s="1" t="n">
        <v>44398.90005787037</v>
      </c>
      <c r="C2289" s="1" t="n">
        <v>45971</v>
      </c>
      <c r="D2289" t="inlineStr">
        <is>
          <t>VÄSTERBOTTENS LÄN</t>
        </is>
      </c>
      <c r="E2289" t="inlineStr">
        <is>
          <t>VINDELN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31896-2024</t>
        </is>
      </c>
      <c r="B2290" s="1" t="n">
        <v>45509</v>
      </c>
      <c r="C2290" s="1" t="n">
        <v>45971</v>
      </c>
      <c r="D2290" t="inlineStr">
        <is>
          <t>VÄSTERBOTTENS LÄN</t>
        </is>
      </c>
      <c r="E2290" t="inlineStr">
        <is>
          <t>VILHELMINA</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19972-2025</t>
        </is>
      </c>
      <c r="B2291" s="1" t="n">
        <v>45771.68980324074</v>
      </c>
      <c r="C2291" s="1" t="n">
        <v>45971</v>
      </c>
      <c r="D2291" t="inlineStr">
        <is>
          <t>VÄSTERBOTTENS LÄN</t>
        </is>
      </c>
      <c r="E2291" t="inlineStr">
        <is>
          <t>UMEÅ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45971</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56517-2021</t>
        </is>
      </c>
      <c r="B2293" s="1" t="n">
        <v>44480</v>
      </c>
      <c r="C2293" s="1" t="n">
        <v>45971</v>
      </c>
      <c r="D2293" t="inlineStr">
        <is>
          <t>VÄSTERBOTTENS LÄN</t>
        </is>
      </c>
      <c r="E2293" t="inlineStr">
        <is>
          <t>STORUMAN</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56530-2021</t>
        </is>
      </c>
      <c r="B2294" s="1" t="n">
        <v>44480</v>
      </c>
      <c r="C2294" s="1" t="n">
        <v>45971</v>
      </c>
      <c r="D2294" t="inlineStr">
        <is>
          <t>VÄSTERBOTTENS LÄN</t>
        </is>
      </c>
      <c r="E2294" t="inlineStr">
        <is>
          <t>STORUMAN</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11092-2025</t>
        </is>
      </c>
      <c r="B2295" s="1" t="n">
        <v>45723.57417824074</v>
      </c>
      <c r="C2295" s="1" t="n">
        <v>45971</v>
      </c>
      <c r="D2295" t="inlineStr">
        <is>
          <t>VÄSTERBOTTENS LÄN</t>
        </is>
      </c>
      <c r="E2295" t="inlineStr">
        <is>
          <t>VINDELN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495-2024</t>
        </is>
      </c>
      <c r="B2296" s="1" t="n">
        <v>45299</v>
      </c>
      <c r="C2296" s="1" t="n">
        <v>45971</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17086-2023</t>
        </is>
      </c>
      <c r="B2297" s="1" t="n">
        <v>45030</v>
      </c>
      <c r="C2297" s="1" t="n">
        <v>45971</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43317-2022</t>
        </is>
      </c>
      <c r="B2298" s="1" t="n">
        <v>44834</v>
      </c>
      <c r="C2298" s="1" t="n">
        <v>45971</v>
      </c>
      <c r="D2298" t="inlineStr">
        <is>
          <t>VÄSTERBOTTENS LÄN</t>
        </is>
      </c>
      <c r="E2298" t="inlineStr">
        <is>
          <t>SORSELE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24956-2024</t>
        </is>
      </c>
      <c r="B2299" s="1" t="n">
        <v>45461</v>
      </c>
      <c r="C2299" s="1" t="n">
        <v>45971</v>
      </c>
      <c r="D2299" t="inlineStr">
        <is>
          <t>VÄSTERBOTTENS LÄN</t>
        </is>
      </c>
      <c r="E2299" t="inlineStr">
        <is>
          <t>STORUMAN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59209-2024</t>
        </is>
      </c>
      <c r="B2300" s="1" t="n">
        <v>45637.55984953704</v>
      </c>
      <c r="C2300" s="1" t="n">
        <v>45971</v>
      </c>
      <c r="D2300" t="inlineStr">
        <is>
          <t>VÄSTERBOTTENS LÄN</t>
        </is>
      </c>
      <c r="E2300" t="inlineStr">
        <is>
          <t>LYCKSELE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58916-2020</t>
        </is>
      </c>
      <c r="B2301" s="1" t="n">
        <v>44146</v>
      </c>
      <c r="C2301" s="1" t="n">
        <v>45971</v>
      </c>
      <c r="D2301" t="inlineStr">
        <is>
          <t>VÄSTERBOTTENS LÄN</t>
        </is>
      </c>
      <c r="E2301" t="inlineStr">
        <is>
          <t>UMEÅ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59031-2020</t>
        </is>
      </c>
      <c r="B2302" s="1" t="n">
        <v>44147</v>
      </c>
      <c r="C2302" s="1" t="n">
        <v>45971</v>
      </c>
      <c r="D2302" t="inlineStr">
        <is>
          <t>VÄSTERBOTTENS LÄN</t>
        </is>
      </c>
      <c r="E2302" t="inlineStr">
        <is>
          <t>NORSJÖ</t>
        </is>
      </c>
      <c r="F2302" t="inlineStr">
        <is>
          <t>Sveaskog</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59225-2024</t>
        </is>
      </c>
      <c r="B2303" s="1" t="n">
        <v>45637.57925925926</v>
      </c>
      <c r="C2303" s="1" t="n">
        <v>45971</v>
      </c>
      <c r="D2303" t="inlineStr">
        <is>
          <t>VÄSTERBOTTENS LÄN</t>
        </is>
      </c>
      <c r="E2303" t="inlineStr">
        <is>
          <t>NORDMALING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69850-2021</t>
        </is>
      </c>
      <c r="B2304" s="1" t="n">
        <v>44532</v>
      </c>
      <c r="C2304" s="1" t="n">
        <v>45971</v>
      </c>
      <c r="D2304" t="inlineStr">
        <is>
          <t>VÄSTERBOTTENS LÄN</t>
        </is>
      </c>
      <c r="E2304" t="inlineStr">
        <is>
          <t>VILHELMINA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48082-2022</t>
        </is>
      </c>
      <c r="B2305" s="1" t="n">
        <v>44855.94578703704</v>
      </c>
      <c r="C2305" s="1" t="n">
        <v>45971</v>
      </c>
      <c r="D2305" t="inlineStr">
        <is>
          <t>VÄSTERBOTTENS LÄN</t>
        </is>
      </c>
      <c r="E2305" t="inlineStr">
        <is>
          <t>SKELLEFTEÅ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48259-2023</t>
        </is>
      </c>
      <c r="B2306" s="1" t="n">
        <v>45205.53640046297</v>
      </c>
      <c r="C2306" s="1" t="n">
        <v>45971</v>
      </c>
      <c r="D2306" t="inlineStr">
        <is>
          <t>VÄSTERBOTTENS LÄN</t>
        </is>
      </c>
      <c r="E2306" t="inlineStr">
        <is>
          <t>ROBERTSFORS</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48264-2023</t>
        </is>
      </c>
      <c r="B2307" s="1" t="n">
        <v>45205.53902777778</v>
      </c>
      <c r="C2307" s="1" t="n">
        <v>45971</v>
      </c>
      <c r="D2307" t="inlineStr">
        <is>
          <t>VÄSTERBOTTENS LÄN</t>
        </is>
      </c>
      <c r="E2307" t="inlineStr">
        <is>
          <t>SKELLEFTEÅ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62583-2022</t>
        </is>
      </c>
      <c r="B2308" s="1" t="n">
        <v>44924</v>
      </c>
      <c r="C2308" s="1" t="n">
        <v>45971</v>
      </c>
      <c r="D2308" t="inlineStr">
        <is>
          <t>VÄSTERBOTTENS LÄN</t>
        </is>
      </c>
      <c r="E2308" t="inlineStr">
        <is>
          <t>VINDELN</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48353-2023</t>
        </is>
      </c>
      <c r="B2309" s="1" t="n">
        <v>45201</v>
      </c>
      <c r="C2309" s="1" t="n">
        <v>45971</v>
      </c>
      <c r="D2309" t="inlineStr">
        <is>
          <t>VÄSTERBOTTENS LÄN</t>
        </is>
      </c>
      <c r="E2309" t="inlineStr">
        <is>
          <t>MALÅ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62642-2022</t>
        </is>
      </c>
      <c r="B2310" s="1" t="n">
        <v>44925</v>
      </c>
      <c r="C2310" s="1" t="n">
        <v>45971</v>
      </c>
      <c r="D2310" t="inlineStr">
        <is>
          <t>VÄSTERBOTTENS LÄN</t>
        </is>
      </c>
      <c r="E2310" t="inlineStr">
        <is>
          <t>SKELLEFTEÅ</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48488-2023</t>
        </is>
      </c>
      <c r="B2311" s="1" t="n">
        <v>45206</v>
      </c>
      <c r="C2311" s="1" t="n">
        <v>45971</v>
      </c>
      <c r="D2311" t="inlineStr">
        <is>
          <t>VÄSTERBOTTENS LÄN</t>
        </is>
      </c>
      <c r="E2311" t="inlineStr">
        <is>
          <t>ÅSELE</t>
        </is>
      </c>
      <c r="F2311" t="inlineStr">
        <is>
          <t>SCA</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17323-2024</t>
        </is>
      </c>
      <c r="B2312" s="1" t="n">
        <v>45414</v>
      </c>
      <c r="C2312" s="1" t="n">
        <v>45971</v>
      </c>
      <c r="D2312" t="inlineStr">
        <is>
          <t>VÄSTERBOTTENS LÄN</t>
        </is>
      </c>
      <c r="E2312" t="inlineStr">
        <is>
          <t>SORSELE</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26253-2024</t>
        </is>
      </c>
      <c r="B2313" s="1" t="n">
        <v>45468.64837962963</v>
      </c>
      <c r="C2313" s="1" t="n">
        <v>45971</v>
      </c>
      <c r="D2313" t="inlineStr">
        <is>
          <t>VÄSTERBOTTENS LÄN</t>
        </is>
      </c>
      <c r="E2313" t="inlineStr">
        <is>
          <t>SKELLEFTEÅ</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10162-2025</t>
        </is>
      </c>
      <c r="B2314" s="1" t="n">
        <v>45719.64917824074</v>
      </c>
      <c r="C2314" s="1" t="n">
        <v>45971</v>
      </c>
      <c r="D2314" t="inlineStr">
        <is>
          <t>VÄSTERBOTTENS LÄN</t>
        </is>
      </c>
      <c r="E2314" t="inlineStr">
        <is>
          <t>VINDELN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26833-2022</t>
        </is>
      </c>
      <c r="B2315" s="1" t="n">
        <v>44740.47321759259</v>
      </c>
      <c r="C2315" s="1" t="n">
        <v>45971</v>
      </c>
      <c r="D2315" t="inlineStr">
        <is>
          <t>VÄSTERBOTTENS LÄN</t>
        </is>
      </c>
      <c r="E2315" t="inlineStr">
        <is>
          <t>BJURHOLM</t>
        </is>
      </c>
      <c r="F2315" t="inlineStr">
        <is>
          <t>Holmen skog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48631-2023</t>
        </is>
      </c>
      <c r="B2316" s="1" t="n">
        <v>45202</v>
      </c>
      <c r="C2316" s="1" t="n">
        <v>45971</v>
      </c>
      <c r="D2316" t="inlineStr">
        <is>
          <t>VÄSTERBOTTENS LÄN</t>
        </is>
      </c>
      <c r="E2316" t="inlineStr">
        <is>
          <t>UMEÅ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12780-2025</t>
        </is>
      </c>
      <c r="B2317" s="1" t="n">
        <v>45733.59627314815</v>
      </c>
      <c r="C2317" s="1" t="n">
        <v>45971</v>
      </c>
      <c r="D2317" t="inlineStr">
        <is>
          <t>VÄSTERBOTTENS LÄN</t>
        </is>
      </c>
      <c r="E2317" t="inlineStr">
        <is>
          <t>UMEÅ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39914-2023</t>
        </is>
      </c>
      <c r="B2318" s="1" t="n">
        <v>45166</v>
      </c>
      <c r="C2318" s="1" t="n">
        <v>45971</v>
      </c>
      <c r="D2318" t="inlineStr">
        <is>
          <t>VÄSTERBOTTENS LÄN</t>
        </is>
      </c>
      <c r="E2318" t="inlineStr">
        <is>
          <t>VILHELMINA</t>
        </is>
      </c>
      <c r="G2318" t="n">
        <v>27.5</v>
      </c>
      <c r="H2318" t="n">
        <v>0</v>
      </c>
      <c r="I2318" t="n">
        <v>0</v>
      </c>
      <c r="J2318" t="n">
        <v>0</v>
      </c>
      <c r="K2318" t="n">
        <v>0</v>
      </c>
      <c r="L2318" t="n">
        <v>0</v>
      </c>
      <c r="M2318" t="n">
        <v>0</v>
      </c>
      <c r="N2318" t="n">
        <v>0</v>
      </c>
      <c r="O2318" t="n">
        <v>0</v>
      </c>
      <c r="P2318" t="n">
        <v>0</v>
      </c>
      <c r="Q2318" t="n">
        <v>0</v>
      </c>
      <c r="R2318" s="2" t="inlineStr"/>
    </row>
    <row r="2319" ht="15" customHeight="1">
      <c r="A2319" t="inlineStr">
        <is>
          <t>A 16104-2025</t>
        </is>
      </c>
      <c r="B2319" s="1" t="n">
        <v>45750.3231712963</v>
      </c>
      <c r="C2319" s="1" t="n">
        <v>45971</v>
      </c>
      <c r="D2319" t="inlineStr">
        <is>
          <t>VÄSTERBOTTENS LÄN</t>
        </is>
      </c>
      <c r="E2319" t="inlineStr">
        <is>
          <t>ROBERTSFORS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3058-2025</t>
        </is>
      </c>
      <c r="B2320" s="1" t="n">
        <v>45678.61952546296</v>
      </c>
      <c r="C2320" s="1" t="n">
        <v>45971</v>
      </c>
      <c r="D2320" t="inlineStr">
        <is>
          <t>VÄSTERBOTTENS LÄN</t>
        </is>
      </c>
      <c r="E2320" t="inlineStr">
        <is>
          <t>BJURHOLM</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29092-2022</t>
        </is>
      </c>
      <c r="B2321" s="1" t="n">
        <v>44750</v>
      </c>
      <c r="C2321" s="1" t="n">
        <v>45971</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20653-2021</t>
        </is>
      </c>
      <c r="B2322" s="1" t="n">
        <v>44316.41677083333</v>
      </c>
      <c r="C2322" s="1" t="n">
        <v>45971</v>
      </c>
      <c r="D2322" t="inlineStr">
        <is>
          <t>VÄSTERBOTTENS LÄN</t>
        </is>
      </c>
      <c r="E2322" t="inlineStr">
        <is>
          <t>VILHELMINA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45971</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3844-2021</t>
        </is>
      </c>
      <c r="B2324" s="1" t="n">
        <v>44216</v>
      </c>
      <c r="C2324" s="1" t="n">
        <v>45971</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24653-2021</t>
        </is>
      </c>
      <c r="B2325" s="1" t="n">
        <v>44340</v>
      </c>
      <c r="C2325" s="1" t="n">
        <v>45971</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53642-2022</t>
        </is>
      </c>
      <c r="B2326" s="1" t="n">
        <v>44879</v>
      </c>
      <c r="C2326" s="1" t="n">
        <v>45971</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22020-2023</t>
        </is>
      </c>
      <c r="B2327" s="1" t="n">
        <v>45069</v>
      </c>
      <c r="C2327" s="1" t="n">
        <v>45971</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22036-2023</t>
        </is>
      </c>
      <c r="B2328" s="1" t="n">
        <v>45069.37450231481</v>
      </c>
      <c r="C2328" s="1" t="n">
        <v>45971</v>
      </c>
      <c r="D2328" t="inlineStr">
        <is>
          <t>VÄSTERBOTTENS LÄN</t>
        </is>
      </c>
      <c r="E2328" t="inlineStr">
        <is>
          <t>BJURHOLM</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15479-2023</t>
        </is>
      </c>
      <c r="B2329" s="1" t="n">
        <v>45020.45726851852</v>
      </c>
      <c r="C2329" s="1" t="n">
        <v>45971</v>
      </c>
      <c r="D2329" t="inlineStr">
        <is>
          <t>VÄSTERBOTTENS LÄN</t>
        </is>
      </c>
      <c r="E2329" t="inlineStr">
        <is>
          <t>SKELLEFTEÅ</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22093-2023</t>
        </is>
      </c>
      <c r="B2330" s="1" t="n">
        <v>45068</v>
      </c>
      <c r="C2330" s="1" t="n">
        <v>45971</v>
      </c>
      <c r="D2330" t="inlineStr">
        <is>
          <t>VÄSTERBOTTENS LÄN</t>
        </is>
      </c>
      <c r="E2330" t="inlineStr">
        <is>
          <t>ÅSELE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51184-2023</t>
        </is>
      </c>
      <c r="B2331" s="1" t="n">
        <v>45219.40083333333</v>
      </c>
      <c r="C2331" s="1" t="n">
        <v>45971</v>
      </c>
      <c r="D2331" t="inlineStr">
        <is>
          <t>VÄSTERBOTTENS LÄN</t>
        </is>
      </c>
      <c r="E2331" t="inlineStr">
        <is>
          <t>VINDELN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60656-2024</t>
        </is>
      </c>
      <c r="B2332" s="1" t="n">
        <v>45642</v>
      </c>
      <c r="C2332" s="1" t="n">
        <v>45971</v>
      </c>
      <c r="D2332" t="inlineStr">
        <is>
          <t>VÄSTERBOTTENS LÄN</t>
        </is>
      </c>
      <c r="E2332" t="inlineStr">
        <is>
          <t>STORUMAN</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48670-2023</t>
        </is>
      </c>
      <c r="B2333" s="1" t="n">
        <v>45208.62702546296</v>
      </c>
      <c r="C2333" s="1" t="n">
        <v>45971</v>
      </c>
      <c r="D2333" t="inlineStr">
        <is>
          <t>VÄSTERBOTTENS LÄN</t>
        </is>
      </c>
      <c r="E2333" t="inlineStr">
        <is>
          <t>ÅSELE</t>
        </is>
      </c>
      <c r="F2333" t="inlineStr">
        <is>
          <t>Naturvårdsverket</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23709-2023</t>
        </is>
      </c>
      <c r="B2334" s="1" t="n">
        <v>45075</v>
      </c>
      <c r="C2334" s="1" t="n">
        <v>45971</v>
      </c>
      <c r="D2334" t="inlineStr">
        <is>
          <t>VÄSTERBOTTENS LÄN</t>
        </is>
      </c>
      <c r="E2334" t="inlineStr">
        <is>
          <t>SKELLEFTEÅ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39988-2022</t>
        </is>
      </c>
      <c r="B2335" s="1" t="n">
        <v>44820</v>
      </c>
      <c r="C2335" s="1" t="n">
        <v>45971</v>
      </c>
      <c r="D2335" t="inlineStr">
        <is>
          <t>VÄSTERBOTTENS LÄN</t>
        </is>
      </c>
      <c r="E2335" t="inlineStr">
        <is>
          <t>NORSJÖ</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7774-2025</t>
        </is>
      </c>
      <c r="B2336" s="1" t="n">
        <v>45706.57314814815</v>
      </c>
      <c r="C2336" s="1" t="n">
        <v>45971</v>
      </c>
      <c r="D2336" t="inlineStr">
        <is>
          <t>VÄSTERBOTTENS LÄN</t>
        </is>
      </c>
      <c r="E2336" t="inlineStr">
        <is>
          <t>UMEÅ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48702-2023</t>
        </is>
      </c>
      <c r="B2337" s="1" t="n">
        <v>45208</v>
      </c>
      <c r="C2337" s="1" t="n">
        <v>45971</v>
      </c>
      <c r="D2337" t="inlineStr">
        <is>
          <t>VÄSTERBOTTENS LÄN</t>
        </is>
      </c>
      <c r="E2337" t="inlineStr">
        <is>
          <t>VINDELN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48765-2023</t>
        </is>
      </c>
      <c r="B2338" s="1" t="n">
        <v>45208.94865740741</v>
      </c>
      <c r="C2338" s="1" t="n">
        <v>45971</v>
      </c>
      <c r="D2338" t="inlineStr">
        <is>
          <t>VÄSTERBOTTENS LÄN</t>
        </is>
      </c>
      <c r="E2338" t="inlineStr">
        <is>
          <t>NORSJÖ</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61196-2020</t>
        </is>
      </c>
      <c r="B2339" s="1" t="n">
        <v>44155.39024305555</v>
      </c>
      <c r="C2339" s="1" t="n">
        <v>45971</v>
      </c>
      <c r="D2339" t="inlineStr">
        <is>
          <t>VÄSTERBOTTENS LÄN</t>
        </is>
      </c>
      <c r="E2339" t="inlineStr">
        <is>
          <t>NORSJÖ</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67762-2021</t>
        </is>
      </c>
      <c r="B2340" s="1" t="n">
        <v>44524</v>
      </c>
      <c r="C2340" s="1" t="n">
        <v>45971</v>
      </c>
      <c r="D2340" t="inlineStr">
        <is>
          <t>VÄSTERBOTTENS LÄN</t>
        </is>
      </c>
      <c r="E2340" t="inlineStr">
        <is>
          <t>BJURHOLM</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18399-2022</t>
        </is>
      </c>
      <c r="B2341" s="1" t="n">
        <v>44685</v>
      </c>
      <c r="C2341" s="1" t="n">
        <v>45971</v>
      </c>
      <c r="D2341" t="inlineStr">
        <is>
          <t>VÄSTERBOTTENS LÄN</t>
        </is>
      </c>
      <c r="E2341" t="inlineStr">
        <is>
          <t>VINDELN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49816-2021</t>
        </is>
      </c>
      <c r="B2342" s="1" t="n">
        <v>44454</v>
      </c>
      <c r="C2342" s="1" t="n">
        <v>45971</v>
      </c>
      <c r="D2342" t="inlineStr">
        <is>
          <t>VÄSTERBOTTENS LÄN</t>
        </is>
      </c>
      <c r="E2342" t="inlineStr">
        <is>
          <t>LYCKSELE</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4844-2022</t>
        </is>
      </c>
      <c r="B2343" s="1" t="n">
        <v>44592</v>
      </c>
      <c r="C2343" s="1" t="n">
        <v>45971</v>
      </c>
      <c r="D2343" t="inlineStr">
        <is>
          <t>VÄSTERBOTTENS LÄN</t>
        </is>
      </c>
      <c r="E2343" t="inlineStr">
        <is>
          <t>SKELLEFTEÅ</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6671-2025</t>
        </is>
      </c>
      <c r="B2344" s="1" t="n">
        <v>45700.46908564815</v>
      </c>
      <c r="C2344" s="1" t="n">
        <v>45971</v>
      </c>
      <c r="D2344" t="inlineStr">
        <is>
          <t>VÄSTERBOTTENS LÄN</t>
        </is>
      </c>
      <c r="E2344" t="inlineStr">
        <is>
          <t>MALÅ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13248-2023</t>
        </is>
      </c>
      <c r="B2345" s="1" t="n">
        <v>45002</v>
      </c>
      <c r="C2345" s="1" t="n">
        <v>45971</v>
      </c>
      <c r="D2345" t="inlineStr">
        <is>
          <t>VÄSTERBOTTENS LÄN</t>
        </is>
      </c>
      <c r="E2345" t="inlineStr">
        <is>
          <t>SORSELE</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11114-2022</t>
        </is>
      </c>
      <c r="B2346" s="1" t="n">
        <v>44628.925625</v>
      </c>
      <c r="C2346" s="1" t="n">
        <v>45971</v>
      </c>
      <c r="D2346" t="inlineStr">
        <is>
          <t>VÄSTERBOTTENS LÄN</t>
        </is>
      </c>
      <c r="E2346" t="inlineStr">
        <is>
          <t>VILHELMINA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47095-2024</t>
        </is>
      </c>
      <c r="B2347" s="1" t="n">
        <v>45586.52850694444</v>
      </c>
      <c r="C2347" s="1" t="n">
        <v>45971</v>
      </c>
      <c r="D2347" t="inlineStr">
        <is>
          <t>VÄSTERBOTTENS LÄN</t>
        </is>
      </c>
      <c r="E2347" t="inlineStr">
        <is>
          <t>LYCKSELE</t>
        </is>
      </c>
      <c r="F2347" t="inlineStr">
        <is>
          <t>Naturvårdsverket</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6516-2022</t>
        </is>
      </c>
      <c r="B2348" s="1" t="n">
        <v>44600</v>
      </c>
      <c r="C2348" s="1" t="n">
        <v>45971</v>
      </c>
      <c r="D2348" t="inlineStr">
        <is>
          <t>VÄSTERBOTTENS LÄN</t>
        </is>
      </c>
      <c r="E2348" t="inlineStr">
        <is>
          <t>VINDELN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51982-2022</t>
        </is>
      </c>
      <c r="B2349" s="1" t="n">
        <v>44872.82622685185</v>
      </c>
      <c r="C2349" s="1" t="n">
        <v>45971</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66440-2021</t>
        </is>
      </c>
      <c r="B2350" s="1" t="n">
        <v>44518</v>
      </c>
      <c r="C2350" s="1" t="n">
        <v>45971</v>
      </c>
      <c r="D2350" t="inlineStr">
        <is>
          <t>VÄSTERBOTTENS LÄN</t>
        </is>
      </c>
      <c r="E2350" t="inlineStr">
        <is>
          <t>SORSELE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24430-2023</t>
        </is>
      </c>
      <c r="B2351" s="1" t="n">
        <v>45076</v>
      </c>
      <c r="C2351" s="1" t="n">
        <v>45971</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14320-2024</t>
        </is>
      </c>
      <c r="B2352" s="1" t="n">
        <v>45393</v>
      </c>
      <c r="C2352" s="1" t="n">
        <v>45971</v>
      </c>
      <c r="D2352" t="inlineStr">
        <is>
          <t>VÄSTERBOTTENS LÄN</t>
        </is>
      </c>
      <c r="E2352" t="inlineStr">
        <is>
          <t>DOROTEA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60390-2024</t>
        </is>
      </c>
      <c r="B2353" s="1" t="n">
        <v>45643.49013888889</v>
      </c>
      <c r="C2353" s="1" t="n">
        <v>45971</v>
      </c>
      <c r="D2353" t="inlineStr">
        <is>
          <t>VÄSTERBOTTENS LÄN</t>
        </is>
      </c>
      <c r="E2353" t="inlineStr">
        <is>
          <t>VINDELN</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48574-2021</t>
        </is>
      </c>
      <c r="B2354" s="1" t="n">
        <v>44452</v>
      </c>
      <c r="C2354" s="1" t="n">
        <v>45971</v>
      </c>
      <c r="D2354" t="inlineStr">
        <is>
          <t>VÄSTERBOTTENS LÄN</t>
        </is>
      </c>
      <c r="E2354" t="inlineStr">
        <is>
          <t>VILHELMINA</t>
        </is>
      </c>
      <c r="F2354" t="inlineStr">
        <is>
          <t>Allmännings- och besparingsskogar</t>
        </is>
      </c>
      <c r="G2354" t="n">
        <v>85.09999999999999</v>
      </c>
      <c r="H2354" t="n">
        <v>0</v>
      </c>
      <c r="I2354" t="n">
        <v>0</v>
      </c>
      <c r="J2354" t="n">
        <v>0</v>
      </c>
      <c r="K2354" t="n">
        <v>0</v>
      </c>
      <c r="L2354" t="n">
        <v>0</v>
      </c>
      <c r="M2354" t="n">
        <v>0</v>
      </c>
      <c r="N2354" t="n">
        <v>0</v>
      </c>
      <c r="O2354" t="n">
        <v>0</v>
      </c>
      <c r="P2354" t="n">
        <v>0</v>
      </c>
      <c r="Q2354" t="n">
        <v>0</v>
      </c>
      <c r="R2354" s="2" t="inlineStr"/>
    </row>
    <row r="2355" ht="15" customHeight="1">
      <c r="A2355" t="inlineStr">
        <is>
          <t>A 14389-2021</t>
        </is>
      </c>
      <c r="B2355" s="1" t="n">
        <v>44279</v>
      </c>
      <c r="C2355" s="1" t="n">
        <v>45971</v>
      </c>
      <c r="D2355" t="inlineStr">
        <is>
          <t>VÄSTERBOTTENS LÄN</t>
        </is>
      </c>
      <c r="E2355" t="inlineStr">
        <is>
          <t>STORUMAN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16865-2023</t>
        </is>
      </c>
      <c r="B2356" s="1" t="n">
        <v>45029</v>
      </c>
      <c r="C2356" s="1" t="n">
        <v>45971</v>
      </c>
      <c r="D2356" t="inlineStr">
        <is>
          <t>VÄSTERBOTTENS LÄN</t>
        </is>
      </c>
      <c r="E2356" t="inlineStr">
        <is>
          <t>ROBERTSFORS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37688-2024</t>
        </is>
      </c>
      <c r="B2357" s="1" t="n">
        <v>45541</v>
      </c>
      <c r="C2357" s="1" t="n">
        <v>45971</v>
      </c>
      <c r="D2357" t="inlineStr">
        <is>
          <t>VÄSTERBOTTENS LÄN</t>
        </is>
      </c>
      <c r="E2357" t="inlineStr">
        <is>
          <t>MALÅ</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59735-2024</t>
        </is>
      </c>
      <c r="B2358" s="1" t="n">
        <v>45639</v>
      </c>
      <c r="C2358" s="1" t="n">
        <v>45971</v>
      </c>
      <c r="D2358" t="inlineStr">
        <is>
          <t>VÄSTERBOTTENS LÄN</t>
        </is>
      </c>
      <c r="E2358" t="inlineStr">
        <is>
          <t>UMEÅ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33289-2023</t>
        </is>
      </c>
      <c r="B2359" s="1" t="n">
        <v>45116</v>
      </c>
      <c r="C2359" s="1" t="n">
        <v>45971</v>
      </c>
      <c r="D2359" t="inlineStr">
        <is>
          <t>VÄSTERBOTTENS LÄN</t>
        </is>
      </c>
      <c r="E2359" t="inlineStr">
        <is>
          <t>SKELLEFTEÅ</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12187-2025</t>
        </is>
      </c>
      <c r="B2360" s="1" t="n">
        <v>45729.46915509259</v>
      </c>
      <c r="C2360" s="1" t="n">
        <v>45971</v>
      </c>
      <c r="D2360" t="inlineStr">
        <is>
          <t>VÄSTERBOTTENS LÄN</t>
        </is>
      </c>
      <c r="E2360" t="inlineStr">
        <is>
          <t>SORSELE</t>
        </is>
      </c>
      <c r="F2360" t="inlineStr">
        <is>
          <t>SCA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22553-2022</t>
        </is>
      </c>
      <c r="B2361" s="1" t="n">
        <v>44713.93777777778</v>
      </c>
      <c r="C2361" s="1" t="n">
        <v>45971</v>
      </c>
      <c r="D2361" t="inlineStr">
        <is>
          <t>VÄSTERBOTTENS LÄN</t>
        </is>
      </c>
      <c r="E2361" t="inlineStr">
        <is>
          <t>VINDELN</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61289-2021</t>
        </is>
      </c>
      <c r="B2362" s="1" t="n">
        <v>44498.61892361111</v>
      </c>
      <c r="C2362" s="1" t="n">
        <v>45971</v>
      </c>
      <c r="D2362" t="inlineStr">
        <is>
          <t>VÄSTERBOTTENS LÄN</t>
        </is>
      </c>
      <c r="E2362" t="inlineStr">
        <is>
          <t>ÅSELE</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16764-2025</t>
        </is>
      </c>
      <c r="B2363" s="1" t="n">
        <v>45754</v>
      </c>
      <c r="C2363" s="1" t="n">
        <v>45971</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54234-2023</t>
        </is>
      </c>
      <c r="B2364" s="1" t="n">
        <v>45232.60467592593</v>
      </c>
      <c r="C2364" s="1" t="n">
        <v>45971</v>
      </c>
      <c r="D2364" t="inlineStr">
        <is>
          <t>VÄSTERBOTTENS LÄN</t>
        </is>
      </c>
      <c r="E2364" t="inlineStr">
        <is>
          <t>LYCKSELE</t>
        </is>
      </c>
      <c r="F2364" t="inlineStr">
        <is>
          <t>Holmen skog AB</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59932-2024</t>
        </is>
      </c>
      <c r="B2365" s="1" t="n">
        <v>45642.31251157408</v>
      </c>
      <c r="C2365" s="1" t="n">
        <v>45971</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2902-2022</t>
        </is>
      </c>
      <c r="B2366" s="1" t="n">
        <v>44581</v>
      </c>
      <c r="C2366" s="1" t="n">
        <v>45971</v>
      </c>
      <c r="D2366" t="inlineStr">
        <is>
          <t>VÄSTERBOTTENS LÄN</t>
        </is>
      </c>
      <c r="E2366" t="inlineStr">
        <is>
          <t>VINDELN</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58555-2023</t>
        </is>
      </c>
      <c r="B2367" s="1" t="n">
        <v>45251.43552083334</v>
      </c>
      <c r="C2367" s="1" t="n">
        <v>45971</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62708-2023</t>
        </is>
      </c>
      <c r="B2368" s="1" t="n">
        <v>45271.55337962963</v>
      </c>
      <c r="C2368" s="1" t="n">
        <v>45971</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33341-2021</t>
        </is>
      </c>
      <c r="B2369" s="1" t="n">
        <v>44377</v>
      </c>
      <c r="C2369" s="1" t="n">
        <v>45971</v>
      </c>
      <c r="D2369" t="inlineStr">
        <is>
          <t>VÄSTERBOTTENS LÄN</t>
        </is>
      </c>
      <c r="E2369" t="inlineStr">
        <is>
          <t>STORUMAN</t>
        </is>
      </c>
      <c r="F2369" t="inlineStr">
        <is>
          <t>Allmännings- och besparingsskogar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55568-2021</t>
        </is>
      </c>
      <c r="B2370" s="1" t="n">
        <v>44475.72190972222</v>
      </c>
      <c r="C2370" s="1" t="n">
        <v>45971</v>
      </c>
      <c r="D2370" t="inlineStr">
        <is>
          <t>VÄSTERBOTTENS LÄN</t>
        </is>
      </c>
      <c r="E2370" t="inlineStr">
        <is>
          <t>SKELLEFTEÅ</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55590-2021</t>
        </is>
      </c>
      <c r="B2371" s="1" t="n">
        <v>44475.92033564814</v>
      </c>
      <c r="C2371" s="1" t="n">
        <v>45971</v>
      </c>
      <c r="D2371" t="inlineStr">
        <is>
          <t>VÄSTERBOTTENS LÄN</t>
        </is>
      </c>
      <c r="E2371" t="inlineStr">
        <is>
          <t>UMEÅ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35195-2022</t>
        </is>
      </c>
      <c r="B2372" s="1" t="n">
        <v>44797</v>
      </c>
      <c r="C2372" s="1" t="n">
        <v>45971</v>
      </c>
      <c r="D2372" t="inlineStr">
        <is>
          <t>VÄSTERBOTTENS LÄN</t>
        </is>
      </c>
      <c r="E2372" t="inlineStr">
        <is>
          <t>VINDELN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19962-2022</t>
        </is>
      </c>
      <c r="B2373" s="1" t="n">
        <v>44697</v>
      </c>
      <c r="C2373" s="1" t="n">
        <v>45971</v>
      </c>
      <c r="D2373" t="inlineStr">
        <is>
          <t>VÄSTERBOTTENS LÄN</t>
        </is>
      </c>
      <c r="E2373" t="inlineStr">
        <is>
          <t>ROBERTSFORS</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56763-2023</t>
        </is>
      </c>
      <c r="B2374" s="1" t="n">
        <v>45238</v>
      </c>
      <c r="C2374" s="1" t="n">
        <v>45971</v>
      </c>
      <c r="D2374" t="inlineStr">
        <is>
          <t>VÄSTERBOTTENS LÄN</t>
        </is>
      </c>
      <c r="E2374" t="inlineStr">
        <is>
          <t>VILHELMINA</t>
        </is>
      </c>
      <c r="F2374" t="inlineStr">
        <is>
          <t>Allmännings- och besparingsskogar</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32678-2024</t>
        </is>
      </c>
      <c r="B2375" s="1" t="n">
        <v>45514.96238425926</v>
      </c>
      <c r="C2375" s="1" t="n">
        <v>45971</v>
      </c>
      <c r="D2375" t="inlineStr">
        <is>
          <t>VÄSTERBOTTENS LÄN</t>
        </is>
      </c>
      <c r="E2375" t="inlineStr">
        <is>
          <t>VINDELN</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17220-2021</t>
        </is>
      </c>
      <c r="B2376" s="1" t="n">
        <v>44298</v>
      </c>
      <c r="C2376" s="1" t="n">
        <v>45971</v>
      </c>
      <c r="D2376" t="inlineStr">
        <is>
          <t>VÄSTERBOTTENS LÄN</t>
        </is>
      </c>
      <c r="E2376" t="inlineStr">
        <is>
          <t>STORUMAN</t>
        </is>
      </c>
      <c r="G2376" t="n">
        <v>29.4</v>
      </c>
      <c r="H2376" t="n">
        <v>0</v>
      </c>
      <c r="I2376" t="n">
        <v>0</v>
      </c>
      <c r="J2376" t="n">
        <v>0</v>
      </c>
      <c r="K2376" t="n">
        <v>0</v>
      </c>
      <c r="L2376" t="n">
        <v>0</v>
      </c>
      <c r="M2376" t="n">
        <v>0</v>
      </c>
      <c r="N2376" t="n">
        <v>0</v>
      </c>
      <c r="O2376" t="n">
        <v>0</v>
      </c>
      <c r="P2376" t="n">
        <v>0</v>
      </c>
      <c r="Q2376" t="n">
        <v>0</v>
      </c>
      <c r="R2376" s="2" t="inlineStr"/>
    </row>
    <row r="2377" ht="15" customHeight="1">
      <c r="A2377" t="inlineStr">
        <is>
          <t>A 31381-2022</t>
        </is>
      </c>
      <c r="B2377" s="1" t="n">
        <v>44774</v>
      </c>
      <c r="C2377" s="1" t="n">
        <v>45971</v>
      </c>
      <c r="D2377" t="inlineStr">
        <is>
          <t>VÄSTERBOTTENS LÄN</t>
        </is>
      </c>
      <c r="E2377" t="inlineStr">
        <is>
          <t>BJURHOLM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43273-2021</t>
        </is>
      </c>
      <c r="B2378" s="1" t="n">
        <v>44432</v>
      </c>
      <c r="C2378" s="1" t="n">
        <v>45971</v>
      </c>
      <c r="D2378" t="inlineStr">
        <is>
          <t>VÄSTERBOTTENS LÄN</t>
        </is>
      </c>
      <c r="E2378" t="inlineStr">
        <is>
          <t>VINDELN</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39736-2024</t>
        </is>
      </c>
      <c r="B2379" s="1" t="n">
        <v>45552.64715277778</v>
      </c>
      <c r="C2379" s="1" t="n">
        <v>45971</v>
      </c>
      <c r="D2379" t="inlineStr">
        <is>
          <t>VÄSTERBOTTENS LÄN</t>
        </is>
      </c>
      <c r="E2379" t="inlineStr">
        <is>
          <t>NORSJÖ</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39776-2024</t>
        </is>
      </c>
      <c r="B2380" s="1" t="n">
        <v>45552.8096875</v>
      </c>
      <c r="C2380" s="1" t="n">
        <v>45971</v>
      </c>
      <c r="D2380" t="inlineStr">
        <is>
          <t>VÄSTERBOTTENS LÄN</t>
        </is>
      </c>
      <c r="E2380" t="inlineStr">
        <is>
          <t>NORDMALING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35608-2022</t>
        </is>
      </c>
      <c r="B2381" s="1" t="n">
        <v>44799</v>
      </c>
      <c r="C2381" s="1" t="n">
        <v>45971</v>
      </c>
      <c r="D2381" t="inlineStr">
        <is>
          <t>VÄSTERBOTTENS LÄN</t>
        </is>
      </c>
      <c r="E2381" t="inlineStr">
        <is>
          <t>SKELLEFTEÅ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14925-2023</t>
        </is>
      </c>
      <c r="B2382" s="1" t="n">
        <v>45014</v>
      </c>
      <c r="C2382" s="1" t="n">
        <v>45971</v>
      </c>
      <c r="D2382" t="inlineStr">
        <is>
          <t>VÄSTERBOTTENS LÄN</t>
        </is>
      </c>
      <c r="E2382" t="inlineStr">
        <is>
          <t>ÅSELE</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32459-2022</t>
        </is>
      </c>
      <c r="B2383" s="1" t="n">
        <v>44782</v>
      </c>
      <c r="C2383" s="1" t="n">
        <v>45971</v>
      </c>
      <c r="D2383" t="inlineStr">
        <is>
          <t>VÄSTERBOTTENS LÄN</t>
        </is>
      </c>
      <c r="E2383" t="inlineStr">
        <is>
          <t>STORUMAN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37938-2021</t>
        </is>
      </c>
      <c r="B2384" s="1" t="n">
        <v>44403</v>
      </c>
      <c r="C2384" s="1" t="n">
        <v>45971</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846-2022</t>
        </is>
      </c>
      <c r="B2385" s="1" t="n">
        <v>44571</v>
      </c>
      <c r="C2385" s="1" t="n">
        <v>45971</v>
      </c>
      <c r="D2385" t="inlineStr">
        <is>
          <t>VÄSTERBOTTENS LÄN</t>
        </is>
      </c>
      <c r="E2385" t="inlineStr">
        <is>
          <t>VÄNNÄS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60437-2021</t>
        </is>
      </c>
      <c r="B2386" s="1" t="n">
        <v>44496</v>
      </c>
      <c r="C2386" s="1" t="n">
        <v>45971</v>
      </c>
      <c r="D2386" t="inlineStr">
        <is>
          <t>VÄSTERBOTTENS LÄN</t>
        </is>
      </c>
      <c r="E2386" t="inlineStr">
        <is>
          <t>LYCKSELE</t>
        </is>
      </c>
      <c r="F2386" t="inlineStr">
        <is>
          <t>Sveaskog</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60524-2021</t>
        </is>
      </c>
      <c r="B2387" s="1" t="n">
        <v>44496</v>
      </c>
      <c r="C2387" s="1" t="n">
        <v>45971</v>
      </c>
      <c r="D2387" t="inlineStr">
        <is>
          <t>VÄSTERBOTTENS LÄN</t>
        </is>
      </c>
      <c r="E2387" t="inlineStr">
        <is>
          <t>ÅSELE</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59488-2024</t>
        </is>
      </c>
      <c r="B2388" s="1" t="n">
        <v>45638.53199074074</v>
      </c>
      <c r="C2388" s="1" t="n">
        <v>45971</v>
      </c>
      <c r="D2388" t="inlineStr">
        <is>
          <t>VÄSTERBOTTENS LÄN</t>
        </is>
      </c>
      <c r="E2388" t="inlineStr">
        <is>
          <t>NORDMALING</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24712-2023</t>
        </is>
      </c>
      <c r="B2389" s="1" t="n">
        <v>45075</v>
      </c>
      <c r="C2389" s="1" t="n">
        <v>45971</v>
      </c>
      <c r="D2389" t="inlineStr">
        <is>
          <t>VÄSTERBOTTENS LÄN</t>
        </is>
      </c>
      <c r="E2389" t="inlineStr">
        <is>
          <t>NORDMALING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2576-2022</t>
        </is>
      </c>
      <c r="B2390" s="1" t="n">
        <v>44580</v>
      </c>
      <c r="C2390" s="1" t="n">
        <v>45971</v>
      </c>
      <c r="D2390" t="inlineStr">
        <is>
          <t>VÄSTERBOTTENS LÄN</t>
        </is>
      </c>
      <c r="E2390" t="inlineStr">
        <is>
          <t>LYCKSELE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30990-2021</t>
        </is>
      </c>
      <c r="B2391" s="1" t="n">
        <v>44365</v>
      </c>
      <c r="C2391" s="1" t="n">
        <v>45971</v>
      </c>
      <c r="D2391" t="inlineStr">
        <is>
          <t>VÄSTERBOTTENS LÄN</t>
        </is>
      </c>
      <c r="E2391" t="inlineStr">
        <is>
          <t>VINDELN</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17026-2023</t>
        </is>
      </c>
      <c r="B2392" s="1" t="n">
        <v>45030</v>
      </c>
      <c r="C2392" s="1" t="n">
        <v>45971</v>
      </c>
      <c r="D2392" t="inlineStr">
        <is>
          <t>VÄSTERBOTTENS LÄN</t>
        </is>
      </c>
      <c r="E2392" t="inlineStr">
        <is>
          <t>SKELLEFTEÅ</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36854-2022</t>
        </is>
      </c>
      <c r="B2393" s="1" t="n">
        <v>44805.60581018519</v>
      </c>
      <c r="C2393" s="1" t="n">
        <v>45971</v>
      </c>
      <c r="D2393" t="inlineStr">
        <is>
          <t>VÄSTERBOTTENS LÄN</t>
        </is>
      </c>
      <c r="E2393" t="inlineStr">
        <is>
          <t>UMEÅ</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57270-2023</t>
        </is>
      </c>
      <c r="B2394" s="1" t="n">
        <v>45245</v>
      </c>
      <c r="C2394" s="1" t="n">
        <v>45971</v>
      </c>
      <c r="D2394" t="inlineStr">
        <is>
          <t>VÄSTERBOTTENS LÄN</t>
        </is>
      </c>
      <c r="E2394" t="inlineStr">
        <is>
          <t>ROBERTSFORS</t>
        </is>
      </c>
      <c r="F2394" t="inlineStr">
        <is>
          <t>Holmen skog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35757-2023</t>
        </is>
      </c>
      <c r="B2395" s="1" t="n">
        <v>45147.95444444445</v>
      </c>
      <c r="C2395" s="1" t="n">
        <v>45971</v>
      </c>
      <c r="D2395" t="inlineStr">
        <is>
          <t>VÄSTERBOTTENS LÄN</t>
        </is>
      </c>
      <c r="E2395" t="inlineStr">
        <is>
          <t>VILHELMINA</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35765-2023</t>
        </is>
      </c>
      <c r="B2396" s="1" t="n">
        <v>45147.95506944445</v>
      </c>
      <c r="C2396" s="1" t="n">
        <v>45971</v>
      </c>
      <c r="D2396" t="inlineStr">
        <is>
          <t>VÄSTERBOTTENS LÄN</t>
        </is>
      </c>
      <c r="E2396" t="inlineStr">
        <is>
          <t>LYCKSELE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36743-2023</t>
        </is>
      </c>
      <c r="B2397" s="1" t="n">
        <v>45153</v>
      </c>
      <c r="C2397" s="1" t="n">
        <v>45971</v>
      </c>
      <c r="D2397" t="inlineStr">
        <is>
          <t>VÄSTERBOTTENS LÄN</t>
        </is>
      </c>
      <c r="E2397" t="inlineStr">
        <is>
          <t>MALÅ</t>
        </is>
      </c>
      <c r="G2397" t="n">
        <v>15.7</v>
      </c>
      <c r="H2397" t="n">
        <v>0</v>
      </c>
      <c r="I2397" t="n">
        <v>0</v>
      </c>
      <c r="J2397" t="n">
        <v>0</v>
      </c>
      <c r="K2397" t="n">
        <v>0</v>
      </c>
      <c r="L2397" t="n">
        <v>0</v>
      </c>
      <c r="M2397" t="n">
        <v>0</v>
      </c>
      <c r="N2397" t="n">
        <v>0</v>
      </c>
      <c r="O2397" t="n">
        <v>0</v>
      </c>
      <c r="P2397" t="n">
        <v>0</v>
      </c>
      <c r="Q2397" t="n">
        <v>0</v>
      </c>
      <c r="R2397" s="2" t="inlineStr"/>
    </row>
    <row r="2398" ht="15" customHeight="1">
      <c r="A2398" t="inlineStr">
        <is>
          <t>A 36744-2023</t>
        </is>
      </c>
      <c r="B2398" s="1" t="n">
        <v>45153</v>
      </c>
      <c r="C2398" s="1" t="n">
        <v>45971</v>
      </c>
      <c r="D2398" t="inlineStr">
        <is>
          <t>VÄSTERBOTTENS LÄN</t>
        </is>
      </c>
      <c r="E2398" t="inlineStr">
        <is>
          <t>MALÅ</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8425-2023</t>
        </is>
      </c>
      <c r="B2399" s="1" t="n">
        <v>44977.45096064815</v>
      </c>
      <c r="C2399" s="1" t="n">
        <v>45971</v>
      </c>
      <c r="D2399" t="inlineStr">
        <is>
          <t>VÄSTERBOTTENS LÄN</t>
        </is>
      </c>
      <c r="E2399" t="inlineStr">
        <is>
          <t>NORDMALING</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42849-2024</t>
        </is>
      </c>
      <c r="B2400" s="1" t="n">
        <v>45566.64021990741</v>
      </c>
      <c r="C2400" s="1" t="n">
        <v>45971</v>
      </c>
      <c r="D2400" t="inlineStr">
        <is>
          <t>VÄSTERBOTTENS LÄN</t>
        </is>
      </c>
      <c r="E2400" t="inlineStr">
        <is>
          <t>SKELLEFTEÅ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58005-2021</t>
        </is>
      </c>
      <c r="B2401" s="1" t="n">
        <v>44487.42274305555</v>
      </c>
      <c r="C2401" s="1" t="n">
        <v>45971</v>
      </c>
      <c r="D2401" t="inlineStr">
        <is>
          <t>VÄSTERBOTTENS LÄN</t>
        </is>
      </c>
      <c r="E2401" t="inlineStr">
        <is>
          <t>NORSJÖ</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38940-2022</t>
        </is>
      </c>
      <c r="B2402" s="1" t="n">
        <v>44816</v>
      </c>
      <c r="C2402" s="1" t="n">
        <v>45971</v>
      </c>
      <c r="D2402" t="inlineStr">
        <is>
          <t>VÄSTERBOTTENS LÄN</t>
        </is>
      </c>
      <c r="E2402" t="inlineStr">
        <is>
          <t>SKELLEFTEÅ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38956-2022</t>
        </is>
      </c>
      <c r="B2403" s="1" t="n">
        <v>44816</v>
      </c>
      <c r="C2403" s="1" t="n">
        <v>45971</v>
      </c>
      <c r="D2403" t="inlineStr">
        <is>
          <t>VÄSTERBOTTENS LÄN</t>
        </is>
      </c>
      <c r="E2403" t="inlineStr">
        <is>
          <t>VÄNNÄS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44100-2024</t>
        </is>
      </c>
      <c r="B2404" s="1" t="n">
        <v>45572.62739583333</v>
      </c>
      <c r="C2404" s="1" t="n">
        <v>45971</v>
      </c>
      <c r="D2404" t="inlineStr">
        <is>
          <t>VÄSTERBOTTENS LÄN</t>
        </is>
      </c>
      <c r="E2404" t="inlineStr">
        <is>
          <t>SKELLEFTEÅ</t>
        </is>
      </c>
      <c r="F2404" t="inlineStr">
        <is>
          <t>Holmen skog AB</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46173-2023</t>
        </is>
      </c>
      <c r="B2405" s="1" t="n">
        <v>45196.6055324074</v>
      </c>
      <c r="C2405" s="1" t="n">
        <v>45971</v>
      </c>
      <c r="D2405" t="inlineStr">
        <is>
          <t>VÄSTERBOTTENS LÄN</t>
        </is>
      </c>
      <c r="E2405" t="inlineStr">
        <is>
          <t>ÅSELE</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46224-2023</t>
        </is>
      </c>
      <c r="B2406" s="1" t="n">
        <v>45196</v>
      </c>
      <c r="C2406" s="1" t="n">
        <v>45971</v>
      </c>
      <c r="D2406" t="inlineStr">
        <is>
          <t>VÄSTERBOTTENS LÄN</t>
        </is>
      </c>
      <c r="E2406" t="inlineStr">
        <is>
          <t>ÅSELE</t>
        </is>
      </c>
      <c r="F2406" t="inlineStr">
        <is>
          <t>Naturvårdsverket</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20324-2025</t>
        </is>
      </c>
      <c r="B2407" s="1" t="n">
        <v>45775</v>
      </c>
      <c r="C2407" s="1" t="n">
        <v>45971</v>
      </c>
      <c r="D2407" t="inlineStr">
        <is>
          <t>VÄSTERBOTTENS LÄN</t>
        </is>
      </c>
      <c r="E2407" t="inlineStr">
        <is>
          <t>VILHELMINA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20344-2025</t>
        </is>
      </c>
      <c r="B2408" s="1" t="n">
        <v>45775.37510416667</v>
      </c>
      <c r="C2408" s="1" t="n">
        <v>45971</v>
      </c>
      <c r="D2408" t="inlineStr">
        <is>
          <t>VÄSTERBOTTENS LÄN</t>
        </is>
      </c>
      <c r="E2408" t="inlineStr">
        <is>
          <t>LYCKSELE</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27384-2024</t>
        </is>
      </c>
      <c r="B2409" s="1" t="n">
        <v>45473</v>
      </c>
      <c r="C2409" s="1" t="n">
        <v>45971</v>
      </c>
      <c r="D2409" t="inlineStr">
        <is>
          <t>VÄSTERBOTTENS LÄN</t>
        </is>
      </c>
      <c r="E2409" t="inlineStr">
        <is>
          <t>NORDMALING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12043-2023</t>
        </is>
      </c>
      <c r="B2410" s="1" t="n">
        <v>44995</v>
      </c>
      <c r="C2410" s="1" t="n">
        <v>45971</v>
      </c>
      <c r="D2410" t="inlineStr">
        <is>
          <t>VÄSTERBOTTENS LÄN</t>
        </is>
      </c>
      <c r="E2410" t="inlineStr">
        <is>
          <t>VILHELMINA</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46498-2024</t>
        </is>
      </c>
      <c r="B2411" s="1" t="n">
        <v>45582</v>
      </c>
      <c r="C2411" s="1" t="n">
        <v>45971</v>
      </c>
      <c r="D2411" t="inlineStr">
        <is>
          <t>VÄSTERBOTTENS LÄN</t>
        </is>
      </c>
      <c r="E2411" t="inlineStr">
        <is>
          <t>BJURHOLM</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22364-2022</t>
        </is>
      </c>
      <c r="B2412" s="1" t="n">
        <v>44713</v>
      </c>
      <c r="C2412" s="1" t="n">
        <v>45971</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35442-2021</t>
        </is>
      </c>
      <c r="B2413" s="1" t="n">
        <v>44384</v>
      </c>
      <c r="C2413" s="1" t="n">
        <v>45971</v>
      </c>
      <c r="D2413" t="inlineStr">
        <is>
          <t>VÄSTERBOTTENS LÄN</t>
        </is>
      </c>
      <c r="E2413" t="inlineStr">
        <is>
          <t>SKELLEFTEÅ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4791-2022</t>
        </is>
      </c>
      <c r="B2414" s="1" t="n">
        <v>44592</v>
      </c>
      <c r="C2414" s="1" t="n">
        <v>45971</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19066-2023</t>
        </is>
      </c>
      <c r="B2415" s="1" t="n">
        <v>45043</v>
      </c>
      <c r="C2415" s="1" t="n">
        <v>45971</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24256-2024</t>
        </is>
      </c>
      <c r="B2416" s="1" t="n">
        <v>45457</v>
      </c>
      <c r="C2416" s="1" t="n">
        <v>45971</v>
      </c>
      <c r="D2416" t="inlineStr">
        <is>
          <t>VÄSTERBOTTENS LÄN</t>
        </is>
      </c>
      <c r="E2416" t="inlineStr">
        <is>
          <t>VINDELN</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914-2023</t>
        </is>
      </c>
      <c r="B2417" s="1" t="n">
        <v>44931.92650462963</v>
      </c>
      <c r="C2417" s="1" t="n">
        <v>45971</v>
      </c>
      <c r="D2417" t="inlineStr">
        <is>
          <t>VÄSTERBOTTENS LÄN</t>
        </is>
      </c>
      <c r="E2417" t="inlineStr">
        <is>
          <t>DOROTEA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12336-2024</t>
        </is>
      </c>
      <c r="B2418" s="1" t="n">
        <v>45378</v>
      </c>
      <c r="C2418" s="1" t="n">
        <v>45971</v>
      </c>
      <c r="D2418" t="inlineStr">
        <is>
          <t>VÄSTERBOTTENS LÄN</t>
        </is>
      </c>
      <c r="E2418" t="inlineStr">
        <is>
          <t>LYCKSELE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12359-2024</t>
        </is>
      </c>
      <c r="B2419" s="1" t="n">
        <v>45378.93795138889</v>
      </c>
      <c r="C2419" s="1" t="n">
        <v>45971</v>
      </c>
      <c r="D2419" t="inlineStr">
        <is>
          <t>VÄSTERBOTTENS LÄN</t>
        </is>
      </c>
      <c r="E2419" t="inlineStr">
        <is>
          <t>ÅSELE</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24257-2024</t>
        </is>
      </c>
      <c r="B2420" s="1" t="n">
        <v>45457</v>
      </c>
      <c r="C2420" s="1" t="n">
        <v>45971</v>
      </c>
      <c r="D2420" t="inlineStr">
        <is>
          <t>VÄSTERBOTTENS LÄN</t>
        </is>
      </c>
      <c r="E2420" t="inlineStr">
        <is>
          <t>LYCKSELE</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12374-2024</t>
        </is>
      </c>
      <c r="B2421" s="1" t="n">
        <v>45378</v>
      </c>
      <c r="C2421" s="1" t="n">
        <v>45971</v>
      </c>
      <c r="D2421" t="inlineStr">
        <is>
          <t>VÄSTERBOTTENS LÄN</t>
        </is>
      </c>
      <c r="E2421" t="inlineStr">
        <is>
          <t>NORDMALING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50539-2022</t>
        </is>
      </c>
      <c r="B2422" s="1" t="n">
        <v>44866</v>
      </c>
      <c r="C2422" s="1" t="n">
        <v>45971</v>
      </c>
      <c r="D2422" t="inlineStr">
        <is>
          <t>VÄSTERBOTTENS LÄN</t>
        </is>
      </c>
      <c r="E2422" t="inlineStr">
        <is>
          <t>ÅSELE</t>
        </is>
      </c>
      <c r="F2422" t="inlineStr">
        <is>
          <t>Holmen skog AB</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72-2025</t>
        </is>
      </c>
      <c r="B2423" s="1" t="n">
        <v>45659</v>
      </c>
      <c r="C2423" s="1" t="n">
        <v>45971</v>
      </c>
      <c r="D2423" t="inlineStr">
        <is>
          <t>VÄSTERBOTTENS LÄN</t>
        </is>
      </c>
      <c r="E2423" t="inlineStr">
        <is>
          <t>VILHELMINA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24338-2024</t>
        </is>
      </c>
      <c r="B2424" s="1" t="n">
        <v>45457</v>
      </c>
      <c r="C2424" s="1" t="n">
        <v>45971</v>
      </c>
      <c r="D2424" t="inlineStr">
        <is>
          <t>VÄSTERBOTTENS LÄN</t>
        </is>
      </c>
      <c r="E2424" t="inlineStr">
        <is>
          <t>LYCKSELE</t>
        </is>
      </c>
      <c r="F2424" t="inlineStr">
        <is>
          <t>Holmen skog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24340-2024</t>
        </is>
      </c>
      <c r="B2425" s="1" t="n">
        <v>45457.57278935185</v>
      </c>
      <c r="C2425" s="1" t="n">
        <v>45971</v>
      </c>
      <c r="D2425" t="inlineStr">
        <is>
          <t>VÄSTERBOTTENS LÄN</t>
        </is>
      </c>
      <c r="E2425" t="inlineStr">
        <is>
          <t>LYCKSELE</t>
        </is>
      </c>
      <c r="F2425" t="inlineStr">
        <is>
          <t>Sveaskog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18322-2023</t>
        </is>
      </c>
      <c r="B2426" s="1" t="n">
        <v>45041.61890046296</v>
      </c>
      <c r="C2426" s="1" t="n">
        <v>45971</v>
      </c>
      <c r="D2426" t="inlineStr">
        <is>
          <t>VÄSTERBOTTENS LÄN</t>
        </is>
      </c>
      <c r="E2426" t="inlineStr">
        <is>
          <t>UMEÅ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42182-2023</t>
        </is>
      </c>
      <c r="B2427" s="1" t="n">
        <v>45178</v>
      </c>
      <c r="C2427" s="1" t="n">
        <v>45971</v>
      </c>
      <c r="D2427" t="inlineStr">
        <is>
          <t>VÄSTERBOTTENS LÄN</t>
        </is>
      </c>
      <c r="E2427" t="inlineStr">
        <is>
          <t>MALÅ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13983-2021</t>
        </is>
      </c>
      <c r="B2428" s="1" t="n">
        <v>44277</v>
      </c>
      <c r="C2428" s="1" t="n">
        <v>45971</v>
      </c>
      <c r="D2428" t="inlineStr">
        <is>
          <t>VÄSTERBOTTENS LÄN</t>
        </is>
      </c>
      <c r="E2428" t="inlineStr">
        <is>
          <t>ROBERTSFORS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45971</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59178-2021</t>
        </is>
      </c>
      <c r="B2430" s="1" t="n">
        <v>44490</v>
      </c>
      <c r="C2430" s="1" t="n">
        <v>45971</v>
      </c>
      <c r="D2430" t="inlineStr">
        <is>
          <t>VÄSTERBOTTENS LÄN</t>
        </is>
      </c>
      <c r="E2430" t="inlineStr">
        <is>
          <t>BJURHOLM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57084-2024</t>
        </is>
      </c>
      <c r="B2431" s="1" t="n">
        <v>45629.35606481481</v>
      </c>
      <c r="C2431" s="1" t="n">
        <v>45971</v>
      </c>
      <c r="D2431" t="inlineStr">
        <is>
          <t>VÄSTERBOTTENS LÄN</t>
        </is>
      </c>
      <c r="E2431" t="inlineStr">
        <is>
          <t>LYCKSELE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10121-2025</t>
        </is>
      </c>
      <c r="B2432" s="1" t="n">
        <v>45719</v>
      </c>
      <c r="C2432" s="1" t="n">
        <v>45971</v>
      </c>
      <c r="D2432" t="inlineStr">
        <is>
          <t>VÄSTERBOTTENS LÄN</t>
        </is>
      </c>
      <c r="E2432" t="inlineStr">
        <is>
          <t>MALÅ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23680-2022</t>
        </is>
      </c>
      <c r="B2433" s="1" t="n">
        <v>44721</v>
      </c>
      <c r="C2433" s="1" t="n">
        <v>45971</v>
      </c>
      <c r="D2433" t="inlineStr">
        <is>
          <t>VÄSTERBOTTENS LÄN</t>
        </is>
      </c>
      <c r="E2433" t="inlineStr">
        <is>
          <t>VINDELN</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10134-2025</t>
        </is>
      </c>
      <c r="B2434" s="1" t="n">
        <v>45719</v>
      </c>
      <c r="C2434" s="1" t="n">
        <v>45971</v>
      </c>
      <c r="D2434" t="inlineStr">
        <is>
          <t>VÄSTERBOTTENS LÄN</t>
        </is>
      </c>
      <c r="E2434" t="inlineStr">
        <is>
          <t>NORSJÖ</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49086-2023</t>
        </is>
      </c>
      <c r="B2435" s="1" t="n">
        <v>45210</v>
      </c>
      <c r="C2435" s="1" t="n">
        <v>45971</v>
      </c>
      <c r="D2435" t="inlineStr">
        <is>
          <t>VÄSTERBOTTENS LÄN</t>
        </is>
      </c>
      <c r="E2435" t="inlineStr">
        <is>
          <t>ROBERTSFORS</t>
        </is>
      </c>
      <c r="F2435" t="inlineStr">
        <is>
          <t>Holmen skog AB</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4005-2022</t>
        </is>
      </c>
      <c r="B2436" s="1" t="n">
        <v>44587.92012731481</v>
      </c>
      <c r="C2436" s="1" t="n">
        <v>45971</v>
      </c>
      <c r="D2436" t="inlineStr">
        <is>
          <t>VÄSTERBOTTENS LÄN</t>
        </is>
      </c>
      <c r="E2436" t="inlineStr">
        <is>
          <t>SKELLEFTEÅ</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54024-2023</t>
        </is>
      </c>
      <c r="B2437" s="1" t="n">
        <v>45231</v>
      </c>
      <c r="C2437" s="1" t="n">
        <v>45971</v>
      </c>
      <c r="D2437" t="inlineStr">
        <is>
          <t>VÄSTERBOTTENS LÄN</t>
        </is>
      </c>
      <c r="E2437" t="inlineStr">
        <is>
          <t>SKELLEFTEÅ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54113-2023</t>
        </is>
      </c>
      <c r="B2438" s="1" t="n">
        <v>45232.39173611111</v>
      </c>
      <c r="C2438" s="1" t="n">
        <v>45971</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13329-2022</t>
        </is>
      </c>
      <c r="B2439" s="1" t="n">
        <v>44644</v>
      </c>
      <c r="C2439" s="1" t="n">
        <v>45971</v>
      </c>
      <c r="D2439" t="inlineStr">
        <is>
          <t>VÄSTERBOTTENS LÄN</t>
        </is>
      </c>
      <c r="E2439" t="inlineStr">
        <is>
          <t>ROBERTSFORS</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54388-2021</t>
        </is>
      </c>
      <c r="B2440" s="1" t="n">
        <v>44470</v>
      </c>
      <c r="C2440" s="1" t="n">
        <v>45971</v>
      </c>
      <c r="D2440" t="inlineStr">
        <is>
          <t>VÄSTERBOTTENS LÄN</t>
        </is>
      </c>
      <c r="E2440" t="inlineStr">
        <is>
          <t>NORSJÖ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54432-2021</t>
        </is>
      </c>
      <c r="B2441" s="1" t="n">
        <v>44472</v>
      </c>
      <c r="C2441" s="1" t="n">
        <v>45971</v>
      </c>
      <c r="D2441" t="inlineStr">
        <is>
          <t>VÄSTERBOTTENS LÄN</t>
        </is>
      </c>
      <c r="E2441" t="inlineStr">
        <is>
          <t>ÅSELE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2201-2025</t>
        </is>
      </c>
      <c r="B2442" s="1" t="n">
        <v>45673.39678240741</v>
      </c>
      <c r="C2442" s="1" t="n">
        <v>45971</v>
      </c>
      <c r="D2442" t="inlineStr">
        <is>
          <t>VÄSTERBOTTENS LÄN</t>
        </is>
      </c>
      <c r="E2442" t="inlineStr">
        <is>
          <t>VÄNNÄS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9181-2023</t>
        </is>
      </c>
      <c r="B2443" s="1" t="n">
        <v>44972</v>
      </c>
      <c r="C2443" s="1" t="n">
        <v>45971</v>
      </c>
      <c r="D2443" t="inlineStr">
        <is>
          <t>VÄSTERBOTTENS LÄN</t>
        </is>
      </c>
      <c r="E2443" t="inlineStr">
        <is>
          <t>VILHELMINA</t>
        </is>
      </c>
      <c r="F2443" t="inlineStr">
        <is>
          <t>Allmännings- och besparingsskogar</t>
        </is>
      </c>
      <c r="G2443" t="n">
        <v>220.1</v>
      </c>
      <c r="H2443" t="n">
        <v>0</v>
      </c>
      <c r="I2443" t="n">
        <v>0</v>
      </c>
      <c r="J2443" t="n">
        <v>0</v>
      </c>
      <c r="K2443" t="n">
        <v>0</v>
      </c>
      <c r="L2443" t="n">
        <v>0</v>
      </c>
      <c r="M2443" t="n">
        <v>0</v>
      </c>
      <c r="N2443" t="n">
        <v>0</v>
      </c>
      <c r="O2443" t="n">
        <v>0</v>
      </c>
      <c r="P2443" t="n">
        <v>0</v>
      </c>
      <c r="Q2443" t="n">
        <v>0</v>
      </c>
      <c r="R2443" s="2" t="inlineStr"/>
    </row>
    <row r="2444" ht="15" customHeight="1">
      <c r="A2444" t="inlineStr">
        <is>
          <t>A 6016-2023</t>
        </is>
      </c>
      <c r="B2444" s="1" t="n">
        <v>44959</v>
      </c>
      <c r="C2444" s="1" t="n">
        <v>45971</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30618-2023</t>
        </is>
      </c>
      <c r="B2445" s="1" t="n">
        <v>45112.41425925926</v>
      </c>
      <c r="C2445" s="1" t="n">
        <v>45971</v>
      </c>
      <c r="D2445" t="inlineStr">
        <is>
          <t>VÄSTERBOTTENS LÄN</t>
        </is>
      </c>
      <c r="E2445" t="inlineStr">
        <is>
          <t>ÅSELE</t>
        </is>
      </c>
      <c r="F2445" t="inlineStr">
        <is>
          <t>Sveaskog</t>
        </is>
      </c>
      <c r="G2445" t="n">
        <v>18.7</v>
      </c>
      <c r="H2445" t="n">
        <v>0</v>
      </c>
      <c r="I2445" t="n">
        <v>0</v>
      </c>
      <c r="J2445" t="n">
        <v>0</v>
      </c>
      <c r="K2445" t="n">
        <v>0</v>
      </c>
      <c r="L2445" t="n">
        <v>0</v>
      </c>
      <c r="M2445" t="n">
        <v>0</v>
      </c>
      <c r="N2445" t="n">
        <v>0</v>
      </c>
      <c r="O2445" t="n">
        <v>0</v>
      </c>
      <c r="P2445" t="n">
        <v>0</v>
      </c>
      <c r="Q2445" t="n">
        <v>0</v>
      </c>
      <c r="R2445" s="2" t="inlineStr"/>
    </row>
    <row r="2446" ht="15" customHeight="1">
      <c r="A2446" t="inlineStr">
        <is>
          <t>A 3266-2022</t>
        </is>
      </c>
      <c r="B2446" s="1" t="n">
        <v>44583.87421296296</v>
      </c>
      <c r="C2446" s="1" t="n">
        <v>45971</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46965-2024</t>
        </is>
      </c>
      <c r="B2447" s="1" t="n">
        <v>45586.32023148148</v>
      </c>
      <c r="C2447" s="1" t="n">
        <v>45971</v>
      </c>
      <c r="D2447" t="inlineStr">
        <is>
          <t>VÄSTERBOTTENS LÄN</t>
        </is>
      </c>
      <c r="E2447" t="inlineStr">
        <is>
          <t>DOROTEA</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21590-2023</t>
        </is>
      </c>
      <c r="B2448" s="1" t="n">
        <v>45063</v>
      </c>
      <c r="C2448" s="1" t="n">
        <v>45971</v>
      </c>
      <c r="D2448" t="inlineStr">
        <is>
          <t>VÄSTERBOTTENS LÄN</t>
        </is>
      </c>
      <c r="E2448" t="inlineStr">
        <is>
          <t>SORSELE</t>
        </is>
      </c>
      <c r="G2448" t="n">
        <v>54.1</v>
      </c>
      <c r="H2448" t="n">
        <v>0</v>
      </c>
      <c r="I2448" t="n">
        <v>0</v>
      </c>
      <c r="J2448" t="n">
        <v>0</v>
      </c>
      <c r="K2448" t="n">
        <v>0</v>
      </c>
      <c r="L2448" t="n">
        <v>0</v>
      </c>
      <c r="M2448" t="n">
        <v>0</v>
      </c>
      <c r="N2448" t="n">
        <v>0</v>
      </c>
      <c r="O2448" t="n">
        <v>0</v>
      </c>
      <c r="P2448" t="n">
        <v>0</v>
      </c>
      <c r="Q2448" t="n">
        <v>0</v>
      </c>
      <c r="R2448" s="2" t="inlineStr"/>
    </row>
    <row r="2449" ht="15" customHeight="1">
      <c r="A2449" t="inlineStr">
        <is>
          <t>A 72487-2021</t>
        </is>
      </c>
      <c r="B2449" s="1" t="n">
        <v>44545.92033564814</v>
      </c>
      <c r="C2449" s="1" t="n">
        <v>45971</v>
      </c>
      <c r="D2449" t="inlineStr">
        <is>
          <t>VÄSTERBOTTENS LÄN</t>
        </is>
      </c>
      <c r="E2449" t="inlineStr">
        <is>
          <t>VILHELMINA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28540-2023</t>
        </is>
      </c>
      <c r="B2450" s="1" t="n">
        <v>45103.49182870371</v>
      </c>
      <c r="C2450" s="1" t="n">
        <v>45971</v>
      </c>
      <c r="D2450" t="inlineStr">
        <is>
          <t>VÄSTERBOTTENS LÄN</t>
        </is>
      </c>
      <c r="E2450" t="inlineStr">
        <is>
          <t>LYCKSELE</t>
        </is>
      </c>
      <c r="F2450" t="inlineStr">
        <is>
          <t>Sveaskog</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39400-2024</t>
        </is>
      </c>
      <c r="B2451" s="1" t="n">
        <v>45551.55501157408</v>
      </c>
      <c r="C2451" s="1" t="n">
        <v>45971</v>
      </c>
      <c r="D2451" t="inlineStr">
        <is>
          <t>VÄSTERBOTTENS LÄN</t>
        </is>
      </c>
      <c r="E2451" t="inlineStr">
        <is>
          <t>NORSJÖ</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36763-2023</t>
        </is>
      </c>
      <c r="B2452" s="1" t="n">
        <v>45153</v>
      </c>
      <c r="C2452" s="1" t="n">
        <v>45971</v>
      </c>
      <c r="D2452" t="inlineStr">
        <is>
          <t>VÄSTERBOTTENS LÄN</t>
        </is>
      </c>
      <c r="E2452" t="inlineStr">
        <is>
          <t>DOROTEA</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62082-2022</t>
        </is>
      </c>
      <c r="B2453" s="1" t="n">
        <v>44918</v>
      </c>
      <c r="C2453" s="1" t="n">
        <v>45971</v>
      </c>
      <c r="D2453" t="inlineStr">
        <is>
          <t>VÄSTERBOTTENS LÄN</t>
        </is>
      </c>
      <c r="E2453" t="inlineStr">
        <is>
          <t>BJURHOLM</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62084-2022</t>
        </is>
      </c>
      <c r="B2454" s="1" t="n">
        <v>44919</v>
      </c>
      <c r="C2454" s="1" t="n">
        <v>45971</v>
      </c>
      <c r="D2454" t="inlineStr">
        <is>
          <t>VÄSTERBOTTENS LÄN</t>
        </is>
      </c>
      <c r="E2454" t="inlineStr">
        <is>
          <t>ROBERTSFORS</t>
        </is>
      </c>
      <c r="G2454" t="n">
        <v>64.7</v>
      </c>
      <c r="H2454" t="n">
        <v>0</v>
      </c>
      <c r="I2454" t="n">
        <v>0</v>
      </c>
      <c r="J2454" t="n">
        <v>0</v>
      </c>
      <c r="K2454" t="n">
        <v>0</v>
      </c>
      <c r="L2454" t="n">
        <v>0</v>
      </c>
      <c r="M2454" t="n">
        <v>0</v>
      </c>
      <c r="N2454" t="n">
        <v>0</v>
      </c>
      <c r="O2454" t="n">
        <v>0</v>
      </c>
      <c r="P2454" t="n">
        <v>0</v>
      </c>
      <c r="Q2454" t="n">
        <v>0</v>
      </c>
      <c r="R2454" s="2" t="inlineStr"/>
    </row>
    <row r="2455" ht="15" customHeight="1">
      <c r="A2455" t="inlineStr">
        <is>
          <t>A 35731-2023</t>
        </is>
      </c>
      <c r="B2455" s="1" t="n">
        <v>45147</v>
      </c>
      <c r="C2455" s="1" t="n">
        <v>45971</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16623-2023</t>
        </is>
      </c>
      <c r="B2456" s="1" t="n">
        <v>45027</v>
      </c>
      <c r="C2456" s="1" t="n">
        <v>45971</v>
      </c>
      <c r="D2456" t="inlineStr">
        <is>
          <t>VÄSTERBOTTENS LÄN</t>
        </is>
      </c>
      <c r="E2456" t="inlineStr">
        <is>
          <t>SORSELE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15231-2024</t>
        </is>
      </c>
      <c r="B2457" s="1" t="n">
        <v>45400</v>
      </c>
      <c r="C2457" s="1" t="n">
        <v>45971</v>
      </c>
      <c r="D2457" t="inlineStr">
        <is>
          <t>VÄSTERBOTTENS LÄN</t>
        </is>
      </c>
      <c r="E2457" t="inlineStr">
        <is>
          <t>SORSELE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57666-2021</t>
        </is>
      </c>
      <c r="B2458" s="1" t="n">
        <v>44484</v>
      </c>
      <c r="C2458" s="1" t="n">
        <v>45971</v>
      </c>
      <c r="D2458" t="inlineStr">
        <is>
          <t>VÄSTERBOTTENS LÄN</t>
        </is>
      </c>
      <c r="E2458" t="inlineStr">
        <is>
          <t>LYCKSELE</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54727-2022</t>
        </is>
      </c>
      <c r="B2459" s="1" t="n">
        <v>44881</v>
      </c>
      <c r="C2459" s="1" t="n">
        <v>45971</v>
      </c>
      <c r="D2459" t="inlineStr">
        <is>
          <t>VÄSTERBOTTENS LÄN</t>
        </is>
      </c>
      <c r="E2459" t="inlineStr">
        <is>
          <t>VILHELMINA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57580-2021</t>
        </is>
      </c>
      <c r="B2460" s="1" t="n">
        <v>44482</v>
      </c>
      <c r="C2460" s="1" t="n">
        <v>45971</v>
      </c>
      <c r="D2460" t="inlineStr">
        <is>
          <t>VÄSTERBOTTENS LÄN</t>
        </is>
      </c>
      <c r="E2460" t="inlineStr">
        <is>
          <t>DOROTEA</t>
        </is>
      </c>
      <c r="F2460" t="inlineStr">
        <is>
          <t>Övriga statliga verk och myndigheter</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60871-2023</t>
        </is>
      </c>
      <c r="B2461" s="1" t="n">
        <v>45260.96678240741</v>
      </c>
      <c r="C2461" s="1" t="n">
        <v>45971</v>
      </c>
      <c r="D2461" t="inlineStr">
        <is>
          <t>VÄSTERBOTTENS LÄN</t>
        </is>
      </c>
      <c r="E2461" t="inlineStr">
        <is>
          <t>VINDELN</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50730-2022</t>
        </is>
      </c>
      <c r="B2462" s="1" t="n">
        <v>44867</v>
      </c>
      <c r="C2462" s="1" t="n">
        <v>45971</v>
      </c>
      <c r="D2462" t="inlineStr">
        <is>
          <t>VÄSTERBOTTENS LÄN</t>
        </is>
      </c>
      <c r="E2462" t="inlineStr">
        <is>
          <t>NORSJÖ</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57370-2021</t>
        </is>
      </c>
      <c r="B2463" s="1" t="n">
        <v>44483</v>
      </c>
      <c r="C2463" s="1" t="n">
        <v>45971</v>
      </c>
      <c r="D2463" t="inlineStr">
        <is>
          <t>VÄSTERBOTTENS LÄN</t>
        </is>
      </c>
      <c r="E2463" t="inlineStr">
        <is>
          <t>SKELLEFTEÅ</t>
        </is>
      </c>
      <c r="F2463" t="inlineStr">
        <is>
          <t>Holmen skog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48133-2022</t>
        </is>
      </c>
      <c r="B2464" s="1" t="n">
        <v>44857</v>
      </c>
      <c r="C2464" s="1" t="n">
        <v>45971</v>
      </c>
      <c r="D2464" t="inlineStr">
        <is>
          <t>VÄSTERBOTTENS LÄN</t>
        </is>
      </c>
      <c r="E2464" t="inlineStr">
        <is>
          <t>SKELLEFTEÅ</t>
        </is>
      </c>
      <c r="F2464" t="inlineStr">
        <is>
          <t>Sveaskog</t>
        </is>
      </c>
      <c r="G2464" t="n">
        <v>18.3</v>
      </c>
      <c r="H2464" t="n">
        <v>0</v>
      </c>
      <c r="I2464" t="n">
        <v>0</v>
      </c>
      <c r="J2464" t="n">
        <v>0</v>
      </c>
      <c r="K2464" t="n">
        <v>0</v>
      </c>
      <c r="L2464" t="n">
        <v>0</v>
      </c>
      <c r="M2464" t="n">
        <v>0</v>
      </c>
      <c r="N2464" t="n">
        <v>0</v>
      </c>
      <c r="O2464" t="n">
        <v>0</v>
      </c>
      <c r="P2464" t="n">
        <v>0</v>
      </c>
      <c r="Q2464" t="n">
        <v>0</v>
      </c>
      <c r="R2464" s="2" t="inlineStr"/>
    </row>
    <row r="2465" ht="15" customHeight="1">
      <c r="A2465" t="inlineStr">
        <is>
          <t>A 2425-2025</t>
        </is>
      </c>
      <c r="B2465" s="1" t="n">
        <v>45674</v>
      </c>
      <c r="C2465" s="1" t="n">
        <v>45971</v>
      </c>
      <c r="D2465" t="inlineStr">
        <is>
          <t>VÄSTERBOTTENS LÄN</t>
        </is>
      </c>
      <c r="E2465" t="inlineStr">
        <is>
          <t>VINDELN</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45549-2021</t>
        </is>
      </c>
      <c r="B2466" s="1" t="n">
        <v>44440</v>
      </c>
      <c r="C2466" s="1" t="n">
        <v>45971</v>
      </c>
      <c r="D2466" t="inlineStr">
        <is>
          <t>VÄSTERBOTTENS LÄN</t>
        </is>
      </c>
      <c r="E2466" t="inlineStr">
        <is>
          <t>MALÅ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48440-2023</t>
        </is>
      </c>
      <c r="B2467" s="1" t="n">
        <v>45205</v>
      </c>
      <c r="C2467" s="1" t="n">
        <v>45971</v>
      </c>
      <c r="D2467" t="inlineStr">
        <is>
          <t>VÄSTERBOTTENS LÄN</t>
        </is>
      </c>
      <c r="E2467" t="inlineStr">
        <is>
          <t>ÅSELE</t>
        </is>
      </c>
      <c r="F2467" t="inlineStr">
        <is>
          <t>SCA</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39152-2023</t>
        </is>
      </c>
      <c r="B2468" s="1" t="n">
        <v>45166</v>
      </c>
      <c r="C2468" s="1" t="n">
        <v>45971</v>
      </c>
      <c r="D2468" t="inlineStr">
        <is>
          <t>VÄSTERBOTTENS LÄN</t>
        </is>
      </c>
      <c r="E2468" t="inlineStr">
        <is>
          <t>MALÅ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39153-2023</t>
        </is>
      </c>
      <c r="B2469" s="1" t="n">
        <v>45166</v>
      </c>
      <c r="C2469" s="1" t="n">
        <v>45971</v>
      </c>
      <c r="D2469" t="inlineStr">
        <is>
          <t>VÄSTERBOTTENS LÄN</t>
        </is>
      </c>
      <c r="E2469" t="inlineStr">
        <is>
          <t>MALÅ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14627-2022</t>
        </is>
      </c>
      <c r="B2470" s="1" t="n">
        <v>44655.64009259259</v>
      </c>
      <c r="C2470" s="1" t="n">
        <v>45971</v>
      </c>
      <c r="D2470" t="inlineStr">
        <is>
          <t>VÄSTERBOTTENS LÄN</t>
        </is>
      </c>
      <c r="E2470" t="inlineStr">
        <is>
          <t>SKELLEFTEÅ</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8917-2023</t>
        </is>
      </c>
      <c r="B2471" s="1" t="n">
        <v>44979.3956712963</v>
      </c>
      <c r="C2471" s="1" t="n">
        <v>45971</v>
      </c>
      <c r="D2471" t="inlineStr">
        <is>
          <t>VÄSTERBOTTENS LÄN</t>
        </is>
      </c>
      <c r="E2471" t="inlineStr">
        <is>
          <t>LYCKSELE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60088-2021</t>
        </is>
      </c>
      <c r="B2472" s="1" t="n">
        <v>44495</v>
      </c>
      <c r="C2472" s="1" t="n">
        <v>45971</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49525-2022</t>
        </is>
      </c>
      <c r="B2473" s="1" t="n">
        <v>44861.95695601852</v>
      </c>
      <c r="C2473" s="1" t="n">
        <v>45971</v>
      </c>
      <c r="D2473" t="inlineStr">
        <is>
          <t>VÄSTERBOTTENS LÄN</t>
        </is>
      </c>
      <c r="E2473" t="inlineStr">
        <is>
          <t>NORDMALING</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68036-2021</t>
        </is>
      </c>
      <c r="B2474" s="1" t="n">
        <v>44525</v>
      </c>
      <c r="C2474" s="1" t="n">
        <v>45971</v>
      </c>
      <c r="D2474" t="inlineStr">
        <is>
          <t>VÄSTERBOTTENS LÄN</t>
        </is>
      </c>
      <c r="E2474" t="inlineStr">
        <is>
          <t>MALÅ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54081-2022</t>
        </is>
      </c>
      <c r="B2475" s="1" t="n">
        <v>44881</v>
      </c>
      <c r="C2475" s="1" t="n">
        <v>45971</v>
      </c>
      <c r="D2475" t="inlineStr">
        <is>
          <t>VÄSTERBOTTENS LÄN</t>
        </is>
      </c>
      <c r="E2475" t="inlineStr">
        <is>
          <t>SKELLEFTEÅ</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3456-2023</t>
        </is>
      </c>
      <c r="B2476" s="1" t="n">
        <v>44949</v>
      </c>
      <c r="C2476" s="1" t="n">
        <v>45971</v>
      </c>
      <c r="D2476" t="inlineStr">
        <is>
          <t>VÄSTERBOTTENS LÄN</t>
        </is>
      </c>
      <c r="E2476" t="inlineStr">
        <is>
          <t>NORDMALING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39283-2022</t>
        </is>
      </c>
      <c r="B2477" s="1" t="n">
        <v>44817</v>
      </c>
      <c r="C2477" s="1" t="n">
        <v>45971</v>
      </c>
      <c r="D2477" t="inlineStr">
        <is>
          <t>VÄSTERBOTTENS LÄN</t>
        </is>
      </c>
      <c r="E2477" t="inlineStr">
        <is>
          <t>ROBERTSFORS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61299-2021</t>
        </is>
      </c>
      <c r="B2478" s="1" t="n">
        <v>44498.62789351852</v>
      </c>
      <c r="C2478" s="1" t="n">
        <v>45971</v>
      </c>
      <c r="D2478" t="inlineStr">
        <is>
          <t>VÄSTERBOTTENS LÄN</t>
        </is>
      </c>
      <c r="E2478" t="inlineStr">
        <is>
          <t>ÅSELE</t>
        </is>
      </c>
      <c r="F2478" t="inlineStr">
        <is>
          <t>Sveaskog</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72553-2021</t>
        </is>
      </c>
      <c r="B2479" s="1" t="n">
        <v>44545</v>
      </c>
      <c r="C2479" s="1" t="n">
        <v>45971</v>
      </c>
      <c r="D2479" t="inlineStr">
        <is>
          <t>VÄSTERBOTTENS LÄN</t>
        </is>
      </c>
      <c r="E2479" t="inlineStr">
        <is>
          <t>VINDELN</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70168-2021</t>
        </is>
      </c>
      <c r="B2480" s="1" t="n">
        <v>44533.82237268519</v>
      </c>
      <c r="C2480" s="1" t="n">
        <v>45971</v>
      </c>
      <c r="D2480" t="inlineStr">
        <is>
          <t>VÄSTERBOTTENS LÄN</t>
        </is>
      </c>
      <c r="E2480" t="inlineStr">
        <is>
          <t>SKELLEFTEÅ</t>
        </is>
      </c>
      <c r="F2480" t="inlineStr">
        <is>
          <t>Sveaskog</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35935-2024</t>
        </is>
      </c>
      <c r="B2481" s="1" t="n">
        <v>45533.45237268518</v>
      </c>
      <c r="C2481" s="1" t="n">
        <v>45971</v>
      </c>
      <c r="D2481" t="inlineStr">
        <is>
          <t>VÄSTERBOTTENS LÄN</t>
        </is>
      </c>
      <c r="E2481" t="inlineStr">
        <is>
          <t>NORSJÖ</t>
        </is>
      </c>
      <c r="F2481" t="inlineStr">
        <is>
          <t>Holmen skog AB</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69996-2021</t>
        </is>
      </c>
      <c r="B2482" s="1" t="n">
        <v>44533</v>
      </c>
      <c r="C2482" s="1" t="n">
        <v>45971</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5972-2022</t>
        </is>
      </c>
      <c r="B2483" s="1" t="n">
        <v>44599.3759375</v>
      </c>
      <c r="C2483" s="1" t="n">
        <v>45971</v>
      </c>
      <c r="D2483" t="inlineStr">
        <is>
          <t>VÄSTERBOTTENS LÄN</t>
        </is>
      </c>
      <c r="E2483" t="inlineStr">
        <is>
          <t>SKELLEFTEÅ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12190-2024</t>
        </is>
      </c>
      <c r="B2484" s="1" t="n">
        <v>45377.94954861111</v>
      </c>
      <c r="C2484" s="1" t="n">
        <v>45971</v>
      </c>
      <c r="D2484" t="inlineStr">
        <is>
          <t>VÄSTERBOTTENS LÄN</t>
        </is>
      </c>
      <c r="E2484" t="inlineStr">
        <is>
          <t>VILHELMINA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20161-2025</t>
        </is>
      </c>
      <c r="B2485" s="1" t="n">
        <v>45772.56854166667</v>
      </c>
      <c r="C2485" s="1" t="n">
        <v>45971</v>
      </c>
      <c r="D2485" t="inlineStr">
        <is>
          <t>VÄSTERBOTTENS LÄN</t>
        </is>
      </c>
      <c r="E2485" t="inlineStr">
        <is>
          <t>LYCKSELE</t>
        </is>
      </c>
      <c r="F2485" t="inlineStr">
        <is>
          <t>Holmen skog AB</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3616-2025</t>
        </is>
      </c>
      <c r="B2486" s="1" t="n">
        <v>45681.36523148148</v>
      </c>
      <c r="C2486" s="1" t="n">
        <v>45971</v>
      </c>
      <c r="D2486" t="inlineStr">
        <is>
          <t>VÄSTERBOTTENS LÄN</t>
        </is>
      </c>
      <c r="E2486" t="inlineStr">
        <is>
          <t>DOROTEA</t>
        </is>
      </c>
      <c r="F2486" t="inlineStr">
        <is>
          <t>SCA</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3626-2025</t>
        </is>
      </c>
      <c r="B2487" s="1" t="n">
        <v>45681.37163194444</v>
      </c>
      <c r="C2487" s="1" t="n">
        <v>45971</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48117-2022</t>
        </is>
      </c>
      <c r="B2488" s="1" t="n">
        <v>44857</v>
      </c>
      <c r="C2488" s="1" t="n">
        <v>45971</v>
      </c>
      <c r="D2488" t="inlineStr">
        <is>
          <t>VÄSTERBOTTENS LÄN</t>
        </is>
      </c>
      <c r="E2488" t="inlineStr">
        <is>
          <t>VILHELMINA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2326-2025</t>
        </is>
      </c>
      <c r="B2489" s="1" t="n">
        <v>45673.63425925926</v>
      </c>
      <c r="C2489" s="1" t="n">
        <v>45971</v>
      </c>
      <c r="D2489" t="inlineStr">
        <is>
          <t>VÄSTERBOTTENS LÄN</t>
        </is>
      </c>
      <c r="E2489" t="inlineStr">
        <is>
          <t>SKELLEFTEÅ</t>
        </is>
      </c>
      <c r="F2489" t="inlineStr">
        <is>
          <t>Holmen skog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61024-2024</t>
        </is>
      </c>
      <c r="B2490" s="1" t="n">
        <v>45645.45579861111</v>
      </c>
      <c r="C2490" s="1" t="n">
        <v>45971</v>
      </c>
      <c r="D2490" t="inlineStr">
        <is>
          <t>VÄSTERBOTTENS LÄN</t>
        </is>
      </c>
      <c r="E2490" t="inlineStr">
        <is>
          <t>VINDELN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30456-2022</t>
        </is>
      </c>
      <c r="B2491" s="1" t="n">
        <v>44761</v>
      </c>
      <c r="C2491" s="1" t="n">
        <v>45971</v>
      </c>
      <c r="D2491" t="inlineStr">
        <is>
          <t>VÄSTERBOTTENS LÄN</t>
        </is>
      </c>
      <c r="E2491" t="inlineStr">
        <is>
          <t>DOROTEA</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50531-2022</t>
        </is>
      </c>
      <c r="B2492" s="1" t="n">
        <v>44866.57714120371</v>
      </c>
      <c r="C2492" s="1" t="n">
        <v>45971</v>
      </c>
      <c r="D2492" t="inlineStr">
        <is>
          <t>VÄSTERBOTTENS LÄN</t>
        </is>
      </c>
      <c r="E2492" t="inlineStr">
        <is>
          <t>SKELLEFTEÅ</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12506-2023</t>
        </is>
      </c>
      <c r="B2493" s="1" t="n">
        <v>44999</v>
      </c>
      <c r="C2493" s="1" t="n">
        <v>45971</v>
      </c>
      <c r="D2493" t="inlineStr">
        <is>
          <t>VÄSTERBOTTENS LÄN</t>
        </is>
      </c>
      <c r="E2493" t="inlineStr">
        <is>
          <t>SORSELE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26473-2021</t>
        </is>
      </c>
      <c r="B2494" s="1" t="n">
        <v>44348</v>
      </c>
      <c r="C2494" s="1" t="n">
        <v>45971</v>
      </c>
      <c r="D2494" t="inlineStr">
        <is>
          <t>VÄSTERBOTTENS LÄN</t>
        </is>
      </c>
      <c r="E2494" t="inlineStr">
        <is>
          <t>SKELLEFTEÅ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27495-2024</t>
        </is>
      </c>
      <c r="B2495" s="1" t="n">
        <v>45474.4971875</v>
      </c>
      <c r="C2495" s="1" t="n">
        <v>45971</v>
      </c>
      <c r="D2495" t="inlineStr">
        <is>
          <t>VÄSTERBOTTENS LÄN</t>
        </is>
      </c>
      <c r="E2495" t="inlineStr">
        <is>
          <t>LYCKSELE</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33184-2023</t>
        </is>
      </c>
      <c r="B2496" s="1" t="n">
        <v>45114</v>
      </c>
      <c r="C2496" s="1" t="n">
        <v>45971</v>
      </c>
      <c r="D2496" t="inlineStr">
        <is>
          <t>VÄSTERBOTTENS LÄN</t>
        </is>
      </c>
      <c r="E2496" t="inlineStr">
        <is>
          <t>SKELLEFTEÅ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25515-2021</t>
        </is>
      </c>
      <c r="B2497" s="1" t="n">
        <v>44342.94759259259</v>
      </c>
      <c r="C2497" s="1" t="n">
        <v>45971</v>
      </c>
      <c r="D2497" t="inlineStr">
        <is>
          <t>VÄSTERBOTTENS LÄN</t>
        </is>
      </c>
      <c r="E2497" t="inlineStr">
        <is>
          <t>SKELLEFTEÅ</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16219-2024</t>
        </is>
      </c>
      <c r="B2498" s="1" t="n">
        <v>45406.96375</v>
      </c>
      <c r="C2498" s="1" t="n">
        <v>45971</v>
      </c>
      <c r="D2498" t="inlineStr">
        <is>
          <t>VÄSTERBOTTENS LÄN</t>
        </is>
      </c>
      <c r="E2498" t="inlineStr">
        <is>
          <t>LYCKSELE</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48006-2023</t>
        </is>
      </c>
      <c r="B2499" s="1" t="n">
        <v>45198</v>
      </c>
      <c r="C2499" s="1" t="n">
        <v>45971</v>
      </c>
      <c r="D2499" t="inlineStr">
        <is>
          <t>VÄSTERBOTTENS LÄN</t>
        </is>
      </c>
      <c r="E2499" t="inlineStr">
        <is>
          <t>DOROTEA</t>
        </is>
      </c>
      <c r="F2499" t="inlineStr">
        <is>
          <t>Övriga statliga verk och myndigheter</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12507-2023</t>
        </is>
      </c>
      <c r="B2500" s="1" t="n">
        <v>44999</v>
      </c>
      <c r="C2500" s="1" t="n">
        <v>45971</v>
      </c>
      <c r="D2500" t="inlineStr">
        <is>
          <t>VÄSTERBOTTENS LÄN</t>
        </is>
      </c>
      <c r="E2500" t="inlineStr">
        <is>
          <t>SORSELE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57819-2023</t>
        </is>
      </c>
      <c r="B2501" s="1" t="n">
        <v>45244</v>
      </c>
      <c r="C2501" s="1" t="n">
        <v>45971</v>
      </c>
      <c r="D2501" t="inlineStr">
        <is>
          <t>VÄSTERBOTTENS LÄN</t>
        </is>
      </c>
      <c r="E2501" t="inlineStr">
        <is>
          <t>VINDELN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48082-2021</t>
        </is>
      </c>
      <c r="B2502" s="1" t="n">
        <v>44449.42745370371</v>
      </c>
      <c r="C2502" s="1" t="n">
        <v>45971</v>
      </c>
      <c r="D2502" t="inlineStr">
        <is>
          <t>VÄSTERBOTTENS LÄN</t>
        </is>
      </c>
      <c r="E2502" t="inlineStr">
        <is>
          <t>ÅSELE</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38285-2022</t>
        </is>
      </c>
      <c r="B2503" s="1" t="n">
        <v>44812</v>
      </c>
      <c r="C2503" s="1" t="n">
        <v>45971</v>
      </c>
      <c r="D2503" t="inlineStr">
        <is>
          <t>VÄSTERBOTTENS LÄN</t>
        </is>
      </c>
      <c r="E2503" t="inlineStr">
        <is>
          <t>NORDMALING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39104-2022</t>
        </is>
      </c>
      <c r="B2504" s="1" t="n">
        <v>44816</v>
      </c>
      <c r="C2504" s="1" t="n">
        <v>45971</v>
      </c>
      <c r="D2504" t="inlineStr">
        <is>
          <t>VÄSTERBOTTENS LÄN</t>
        </is>
      </c>
      <c r="E2504" t="inlineStr">
        <is>
          <t>NORDMALING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4869-2023</t>
        </is>
      </c>
      <c r="B2505" s="1" t="n">
        <v>44957</v>
      </c>
      <c r="C2505" s="1" t="n">
        <v>45971</v>
      </c>
      <c r="D2505" t="inlineStr">
        <is>
          <t>VÄSTERBOTTENS LÄN</t>
        </is>
      </c>
      <c r="E2505" t="inlineStr">
        <is>
          <t>VILHELMINA</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20749-2024</t>
        </is>
      </c>
      <c r="B2506" s="1" t="n">
        <v>45436</v>
      </c>
      <c r="C2506" s="1" t="n">
        <v>45971</v>
      </c>
      <c r="D2506" t="inlineStr">
        <is>
          <t>VÄSTERBOTTENS LÄN</t>
        </is>
      </c>
      <c r="E2506" t="inlineStr">
        <is>
          <t>UMEÅ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45757-2024</t>
        </is>
      </c>
      <c r="B2507" s="1" t="n">
        <v>45579.63565972223</v>
      </c>
      <c r="C2507" s="1" t="n">
        <v>45971</v>
      </c>
      <c r="D2507" t="inlineStr">
        <is>
          <t>VÄSTERBOTTENS LÄN</t>
        </is>
      </c>
      <c r="E2507" t="inlineStr">
        <is>
          <t>SKELLEFTEÅ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54457-2024</t>
        </is>
      </c>
      <c r="B2508" s="1" t="n">
        <v>45617</v>
      </c>
      <c r="C2508" s="1" t="n">
        <v>45971</v>
      </c>
      <c r="D2508" t="inlineStr">
        <is>
          <t>VÄSTERBOTTENS LÄN</t>
        </is>
      </c>
      <c r="E2508" t="inlineStr">
        <is>
          <t>VILHELMINA</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62700-2022</t>
        </is>
      </c>
      <c r="B2509" s="1" t="n">
        <v>44925.59396990741</v>
      </c>
      <c r="C2509" s="1" t="n">
        <v>45971</v>
      </c>
      <c r="D2509" t="inlineStr">
        <is>
          <t>VÄSTERBOTTENS LÄN</t>
        </is>
      </c>
      <c r="E2509" t="inlineStr">
        <is>
          <t>VINDELN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54167-2022</t>
        </is>
      </c>
      <c r="B2510" s="1" t="n">
        <v>44881</v>
      </c>
      <c r="C2510" s="1" t="n">
        <v>45971</v>
      </c>
      <c r="D2510" t="inlineStr">
        <is>
          <t>VÄSTERBOTTENS LÄN</t>
        </is>
      </c>
      <c r="E2510" t="inlineStr">
        <is>
          <t>LYCKSELE</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62715-2022</t>
        </is>
      </c>
      <c r="B2511" s="1" t="n">
        <v>44925.63133101852</v>
      </c>
      <c r="C2511" s="1" t="n">
        <v>45971</v>
      </c>
      <c r="D2511" t="inlineStr">
        <is>
          <t>VÄSTERBOTTENS LÄN</t>
        </is>
      </c>
      <c r="E2511" t="inlineStr">
        <is>
          <t>LYCKSELE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46643-2024</t>
        </is>
      </c>
      <c r="B2512" s="1" t="n">
        <v>45583.34958333334</v>
      </c>
      <c r="C2512" s="1" t="n">
        <v>45971</v>
      </c>
      <c r="D2512" t="inlineStr">
        <is>
          <t>VÄSTERBOTTENS LÄN</t>
        </is>
      </c>
      <c r="E2512" t="inlineStr">
        <is>
          <t>NORSJÖ</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37387-2024</t>
        </is>
      </c>
      <c r="B2513" s="1" t="n">
        <v>45540.58892361111</v>
      </c>
      <c r="C2513" s="1" t="n">
        <v>45971</v>
      </c>
      <c r="D2513" t="inlineStr">
        <is>
          <t>VÄSTERBOTTENS LÄN</t>
        </is>
      </c>
      <c r="E2513" t="inlineStr">
        <is>
          <t>VINDELN</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37391-2024</t>
        </is>
      </c>
      <c r="B2514" s="1" t="n">
        <v>45540.59409722222</v>
      </c>
      <c r="C2514" s="1" t="n">
        <v>45971</v>
      </c>
      <c r="D2514" t="inlineStr">
        <is>
          <t>VÄSTERBOTTENS LÄN</t>
        </is>
      </c>
      <c r="E2514" t="inlineStr">
        <is>
          <t>LYCKSELE</t>
        </is>
      </c>
      <c r="F2514" t="inlineStr">
        <is>
          <t>SCA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37395-2024</t>
        </is>
      </c>
      <c r="B2515" s="1" t="n">
        <v>45540.59734953703</v>
      </c>
      <c r="C2515" s="1" t="n">
        <v>45971</v>
      </c>
      <c r="D2515" t="inlineStr">
        <is>
          <t>VÄSTERBOTTENS LÄN</t>
        </is>
      </c>
      <c r="E2515" t="inlineStr">
        <is>
          <t>NORSJÖ</t>
        </is>
      </c>
      <c r="F2515" t="inlineStr">
        <is>
          <t>Holmen skog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15617-2024</t>
        </is>
      </c>
      <c r="B2516" s="1" t="n">
        <v>45401.94358796296</v>
      </c>
      <c r="C2516" s="1" t="n">
        <v>45971</v>
      </c>
      <c r="D2516" t="inlineStr">
        <is>
          <t>VÄSTERBOTTENS LÄN</t>
        </is>
      </c>
      <c r="E2516" t="inlineStr">
        <is>
          <t>VILHELMINA</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3097-2025</t>
        </is>
      </c>
      <c r="B2517" s="1" t="n">
        <v>45678.66665509259</v>
      </c>
      <c r="C2517" s="1" t="n">
        <v>45971</v>
      </c>
      <c r="D2517" t="inlineStr">
        <is>
          <t>VÄSTERBOTTENS LÄN</t>
        </is>
      </c>
      <c r="E2517" t="inlineStr">
        <is>
          <t>DOROTEA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3098-2025</t>
        </is>
      </c>
      <c r="B2518" s="1" t="n">
        <v>45678.66666666666</v>
      </c>
      <c r="C2518" s="1" t="n">
        <v>45971</v>
      </c>
      <c r="D2518" t="inlineStr">
        <is>
          <t>VÄSTERBOTTENS LÄN</t>
        </is>
      </c>
      <c r="E2518" t="inlineStr">
        <is>
          <t>DOROTEA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56960-2022</t>
        </is>
      </c>
      <c r="B2519" s="1" t="n">
        <v>44894</v>
      </c>
      <c r="C2519" s="1" t="n">
        <v>45971</v>
      </c>
      <c r="D2519" t="inlineStr">
        <is>
          <t>VÄSTERBOTTENS LÄN</t>
        </is>
      </c>
      <c r="E2519" t="inlineStr">
        <is>
          <t>SKELLEFTEÅ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37462-2024</t>
        </is>
      </c>
      <c r="B2520" s="1" t="n">
        <v>45540</v>
      </c>
      <c r="C2520" s="1" t="n">
        <v>45971</v>
      </c>
      <c r="D2520" t="inlineStr">
        <is>
          <t>VÄSTERBOTTENS LÄN</t>
        </is>
      </c>
      <c r="E2520" t="inlineStr">
        <is>
          <t>MALÅ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37467-2024</t>
        </is>
      </c>
      <c r="B2521" s="1" t="n">
        <v>45540</v>
      </c>
      <c r="C2521" s="1" t="n">
        <v>45971</v>
      </c>
      <c r="D2521" t="inlineStr">
        <is>
          <t>VÄSTERBOTTENS LÄN</t>
        </is>
      </c>
      <c r="E2521" t="inlineStr">
        <is>
          <t>MALÅ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37500-2024</t>
        </is>
      </c>
      <c r="B2522" s="1" t="n">
        <v>45541.36966435185</v>
      </c>
      <c r="C2522" s="1" t="n">
        <v>45971</v>
      </c>
      <c r="D2522" t="inlineStr">
        <is>
          <t>VÄSTERBOTTENS LÄN</t>
        </is>
      </c>
      <c r="E2522" t="inlineStr">
        <is>
          <t>LYCKSELE</t>
        </is>
      </c>
      <c r="F2522" t="inlineStr">
        <is>
          <t>Holmen skog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6721-2024</t>
        </is>
      </c>
      <c r="B2523" s="1" t="n">
        <v>45342</v>
      </c>
      <c r="C2523" s="1" t="n">
        <v>45971</v>
      </c>
      <c r="D2523" t="inlineStr">
        <is>
          <t>VÄSTERBOTTENS LÄN</t>
        </is>
      </c>
      <c r="E2523" t="inlineStr">
        <is>
          <t>BJURHOLM</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3165-2025</t>
        </is>
      </c>
      <c r="B2524" s="1" t="n">
        <v>45679.35350694445</v>
      </c>
      <c r="C2524" s="1" t="n">
        <v>45971</v>
      </c>
      <c r="D2524" t="inlineStr">
        <is>
          <t>VÄSTERBOTTENS LÄN</t>
        </is>
      </c>
      <c r="E2524" t="inlineStr">
        <is>
          <t>UMEÅ</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52270-2023</t>
        </is>
      </c>
      <c r="B2525" s="1" t="n">
        <v>45217</v>
      </c>
      <c r="C2525" s="1" t="n">
        <v>45971</v>
      </c>
      <c r="D2525" t="inlineStr">
        <is>
          <t>VÄSTERBOTTENS LÄN</t>
        </is>
      </c>
      <c r="E2525" t="inlineStr">
        <is>
          <t>MALÅ</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3181-2025</t>
        </is>
      </c>
      <c r="B2526" s="1" t="n">
        <v>45679.39748842592</v>
      </c>
      <c r="C2526" s="1" t="n">
        <v>45971</v>
      </c>
      <c r="D2526" t="inlineStr">
        <is>
          <t>VÄSTERBOTTENS LÄN</t>
        </is>
      </c>
      <c r="E2526" t="inlineStr">
        <is>
          <t>BJURHOLM</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46968-2024</t>
        </is>
      </c>
      <c r="B2527" s="1" t="n">
        <v>45586</v>
      </c>
      <c r="C2527" s="1" t="n">
        <v>45971</v>
      </c>
      <c r="D2527" t="inlineStr">
        <is>
          <t>VÄSTERBOTTENS LÄN</t>
        </is>
      </c>
      <c r="E2527" t="inlineStr">
        <is>
          <t>SKELLEFTEÅ</t>
        </is>
      </c>
      <c r="F2527" t="inlineStr">
        <is>
          <t>Sveaskog</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47050-2024</t>
        </is>
      </c>
      <c r="B2528" s="1" t="n">
        <v>45586.45775462963</v>
      </c>
      <c r="C2528" s="1" t="n">
        <v>45971</v>
      </c>
      <c r="D2528" t="inlineStr">
        <is>
          <t>VÄSTERBOTTENS LÄN</t>
        </is>
      </c>
      <c r="E2528" t="inlineStr">
        <is>
          <t>STORUMAN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40361-2024</t>
        </is>
      </c>
      <c r="B2529" s="1" t="n">
        <v>45555.37684027778</v>
      </c>
      <c r="C2529" s="1" t="n">
        <v>45971</v>
      </c>
      <c r="D2529" t="inlineStr">
        <is>
          <t>VÄSTERBOTTENS LÄN</t>
        </is>
      </c>
      <c r="E2529" t="inlineStr">
        <is>
          <t>LYCKSELE</t>
        </is>
      </c>
      <c r="G2529" t="n">
        <v>14.7</v>
      </c>
      <c r="H2529" t="n">
        <v>0</v>
      </c>
      <c r="I2529" t="n">
        <v>0</v>
      </c>
      <c r="J2529" t="n">
        <v>0</v>
      </c>
      <c r="K2529" t="n">
        <v>0</v>
      </c>
      <c r="L2529" t="n">
        <v>0</v>
      </c>
      <c r="M2529" t="n">
        <v>0</v>
      </c>
      <c r="N2529" t="n">
        <v>0</v>
      </c>
      <c r="O2529" t="n">
        <v>0</v>
      </c>
      <c r="P2529" t="n">
        <v>0</v>
      </c>
      <c r="Q2529" t="n">
        <v>0</v>
      </c>
      <c r="R2529" s="2" t="inlineStr"/>
    </row>
    <row r="2530" ht="15" customHeight="1">
      <c r="A2530" t="inlineStr">
        <is>
          <t>A 38272-2023</t>
        </is>
      </c>
      <c r="B2530" s="1" t="n">
        <v>45161</v>
      </c>
      <c r="C2530" s="1" t="n">
        <v>45971</v>
      </c>
      <c r="D2530" t="inlineStr">
        <is>
          <t>VÄSTERBOTTENS LÄN</t>
        </is>
      </c>
      <c r="E2530" t="inlineStr">
        <is>
          <t>NORSJÖ</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17432-2025</t>
        </is>
      </c>
      <c r="B2531" s="1" t="n">
        <v>45757</v>
      </c>
      <c r="C2531" s="1" t="n">
        <v>45971</v>
      </c>
      <c r="D2531" t="inlineStr">
        <is>
          <t>VÄSTERBOTTENS LÄN</t>
        </is>
      </c>
      <c r="E2531" t="inlineStr">
        <is>
          <t>VILHELMINA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17447-2025</t>
        </is>
      </c>
      <c r="B2532" s="1" t="n">
        <v>45757</v>
      </c>
      <c r="C2532" s="1" t="n">
        <v>45971</v>
      </c>
      <c r="D2532" t="inlineStr">
        <is>
          <t>VÄSTERBOTTENS LÄN</t>
        </is>
      </c>
      <c r="E2532" t="inlineStr">
        <is>
          <t>ÅSELE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47496-2024</t>
        </is>
      </c>
      <c r="B2533" s="1" t="n">
        <v>45587</v>
      </c>
      <c r="C2533" s="1" t="n">
        <v>45971</v>
      </c>
      <c r="D2533" t="inlineStr">
        <is>
          <t>VÄSTERBOTTENS LÄN</t>
        </is>
      </c>
      <c r="E2533" t="inlineStr">
        <is>
          <t>SKELLEFTEÅ</t>
        </is>
      </c>
      <c r="F2533" t="inlineStr">
        <is>
          <t>Holmen skog AB</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33648-2024</t>
        </is>
      </c>
      <c r="B2534" s="1" t="n">
        <v>45520.44971064815</v>
      </c>
      <c r="C2534" s="1" t="n">
        <v>45971</v>
      </c>
      <c r="D2534" t="inlineStr">
        <is>
          <t>VÄSTERBOTTENS LÄN</t>
        </is>
      </c>
      <c r="E2534" t="inlineStr">
        <is>
          <t>SORSELE</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55745-2022</t>
        </is>
      </c>
      <c r="B2535" s="1" t="n">
        <v>44886</v>
      </c>
      <c r="C2535" s="1" t="n">
        <v>45971</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47499-2024</t>
        </is>
      </c>
      <c r="B2536" s="1" t="n">
        <v>45587.59827546297</v>
      </c>
      <c r="C2536" s="1" t="n">
        <v>45971</v>
      </c>
      <c r="D2536" t="inlineStr">
        <is>
          <t>VÄSTERBOTTENS LÄN</t>
        </is>
      </c>
      <c r="E2536" t="inlineStr">
        <is>
          <t>BJURHOLM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33657-2024</t>
        </is>
      </c>
      <c r="B2537" s="1" t="n">
        <v>45520.46878472222</v>
      </c>
      <c r="C2537" s="1" t="n">
        <v>45971</v>
      </c>
      <c r="D2537" t="inlineStr">
        <is>
          <t>VÄSTERBOTTENS LÄN</t>
        </is>
      </c>
      <c r="E2537" t="inlineStr">
        <is>
          <t>VINDELN</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20497-2024</t>
        </is>
      </c>
      <c r="B2538" s="1" t="n">
        <v>45435</v>
      </c>
      <c r="C2538" s="1" t="n">
        <v>45971</v>
      </c>
      <c r="D2538" t="inlineStr">
        <is>
          <t>VÄSTERBOTTENS LÄN</t>
        </is>
      </c>
      <c r="E2538" t="inlineStr">
        <is>
          <t>SKELLEFTEÅ</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29323-2024</t>
        </is>
      </c>
      <c r="B2539" s="1" t="n">
        <v>45483.43054398148</v>
      </c>
      <c r="C2539" s="1" t="n">
        <v>45971</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8270-2023</t>
        </is>
      </c>
      <c r="B2540" s="1" t="n">
        <v>44971</v>
      </c>
      <c r="C2540" s="1" t="n">
        <v>45971</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5661-2021</t>
        </is>
      </c>
      <c r="B2541" s="1" t="n">
        <v>44230</v>
      </c>
      <c r="C2541" s="1" t="n">
        <v>45971</v>
      </c>
      <c r="D2541" t="inlineStr">
        <is>
          <t>VÄSTERBOTTENS LÄN</t>
        </is>
      </c>
      <c r="E2541" t="inlineStr">
        <is>
          <t>VINDELN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43599-2024</t>
        </is>
      </c>
      <c r="B2542" s="1" t="n">
        <v>45569</v>
      </c>
      <c r="C2542" s="1" t="n">
        <v>45971</v>
      </c>
      <c r="D2542" t="inlineStr">
        <is>
          <t>VÄSTERBOTTENS LÄN</t>
        </is>
      </c>
      <c r="E2542" t="inlineStr">
        <is>
          <t>SKELLEFTEÅ</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45036-2021</t>
        </is>
      </c>
      <c r="B2543" s="1" t="n">
        <v>44438</v>
      </c>
      <c r="C2543" s="1" t="n">
        <v>45971</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23753-2023</t>
        </is>
      </c>
      <c r="B2544" s="1" t="n">
        <v>45077</v>
      </c>
      <c r="C2544" s="1" t="n">
        <v>45971</v>
      </c>
      <c r="D2544" t="inlineStr">
        <is>
          <t>VÄSTERBOTTENS LÄN</t>
        </is>
      </c>
      <c r="E2544" t="inlineStr">
        <is>
          <t>NORDMALING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36991-2022</t>
        </is>
      </c>
      <c r="B2545" s="1" t="n">
        <v>44806</v>
      </c>
      <c r="C2545" s="1" t="n">
        <v>45971</v>
      </c>
      <c r="D2545" t="inlineStr">
        <is>
          <t>VÄSTERBOTTENS LÄN</t>
        </is>
      </c>
      <c r="E2545" t="inlineStr">
        <is>
          <t>BJURHOLM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19073-2023</t>
        </is>
      </c>
      <c r="B2546" s="1" t="n">
        <v>45048.37394675926</v>
      </c>
      <c r="C2546" s="1" t="n">
        <v>45971</v>
      </c>
      <c r="D2546" t="inlineStr">
        <is>
          <t>VÄSTERBOTTENS LÄN</t>
        </is>
      </c>
      <c r="E2546" t="inlineStr">
        <is>
          <t>SKELLEFTEÅ</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15379-2021</t>
        </is>
      </c>
      <c r="B2547" s="1" t="n">
        <v>44284</v>
      </c>
      <c r="C2547" s="1" t="n">
        <v>45971</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51476-2021</t>
        </is>
      </c>
      <c r="B2548" s="1" t="n">
        <v>44462</v>
      </c>
      <c r="C2548" s="1" t="n">
        <v>45971</v>
      </c>
      <c r="D2548" t="inlineStr">
        <is>
          <t>VÄSTERBOTTENS LÄN</t>
        </is>
      </c>
      <c r="E2548" t="inlineStr">
        <is>
          <t>SKELLEFTEÅ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10253-2024</t>
        </is>
      </c>
      <c r="B2549" s="1" t="n">
        <v>45365.3941550926</v>
      </c>
      <c r="C2549" s="1" t="n">
        <v>45971</v>
      </c>
      <c r="D2549" t="inlineStr">
        <is>
          <t>VÄSTERBOTTENS LÄN</t>
        </is>
      </c>
      <c r="E2549" t="inlineStr">
        <is>
          <t>LYCKSELE</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33952-2022</t>
        </is>
      </c>
      <c r="B2550" s="1" t="n">
        <v>44790</v>
      </c>
      <c r="C2550" s="1" t="n">
        <v>45971</v>
      </c>
      <c r="D2550" t="inlineStr">
        <is>
          <t>VÄSTERBOTTENS LÄN</t>
        </is>
      </c>
      <c r="E2550" t="inlineStr">
        <is>
          <t>UMEÅ</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6292-2021</t>
        </is>
      </c>
      <c r="B2551" s="1" t="n">
        <v>44235</v>
      </c>
      <c r="C2551" s="1" t="n">
        <v>45971</v>
      </c>
      <c r="D2551" t="inlineStr">
        <is>
          <t>VÄSTERBOTTENS LÄN</t>
        </is>
      </c>
      <c r="E2551" t="inlineStr">
        <is>
          <t>VÄNNÄS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50476-2024</t>
        </is>
      </c>
      <c r="B2552" s="1" t="n">
        <v>45601.47450231481</v>
      </c>
      <c r="C2552" s="1" t="n">
        <v>45971</v>
      </c>
      <c r="D2552" t="inlineStr">
        <is>
          <t>VÄSTERBOTTENS LÄN</t>
        </is>
      </c>
      <c r="E2552" t="inlineStr">
        <is>
          <t>SKELLEFTEÅ</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22831-2023</t>
        </is>
      </c>
      <c r="B2553" s="1" t="n">
        <v>45072.42990740741</v>
      </c>
      <c r="C2553" s="1" t="n">
        <v>45971</v>
      </c>
      <c r="D2553" t="inlineStr">
        <is>
          <t>VÄSTERBOTTENS LÄN</t>
        </is>
      </c>
      <c r="E2553" t="inlineStr">
        <is>
          <t>ÅSELE</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32183-2023</t>
        </is>
      </c>
      <c r="B2554" s="1" t="n">
        <v>45119</v>
      </c>
      <c r="C2554" s="1" t="n">
        <v>45971</v>
      </c>
      <c r="D2554" t="inlineStr">
        <is>
          <t>VÄSTERBOTTENS LÄN</t>
        </is>
      </c>
      <c r="E2554" t="inlineStr">
        <is>
          <t>NORDMALING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34035-2023</t>
        </is>
      </c>
      <c r="B2555" s="1" t="n">
        <v>45135.41648148148</v>
      </c>
      <c r="C2555" s="1" t="n">
        <v>45971</v>
      </c>
      <c r="D2555" t="inlineStr">
        <is>
          <t>VÄSTERBOTTENS LÄN</t>
        </is>
      </c>
      <c r="E2555" t="inlineStr">
        <is>
          <t>SKELLEFTEÅ</t>
        </is>
      </c>
      <c r="F2555" t="inlineStr">
        <is>
          <t>Holmen skog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34043-2023</t>
        </is>
      </c>
      <c r="B2556" s="1" t="n">
        <v>45135</v>
      </c>
      <c r="C2556" s="1" t="n">
        <v>45971</v>
      </c>
      <c r="D2556" t="inlineStr">
        <is>
          <t>VÄSTERBOTTENS LÄN</t>
        </is>
      </c>
      <c r="E2556" t="inlineStr">
        <is>
          <t>LYCKSELE</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59559-2022</t>
        </is>
      </c>
      <c r="B2557" s="1" t="n">
        <v>44900</v>
      </c>
      <c r="C2557" s="1" t="n">
        <v>45971</v>
      </c>
      <c r="D2557" t="inlineStr">
        <is>
          <t>VÄSTERBOTTENS LÄN</t>
        </is>
      </c>
      <c r="E2557" t="inlineStr">
        <is>
          <t>LYCKSELE</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34176-2023</t>
        </is>
      </c>
      <c r="B2558" s="1" t="n">
        <v>45126</v>
      </c>
      <c r="C2558" s="1" t="n">
        <v>45971</v>
      </c>
      <c r="D2558" t="inlineStr">
        <is>
          <t>VÄSTERBOTTENS LÄN</t>
        </is>
      </c>
      <c r="E2558" t="inlineStr">
        <is>
          <t>NORDMALING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26627-2024</t>
        </is>
      </c>
      <c r="B2559" s="1" t="n">
        <v>45469</v>
      </c>
      <c r="C2559" s="1" t="n">
        <v>45971</v>
      </c>
      <c r="D2559" t="inlineStr">
        <is>
          <t>VÄSTERBOTTENS LÄN</t>
        </is>
      </c>
      <c r="E2559" t="inlineStr">
        <is>
          <t>NORDMALING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26637-2024</t>
        </is>
      </c>
      <c r="B2560" s="1" t="n">
        <v>45469.92811342593</v>
      </c>
      <c r="C2560" s="1" t="n">
        <v>45971</v>
      </c>
      <c r="D2560" t="inlineStr">
        <is>
          <t>VÄSTERBOTTENS LÄN</t>
        </is>
      </c>
      <c r="E2560" t="inlineStr">
        <is>
          <t>DOROTEA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34799-2023</t>
        </is>
      </c>
      <c r="B2561" s="1" t="n">
        <v>45140</v>
      </c>
      <c r="C2561" s="1" t="n">
        <v>45971</v>
      </c>
      <c r="D2561" t="inlineStr">
        <is>
          <t>VÄSTERBOTTENS LÄN</t>
        </is>
      </c>
      <c r="E2561" t="inlineStr">
        <is>
          <t>VILHELMINA</t>
        </is>
      </c>
      <c r="G2561" t="n">
        <v>17.4</v>
      </c>
      <c r="H2561" t="n">
        <v>0</v>
      </c>
      <c r="I2561" t="n">
        <v>0</v>
      </c>
      <c r="J2561" t="n">
        <v>0</v>
      </c>
      <c r="K2561" t="n">
        <v>0</v>
      </c>
      <c r="L2561" t="n">
        <v>0</v>
      </c>
      <c r="M2561" t="n">
        <v>0</v>
      </c>
      <c r="N2561" t="n">
        <v>0</v>
      </c>
      <c r="O2561" t="n">
        <v>0</v>
      </c>
      <c r="P2561" t="n">
        <v>0</v>
      </c>
      <c r="Q2561" t="n">
        <v>0</v>
      </c>
      <c r="R2561" s="2" t="inlineStr"/>
    </row>
    <row r="2562" ht="15" customHeight="1">
      <c r="A2562" t="inlineStr">
        <is>
          <t>A 24377-2024</t>
        </is>
      </c>
      <c r="B2562" s="1" t="n">
        <v>45457.61990740741</v>
      </c>
      <c r="C2562" s="1" t="n">
        <v>45971</v>
      </c>
      <c r="D2562" t="inlineStr">
        <is>
          <t>VÄSTERBOTTENS LÄN</t>
        </is>
      </c>
      <c r="E2562" t="inlineStr">
        <is>
          <t>LYCKSELE</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14421-2025</t>
        </is>
      </c>
      <c r="B2563" s="1" t="n">
        <v>45741</v>
      </c>
      <c r="C2563" s="1" t="n">
        <v>45971</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15577-2023</t>
        </is>
      </c>
      <c r="B2564" s="1" t="n">
        <v>45019</v>
      </c>
      <c r="C2564" s="1" t="n">
        <v>45971</v>
      </c>
      <c r="D2564" t="inlineStr">
        <is>
          <t>VÄSTERBOTTENS LÄN</t>
        </is>
      </c>
      <c r="E2564" t="inlineStr">
        <is>
          <t>VINDELN</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44983-2022</t>
        </is>
      </c>
      <c r="B2565" s="1" t="n">
        <v>44841</v>
      </c>
      <c r="C2565" s="1" t="n">
        <v>45971</v>
      </c>
      <c r="D2565" t="inlineStr">
        <is>
          <t>VÄSTERBOTTENS LÄN</t>
        </is>
      </c>
      <c r="E2565" t="inlineStr">
        <is>
          <t>UMEÅ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17484-2022</t>
        </is>
      </c>
      <c r="B2566" s="1" t="n">
        <v>44679</v>
      </c>
      <c r="C2566" s="1" t="n">
        <v>45971</v>
      </c>
      <c r="D2566" t="inlineStr">
        <is>
          <t>VÄSTERBOTTENS LÄN</t>
        </is>
      </c>
      <c r="E2566" t="inlineStr">
        <is>
          <t>UMEÅ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42601-2024</t>
        </is>
      </c>
      <c r="B2567" s="1" t="n">
        <v>45565</v>
      </c>
      <c r="C2567" s="1" t="n">
        <v>45971</v>
      </c>
      <c r="D2567" t="inlineStr">
        <is>
          <t>VÄSTERBOTTENS LÄN</t>
        </is>
      </c>
      <c r="E2567" t="inlineStr">
        <is>
          <t>ÅSELE</t>
        </is>
      </c>
      <c r="F2567" t="inlineStr">
        <is>
          <t>Holmen skog AB</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17892-2024</t>
        </is>
      </c>
      <c r="B2568" s="1" t="n">
        <v>45419.47746527778</v>
      </c>
      <c r="C2568" s="1" t="n">
        <v>45971</v>
      </c>
      <c r="D2568" t="inlineStr">
        <is>
          <t>VÄSTERBOTTENS LÄN</t>
        </is>
      </c>
      <c r="E2568" t="inlineStr">
        <is>
          <t>NORDMALING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32769-2024</t>
        </is>
      </c>
      <c r="B2569" s="1" t="n">
        <v>45516</v>
      </c>
      <c r="C2569" s="1" t="n">
        <v>45971</v>
      </c>
      <c r="D2569" t="inlineStr">
        <is>
          <t>VÄSTERBOTTENS LÄN</t>
        </is>
      </c>
      <c r="E2569" t="inlineStr">
        <is>
          <t>MALÅ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32792-2024</t>
        </is>
      </c>
      <c r="B2570" s="1" t="n">
        <v>45516.55068287037</v>
      </c>
      <c r="C2570" s="1" t="n">
        <v>45971</v>
      </c>
      <c r="D2570" t="inlineStr">
        <is>
          <t>VÄSTERBOTTENS LÄN</t>
        </is>
      </c>
      <c r="E2570" t="inlineStr">
        <is>
          <t>VÄNNÄS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32809-2024</t>
        </is>
      </c>
      <c r="B2571" s="1" t="n">
        <v>45516.57067129629</v>
      </c>
      <c r="C2571" s="1" t="n">
        <v>45971</v>
      </c>
      <c r="D2571" t="inlineStr">
        <is>
          <t>VÄSTERBOTTENS LÄN</t>
        </is>
      </c>
      <c r="E2571" t="inlineStr">
        <is>
          <t>VÄNNÄS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34669-2023</t>
        </is>
      </c>
      <c r="B2572" s="1" t="n">
        <v>45140.83063657407</v>
      </c>
      <c r="C2572" s="1" t="n">
        <v>45971</v>
      </c>
      <c r="D2572" t="inlineStr">
        <is>
          <t>VÄSTERBOTTENS LÄN</t>
        </is>
      </c>
      <c r="E2572" t="inlineStr">
        <is>
          <t>SKELLEFTEÅ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31851-2024</t>
        </is>
      </c>
      <c r="B2573" s="1" t="n">
        <v>45509</v>
      </c>
      <c r="C2573" s="1" t="n">
        <v>45971</v>
      </c>
      <c r="D2573" t="inlineStr">
        <is>
          <t>VÄSTERBOTTENS LÄN</t>
        </is>
      </c>
      <c r="E2573" t="inlineStr">
        <is>
          <t>VILHELMINA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32593-2024</t>
        </is>
      </c>
      <c r="B2574" s="1" t="n">
        <v>45513.60165509259</v>
      </c>
      <c r="C2574" s="1" t="n">
        <v>45971</v>
      </c>
      <c r="D2574" t="inlineStr">
        <is>
          <t>VÄSTERBOTTENS LÄN</t>
        </is>
      </c>
      <c r="E2574" t="inlineStr">
        <is>
          <t>SKELLEFTEÅ</t>
        </is>
      </c>
      <c r="F2574" t="inlineStr">
        <is>
          <t>Holmen skog AB</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32662-2024</t>
        </is>
      </c>
      <c r="B2575" s="1" t="n">
        <v>45514.37979166667</v>
      </c>
      <c r="C2575" s="1" t="n">
        <v>45971</v>
      </c>
      <c r="D2575" t="inlineStr">
        <is>
          <t>VÄSTERBOTTENS LÄN</t>
        </is>
      </c>
      <c r="E2575" t="inlineStr">
        <is>
          <t>UMEÅ</t>
        </is>
      </c>
      <c r="F2575" t="inlineStr">
        <is>
          <t>Holmen skog AB</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30572-2024</t>
        </is>
      </c>
      <c r="B2576" s="1" t="n">
        <v>45492.95777777778</v>
      </c>
      <c r="C2576" s="1" t="n">
        <v>45971</v>
      </c>
      <c r="D2576" t="inlineStr">
        <is>
          <t>VÄSTERBOTTENS LÄN</t>
        </is>
      </c>
      <c r="E2576" t="inlineStr">
        <is>
          <t>VILHELMINA</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30582-2024</t>
        </is>
      </c>
      <c r="B2577" s="1" t="n">
        <v>45492</v>
      </c>
      <c r="C2577" s="1" t="n">
        <v>45971</v>
      </c>
      <c r="D2577" t="inlineStr">
        <is>
          <t>VÄSTERBOTTENS LÄN</t>
        </is>
      </c>
      <c r="E2577" t="inlineStr">
        <is>
          <t>VILHELMINA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31118-2024</t>
        </is>
      </c>
      <c r="B2578" s="1" t="n">
        <v>45502</v>
      </c>
      <c r="C2578" s="1" t="n">
        <v>45971</v>
      </c>
      <c r="D2578" t="inlineStr">
        <is>
          <t>VÄSTERBOTTENS LÄN</t>
        </is>
      </c>
      <c r="E2578" t="inlineStr">
        <is>
          <t>ÅSELE</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38906-2024</t>
        </is>
      </c>
      <c r="B2579" s="1" t="n">
        <v>45547</v>
      </c>
      <c r="C2579" s="1" t="n">
        <v>45971</v>
      </c>
      <c r="D2579" t="inlineStr">
        <is>
          <t>VÄSTERBOTTENS LÄN</t>
        </is>
      </c>
      <c r="E2579" t="inlineStr">
        <is>
          <t>BJURHOLM</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10719-2024</t>
        </is>
      </c>
      <c r="B2580" s="1" t="n">
        <v>45369</v>
      </c>
      <c r="C2580" s="1" t="n">
        <v>45971</v>
      </c>
      <c r="D2580" t="inlineStr">
        <is>
          <t>VÄSTERBOTTENS LÄN</t>
        </is>
      </c>
      <c r="E2580" t="inlineStr">
        <is>
          <t>SKELLEFTEÅ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29937-2024</t>
        </is>
      </c>
      <c r="B2581" s="1" t="n">
        <v>45488.41469907408</v>
      </c>
      <c r="C2581" s="1" t="n">
        <v>45971</v>
      </c>
      <c r="D2581" t="inlineStr">
        <is>
          <t>VÄSTERBOTTENS LÄN</t>
        </is>
      </c>
      <c r="E2581" t="inlineStr">
        <is>
          <t>LYCKSELE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10770-2024</t>
        </is>
      </c>
      <c r="B2582" s="1" t="n">
        <v>45369</v>
      </c>
      <c r="C2582" s="1" t="n">
        <v>45971</v>
      </c>
      <c r="D2582" t="inlineStr">
        <is>
          <t>VÄSTERBOTTENS LÄN</t>
        </is>
      </c>
      <c r="E2582" t="inlineStr">
        <is>
          <t>ÅSELE</t>
        </is>
      </c>
      <c r="F2582" t="inlineStr">
        <is>
          <t>Holmen skog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30725-2024</t>
        </is>
      </c>
      <c r="B2583" s="1" t="n">
        <v>45496.53711805555</v>
      </c>
      <c r="C2583" s="1" t="n">
        <v>45971</v>
      </c>
      <c r="D2583" t="inlineStr">
        <is>
          <t>VÄSTERBOTTENS LÄN</t>
        </is>
      </c>
      <c r="E2583" t="inlineStr">
        <is>
          <t>LYCKSELE</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20453-2025</t>
        </is>
      </c>
      <c r="B2584" s="1" t="n">
        <v>45775.50346064815</v>
      </c>
      <c r="C2584" s="1" t="n">
        <v>45971</v>
      </c>
      <c r="D2584" t="inlineStr">
        <is>
          <t>VÄSTERBOTTENS LÄN</t>
        </is>
      </c>
      <c r="E2584" t="inlineStr">
        <is>
          <t>SORSELE</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48330-2024</t>
        </is>
      </c>
      <c r="B2585" s="1" t="n">
        <v>45590.52324074074</v>
      </c>
      <c r="C2585" s="1" t="n">
        <v>45971</v>
      </c>
      <c r="D2585" t="inlineStr">
        <is>
          <t>VÄSTERBOTTENS LÄN</t>
        </is>
      </c>
      <c r="E2585" t="inlineStr">
        <is>
          <t>LYCKSELE</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5955-2024</t>
        </is>
      </c>
      <c r="B2586" s="1" t="n">
        <v>45336.44858796296</v>
      </c>
      <c r="C2586" s="1" t="n">
        <v>45971</v>
      </c>
      <c r="D2586" t="inlineStr">
        <is>
          <t>VÄSTERBOTTENS LÄN</t>
        </is>
      </c>
      <c r="E2586" t="inlineStr">
        <is>
          <t>ÅSELE</t>
        </is>
      </c>
      <c r="F2586" t="inlineStr">
        <is>
          <t>Naturvårdsverket</t>
        </is>
      </c>
      <c r="G2586" t="n">
        <v>22.6</v>
      </c>
      <c r="H2586" t="n">
        <v>0</v>
      </c>
      <c r="I2586" t="n">
        <v>0</v>
      </c>
      <c r="J2586" t="n">
        <v>0</v>
      </c>
      <c r="K2586" t="n">
        <v>0</v>
      </c>
      <c r="L2586" t="n">
        <v>0</v>
      </c>
      <c r="M2586" t="n">
        <v>0</v>
      </c>
      <c r="N2586" t="n">
        <v>0</v>
      </c>
      <c r="O2586" t="n">
        <v>0</v>
      </c>
      <c r="P2586" t="n">
        <v>0</v>
      </c>
      <c r="Q2586" t="n">
        <v>0</v>
      </c>
      <c r="R2586" s="2" t="inlineStr"/>
    </row>
    <row r="2587" ht="15" customHeight="1">
      <c r="A2587" t="inlineStr">
        <is>
          <t>A 55620-2024</t>
        </is>
      </c>
      <c r="B2587" s="1" t="n">
        <v>45622</v>
      </c>
      <c r="C2587" s="1" t="n">
        <v>45971</v>
      </c>
      <c r="D2587" t="inlineStr">
        <is>
          <t>VÄSTERBOTTENS LÄN</t>
        </is>
      </c>
      <c r="E2587" t="inlineStr">
        <is>
          <t>VILHELMINA</t>
        </is>
      </c>
      <c r="F2587" t="inlineStr">
        <is>
          <t>SCA</t>
        </is>
      </c>
      <c r="G2587" t="n">
        <v>21.4</v>
      </c>
      <c r="H2587" t="n">
        <v>0</v>
      </c>
      <c r="I2587" t="n">
        <v>0</v>
      </c>
      <c r="J2587" t="n">
        <v>0</v>
      </c>
      <c r="K2587" t="n">
        <v>0</v>
      </c>
      <c r="L2587" t="n">
        <v>0</v>
      </c>
      <c r="M2587" t="n">
        <v>0</v>
      </c>
      <c r="N2587" t="n">
        <v>0</v>
      </c>
      <c r="O2587" t="n">
        <v>0</v>
      </c>
      <c r="P2587" t="n">
        <v>0</v>
      </c>
      <c r="Q2587" t="n">
        <v>0</v>
      </c>
      <c r="R2587" s="2" t="inlineStr"/>
    </row>
    <row r="2588" ht="15" customHeight="1">
      <c r="A2588" t="inlineStr">
        <is>
          <t>A 38493-2024</t>
        </is>
      </c>
      <c r="B2588" s="1" t="n">
        <v>45546</v>
      </c>
      <c r="C2588" s="1" t="n">
        <v>45971</v>
      </c>
      <c r="D2588" t="inlineStr">
        <is>
          <t>VÄSTERBOTTENS LÄN</t>
        </is>
      </c>
      <c r="E2588" t="inlineStr">
        <is>
          <t>SKELLEFTEÅ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34898-2023</t>
        </is>
      </c>
      <c r="B2589" s="1" t="n">
        <v>45141</v>
      </c>
      <c r="C2589" s="1" t="n">
        <v>45971</v>
      </c>
      <c r="D2589" t="inlineStr">
        <is>
          <t>VÄSTERBOTTENS LÄN</t>
        </is>
      </c>
      <c r="E2589" t="inlineStr">
        <is>
          <t>NORDMALING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28525-2023</t>
        </is>
      </c>
      <c r="B2590" s="1" t="n">
        <v>45103</v>
      </c>
      <c r="C2590" s="1" t="n">
        <v>45971</v>
      </c>
      <c r="D2590" t="inlineStr">
        <is>
          <t>VÄSTERBOTTENS LÄN</t>
        </is>
      </c>
      <c r="E2590" t="inlineStr">
        <is>
          <t>LYCKSELE</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28528-2023</t>
        </is>
      </c>
      <c r="B2591" s="1" t="n">
        <v>45103</v>
      </c>
      <c r="C2591" s="1" t="n">
        <v>45971</v>
      </c>
      <c r="D2591" t="inlineStr">
        <is>
          <t>VÄSTERBOTTENS LÄN</t>
        </is>
      </c>
      <c r="E2591" t="inlineStr">
        <is>
          <t>LYCKSELE</t>
        </is>
      </c>
      <c r="F2591" t="inlineStr">
        <is>
          <t>Sveaskog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28545-2023</t>
        </is>
      </c>
      <c r="B2592" s="1" t="n">
        <v>45103.50075231482</v>
      </c>
      <c r="C2592" s="1" t="n">
        <v>45971</v>
      </c>
      <c r="D2592" t="inlineStr">
        <is>
          <t>VÄSTERBOTTENS LÄN</t>
        </is>
      </c>
      <c r="E2592" t="inlineStr">
        <is>
          <t>LYCKSELE</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28615-2023</t>
        </is>
      </c>
      <c r="B2593" s="1" t="n">
        <v>45103.59210648148</v>
      </c>
      <c r="C2593" s="1" t="n">
        <v>45971</v>
      </c>
      <c r="D2593" t="inlineStr">
        <is>
          <t>VÄSTERBOTTENS LÄN</t>
        </is>
      </c>
      <c r="E2593" t="inlineStr">
        <is>
          <t>VÄNNÄS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61532-2024</t>
        </is>
      </c>
      <c r="B2594" s="1" t="n">
        <v>45646.58855324074</v>
      </c>
      <c r="C2594" s="1" t="n">
        <v>45971</v>
      </c>
      <c r="D2594" t="inlineStr">
        <is>
          <t>VÄSTERBOTTENS LÄN</t>
        </is>
      </c>
      <c r="E2594" t="inlineStr">
        <is>
          <t>UMEÅ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17632-2024</t>
        </is>
      </c>
      <c r="B2595" s="1" t="n">
        <v>45418</v>
      </c>
      <c r="C2595" s="1" t="n">
        <v>45971</v>
      </c>
      <c r="D2595" t="inlineStr">
        <is>
          <t>VÄSTERBOTTENS LÄN</t>
        </is>
      </c>
      <c r="E2595" t="inlineStr">
        <is>
          <t>UMEÅ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10360-2023</t>
        </is>
      </c>
      <c r="B2596" s="1" t="n">
        <v>44980</v>
      </c>
      <c r="C2596" s="1" t="n">
        <v>45971</v>
      </c>
      <c r="D2596" t="inlineStr">
        <is>
          <t>VÄSTERBOTTENS LÄN</t>
        </is>
      </c>
      <c r="E2596" t="inlineStr">
        <is>
          <t>DOROTEA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27568-2023</t>
        </is>
      </c>
      <c r="B2597" s="1" t="n">
        <v>45092</v>
      </c>
      <c r="C2597" s="1" t="n">
        <v>45971</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27378-2023</t>
        </is>
      </c>
      <c r="B2598" s="1" t="n">
        <v>45096.93858796296</v>
      </c>
      <c r="C2598" s="1" t="n">
        <v>45971</v>
      </c>
      <c r="D2598" t="inlineStr">
        <is>
          <t>VÄSTERBOTTENS LÄN</t>
        </is>
      </c>
      <c r="E2598" t="inlineStr">
        <is>
          <t>NORDMALING</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26137-2023</t>
        </is>
      </c>
      <c r="B2599" s="1" t="n">
        <v>45091</v>
      </c>
      <c r="C2599" s="1" t="n">
        <v>45971</v>
      </c>
      <c r="D2599" t="inlineStr">
        <is>
          <t>VÄSTERBOTTENS LÄN</t>
        </is>
      </c>
      <c r="E2599" t="inlineStr">
        <is>
          <t>UMEÅ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26138-2023</t>
        </is>
      </c>
      <c r="B2600" s="1" t="n">
        <v>45091</v>
      </c>
      <c r="C2600" s="1" t="n">
        <v>45971</v>
      </c>
      <c r="D2600" t="inlineStr">
        <is>
          <t>VÄSTERBOTTENS LÄN</t>
        </is>
      </c>
      <c r="E2600" t="inlineStr">
        <is>
          <t>UMEÅ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53105-2022</t>
        </is>
      </c>
      <c r="B2601" s="1" t="n">
        <v>44876</v>
      </c>
      <c r="C2601" s="1" t="n">
        <v>45971</v>
      </c>
      <c r="D2601" t="inlineStr">
        <is>
          <t>VÄSTERBOTTENS LÄN</t>
        </is>
      </c>
      <c r="E2601" t="inlineStr">
        <is>
          <t>NORSJÖ</t>
        </is>
      </c>
      <c r="F2601" t="inlineStr">
        <is>
          <t>Holmen skog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11675-2023</t>
        </is>
      </c>
      <c r="B2602" s="1" t="n">
        <v>44994</v>
      </c>
      <c r="C2602" s="1" t="n">
        <v>45971</v>
      </c>
      <c r="D2602" t="inlineStr">
        <is>
          <t>VÄSTERBOTTENS LÄN</t>
        </is>
      </c>
      <c r="E2602" t="inlineStr">
        <is>
          <t>SORSELE</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52999-2024</t>
        </is>
      </c>
      <c r="B2603" s="1" t="n">
        <v>45611.38667824074</v>
      </c>
      <c r="C2603" s="1" t="n">
        <v>45971</v>
      </c>
      <c r="D2603" t="inlineStr">
        <is>
          <t>VÄSTERBOTTENS LÄN</t>
        </is>
      </c>
      <c r="E2603" t="inlineStr">
        <is>
          <t>SKELLEFTEÅ</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24067-2023</t>
        </is>
      </c>
      <c r="B2604" s="1" t="n">
        <v>45078.94167824074</v>
      </c>
      <c r="C2604" s="1" t="n">
        <v>45971</v>
      </c>
      <c r="D2604" t="inlineStr">
        <is>
          <t>VÄSTERBOTTENS LÄN</t>
        </is>
      </c>
      <c r="E2604" t="inlineStr">
        <is>
          <t>ÅSELE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37320-2021</t>
        </is>
      </c>
      <c r="B2605" s="1" t="n">
        <v>44397</v>
      </c>
      <c r="C2605" s="1" t="n">
        <v>45971</v>
      </c>
      <c r="D2605" t="inlineStr">
        <is>
          <t>VÄSTERBOTTENS LÄN</t>
        </is>
      </c>
      <c r="E2605" t="inlineStr">
        <is>
          <t>VILHELMINA</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55420-2023</t>
        </is>
      </c>
      <c r="B2606" s="1" t="n">
        <v>45231</v>
      </c>
      <c r="C2606" s="1" t="n">
        <v>45971</v>
      </c>
      <c r="D2606" t="inlineStr">
        <is>
          <t>VÄSTERBOTTENS LÄN</t>
        </is>
      </c>
      <c r="E2606" t="inlineStr">
        <is>
          <t>SKELLEFTEÅ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58943-2024</t>
        </is>
      </c>
      <c r="B2607" s="1" t="n">
        <v>45636.5433449074</v>
      </c>
      <c r="C2607" s="1" t="n">
        <v>45971</v>
      </c>
      <c r="D2607" t="inlineStr">
        <is>
          <t>VÄSTERBOTTENS LÄN</t>
        </is>
      </c>
      <c r="E2607" t="inlineStr">
        <is>
          <t>VILHELMINA</t>
        </is>
      </c>
      <c r="F2607" t="inlineStr">
        <is>
          <t>Kommuner</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55512-2023</t>
        </is>
      </c>
      <c r="B2608" s="1" t="n">
        <v>45232</v>
      </c>
      <c r="C2608" s="1" t="n">
        <v>45971</v>
      </c>
      <c r="D2608" t="inlineStr">
        <is>
          <t>VÄSTERBOTTENS LÄN</t>
        </is>
      </c>
      <c r="E2608" t="inlineStr">
        <is>
          <t>BJURHOLM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3600-2023</t>
        </is>
      </c>
      <c r="B2609" s="1" t="n">
        <v>44946</v>
      </c>
      <c r="C2609" s="1" t="n">
        <v>45971</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19806-2024</t>
        </is>
      </c>
      <c r="B2610" s="1" t="n">
        <v>45433</v>
      </c>
      <c r="C2610" s="1" t="n">
        <v>45971</v>
      </c>
      <c r="D2610" t="inlineStr">
        <is>
          <t>VÄSTERBOTTENS LÄN</t>
        </is>
      </c>
      <c r="E2610" t="inlineStr">
        <is>
          <t>ROBERTSFORS</t>
        </is>
      </c>
      <c r="F2610" t="inlineStr">
        <is>
          <t>Sveaskog</t>
        </is>
      </c>
      <c r="G2610" t="n">
        <v>19.5</v>
      </c>
      <c r="H2610" t="n">
        <v>0</v>
      </c>
      <c r="I2610" t="n">
        <v>0</v>
      </c>
      <c r="J2610" t="n">
        <v>0</v>
      </c>
      <c r="K2610" t="n">
        <v>0</v>
      </c>
      <c r="L2610" t="n">
        <v>0</v>
      </c>
      <c r="M2610" t="n">
        <v>0</v>
      </c>
      <c r="N2610" t="n">
        <v>0</v>
      </c>
      <c r="O2610" t="n">
        <v>0</v>
      </c>
      <c r="P2610" t="n">
        <v>0</v>
      </c>
      <c r="Q2610" t="n">
        <v>0</v>
      </c>
      <c r="R2610" s="2" t="inlineStr"/>
    </row>
    <row r="2611" ht="15" customHeight="1">
      <c r="A2611" t="inlineStr">
        <is>
          <t>A 9369-2025</t>
        </is>
      </c>
      <c r="B2611" s="1" t="n">
        <v>45715.32680555555</v>
      </c>
      <c r="C2611" s="1" t="n">
        <v>45971</v>
      </c>
      <c r="D2611" t="inlineStr">
        <is>
          <t>VÄSTERBOTTENS LÄN</t>
        </is>
      </c>
      <c r="E2611" t="inlineStr">
        <is>
          <t>ROBERTSFORS</t>
        </is>
      </c>
      <c r="F2611" t="inlineStr">
        <is>
          <t>Holmen skog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34929-2023</t>
        </is>
      </c>
      <c r="B2612" s="1" t="n">
        <v>45142</v>
      </c>
      <c r="C2612" s="1" t="n">
        <v>45971</v>
      </c>
      <c r="D2612" t="inlineStr">
        <is>
          <t>VÄSTERBOTTENS LÄN</t>
        </is>
      </c>
      <c r="E2612" t="inlineStr">
        <is>
          <t>LYCKSELE</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39544-2023</t>
        </is>
      </c>
      <c r="B2613" s="1" t="n">
        <v>45167.35682870371</v>
      </c>
      <c r="C2613" s="1" t="n">
        <v>45971</v>
      </c>
      <c r="D2613" t="inlineStr">
        <is>
          <t>VÄSTERBOTTENS LÄN</t>
        </is>
      </c>
      <c r="E2613" t="inlineStr">
        <is>
          <t>SKELLEFTEÅ</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39553-2023</t>
        </is>
      </c>
      <c r="B2614" s="1" t="n">
        <v>45167</v>
      </c>
      <c r="C2614" s="1" t="n">
        <v>45971</v>
      </c>
      <c r="D2614" t="inlineStr">
        <is>
          <t>VÄSTERBOTTENS LÄN</t>
        </is>
      </c>
      <c r="E2614" t="inlineStr">
        <is>
          <t>SKELLEFTEÅ</t>
        </is>
      </c>
      <c r="F2614" t="inlineStr">
        <is>
          <t>Holmen skog AB</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156-2025</t>
        </is>
      </c>
      <c r="B2615" s="1" t="n">
        <v>45659</v>
      </c>
      <c r="C2615" s="1" t="n">
        <v>45971</v>
      </c>
      <c r="D2615" t="inlineStr">
        <is>
          <t>VÄSTERBOTTENS LÄN</t>
        </is>
      </c>
      <c r="E2615" t="inlineStr">
        <is>
          <t>ROBERTSFORS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160-2025</t>
        </is>
      </c>
      <c r="B2616" s="1" t="n">
        <v>45649</v>
      </c>
      <c r="C2616" s="1" t="n">
        <v>45971</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175-2025</t>
        </is>
      </c>
      <c r="B2617" s="1" t="n">
        <v>45659</v>
      </c>
      <c r="C2617" s="1" t="n">
        <v>45971</v>
      </c>
      <c r="D2617" t="inlineStr">
        <is>
          <t>VÄSTERBOTTENS LÄN</t>
        </is>
      </c>
      <c r="E2617" t="inlineStr">
        <is>
          <t>ROBERTSFORS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52124-2024</t>
        </is>
      </c>
      <c r="B2618" s="1" t="n">
        <v>45608.46447916667</v>
      </c>
      <c r="C2618" s="1" t="n">
        <v>45971</v>
      </c>
      <c r="D2618" t="inlineStr">
        <is>
          <t>VÄSTERBOTTENS LÄN</t>
        </is>
      </c>
      <c r="E2618" t="inlineStr">
        <is>
          <t>LYCKSELE</t>
        </is>
      </c>
      <c r="F2618" t="inlineStr">
        <is>
          <t>Sveaskog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46018-2021</t>
        </is>
      </c>
      <c r="B2619" s="1" t="n">
        <v>44441</v>
      </c>
      <c r="C2619" s="1" t="n">
        <v>45971</v>
      </c>
      <c r="D2619" t="inlineStr">
        <is>
          <t>VÄSTERBOTTENS LÄN</t>
        </is>
      </c>
      <c r="E2619" t="inlineStr">
        <is>
          <t>NORSJÖ</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51966-2024</t>
        </is>
      </c>
      <c r="B2620" s="1" t="n">
        <v>45607.65512731481</v>
      </c>
      <c r="C2620" s="1" t="n">
        <v>45971</v>
      </c>
      <c r="D2620" t="inlineStr">
        <is>
          <t>VÄSTERBOTTENS LÄN</t>
        </is>
      </c>
      <c r="E2620" t="inlineStr">
        <is>
          <t>ROBERTSFORS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74-2025</t>
        </is>
      </c>
      <c r="B2621" s="1" t="n">
        <v>45659</v>
      </c>
      <c r="C2621" s="1" t="n">
        <v>45971</v>
      </c>
      <c r="D2621" t="inlineStr">
        <is>
          <t>VÄSTERBOTTENS LÄN</t>
        </is>
      </c>
      <c r="E2621" t="inlineStr">
        <is>
          <t>VILHELMINA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21607-2022</t>
        </is>
      </c>
      <c r="B2622" s="1" t="n">
        <v>44706.66061342593</v>
      </c>
      <c r="C2622" s="1" t="n">
        <v>45971</v>
      </c>
      <c r="D2622" t="inlineStr">
        <is>
          <t>VÄSTERBOTTENS LÄN</t>
        </is>
      </c>
      <c r="E2622" t="inlineStr">
        <is>
          <t>NORDMALING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78-2025</t>
        </is>
      </c>
      <c r="B2623" s="1" t="n">
        <v>45659</v>
      </c>
      <c r="C2623" s="1" t="n">
        <v>45971</v>
      </c>
      <c r="D2623" t="inlineStr">
        <is>
          <t>VÄSTERBOTTENS LÄN</t>
        </is>
      </c>
      <c r="E2623" t="inlineStr">
        <is>
          <t>VILHELMINA</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37535-2023</t>
        </is>
      </c>
      <c r="B2624" s="1" t="n">
        <v>45158</v>
      </c>
      <c r="C2624" s="1" t="n">
        <v>45971</v>
      </c>
      <c r="D2624" t="inlineStr">
        <is>
          <t>VÄSTERBOTTENS LÄN</t>
        </is>
      </c>
      <c r="E2624" t="inlineStr">
        <is>
          <t>MALÅ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41519-2024</t>
        </is>
      </c>
      <c r="B2625" s="1" t="n">
        <v>45560.47798611111</v>
      </c>
      <c r="C2625" s="1" t="n">
        <v>45971</v>
      </c>
      <c r="D2625" t="inlineStr">
        <is>
          <t>VÄSTERBOTTENS LÄN</t>
        </is>
      </c>
      <c r="E2625" t="inlineStr">
        <is>
          <t>VINDELN</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23278-2021</t>
        </is>
      </c>
      <c r="B2626" s="1" t="n">
        <v>44328</v>
      </c>
      <c r="C2626" s="1" t="n">
        <v>45971</v>
      </c>
      <c r="D2626" t="inlineStr">
        <is>
          <t>VÄSTERBOTTENS LÄN</t>
        </is>
      </c>
      <c r="E2626" t="inlineStr">
        <is>
          <t>VILHELMINA</t>
        </is>
      </c>
      <c r="F2626" t="inlineStr">
        <is>
          <t>Allmännings- och besparingsskogar</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23285-2021</t>
        </is>
      </c>
      <c r="B2627" s="1" t="n">
        <v>44330</v>
      </c>
      <c r="C2627" s="1" t="n">
        <v>45971</v>
      </c>
      <c r="D2627" t="inlineStr">
        <is>
          <t>VÄSTERBOTTENS LÄN</t>
        </is>
      </c>
      <c r="E2627" t="inlineStr">
        <is>
          <t>UMEÅ</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49582-2024</t>
        </is>
      </c>
      <c r="B2628" s="1" t="n">
        <v>45596</v>
      </c>
      <c r="C2628" s="1" t="n">
        <v>45971</v>
      </c>
      <c r="D2628" t="inlineStr">
        <is>
          <t>VÄSTERBOTTENS LÄN</t>
        </is>
      </c>
      <c r="E2628" t="inlineStr">
        <is>
          <t>VINDELN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51048-2023</t>
        </is>
      </c>
      <c r="B2629" s="1" t="n">
        <v>45218.63373842592</v>
      </c>
      <c r="C2629" s="1" t="n">
        <v>45971</v>
      </c>
      <c r="D2629" t="inlineStr">
        <is>
          <t>VÄSTERBOTTENS LÄN</t>
        </is>
      </c>
      <c r="E2629" t="inlineStr">
        <is>
          <t>LYCKSELE</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49583-2024</t>
        </is>
      </c>
      <c r="B2630" s="1" t="n">
        <v>45596.54178240741</v>
      </c>
      <c r="C2630" s="1" t="n">
        <v>45971</v>
      </c>
      <c r="D2630" t="inlineStr">
        <is>
          <t>VÄSTERBOTTENS LÄN</t>
        </is>
      </c>
      <c r="E2630" t="inlineStr">
        <is>
          <t>VINDELN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59067-2023</t>
        </is>
      </c>
      <c r="B2631" s="1" t="n">
        <v>45252</v>
      </c>
      <c r="C2631" s="1" t="n">
        <v>45971</v>
      </c>
      <c r="D2631" t="inlineStr">
        <is>
          <t>VÄSTERBOTTENS LÄN</t>
        </is>
      </c>
      <c r="E2631" t="inlineStr">
        <is>
          <t>MALÅ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37183-2023</t>
        </is>
      </c>
      <c r="B2632" s="1" t="n">
        <v>45154</v>
      </c>
      <c r="C2632" s="1" t="n">
        <v>45971</v>
      </c>
      <c r="D2632" t="inlineStr">
        <is>
          <t>VÄSTERBOTTENS LÄN</t>
        </is>
      </c>
      <c r="E2632" t="inlineStr">
        <is>
          <t>MALÅ</t>
        </is>
      </c>
      <c r="G2632" t="n">
        <v>41.2</v>
      </c>
      <c r="H2632" t="n">
        <v>0</v>
      </c>
      <c r="I2632" t="n">
        <v>0</v>
      </c>
      <c r="J2632" t="n">
        <v>0</v>
      </c>
      <c r="K2632" t="n">
        <v>0</v>
      </c>
      <c r="L2632" t="n">
        <v>0</v>
      </c>
      <c r="M2632" t="n">
        <v>0</v>
      </c>
      <c r="N2632" t="n">
        <v>0</v>
      </c>
      <c r="O2632" t="n">
        <v>0</v>
      </c>
      <c r="P2632" t="n">
        <v>0</v>
      </c>
      <c r="Q2632" t="n">
        <v>0</v>
      </c>
      <c r="R2632" s="2" t="inlineStr"/>
    </row>
    <row r="2633" ht="15" customHeight="1">
      <c r="A2633" t="inlineStr">
        <is>
          <t>A 21159-2024</t>
        </is>
      </c>
      <c r="B2633" s="1" t="n">
        <v>45440.42893518518</v>
      </c>
      <c r="C2633" s="1" t="n">
        <v>45971</v>
      </c>
      <c r="D2633" t="inlineStr">
        <is>
          <t>VÄSTERBOTTENS LÄN</t>
        </is>
      </c>
      <c r="E2633" t="inlineStr">
        <is>
          <t>UMEÅ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11525-2024</t>
        </is>
      </c>
      <c r="B2634" s="1" t="n">
        <v>45372</v>
      </c>
      <c r="C2634" s="1" t="n">
        <v>45971</v>
      </c>
      <c r="D2634" t="inlineStr">
        <is>
          <t>VÄSTERBOTTENS LÄN</t>
        </is>
      </c>
      <c r="E2634" t="inlineStr">
        <is>
          <t>SKELLEFTEÅ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11538-2022</t>
        </is>
      </c>
      <c r="B2635" s="1" t="n">
        <v>44631</v>
      </c>
      <c r="C2635" s="1" t="n">
        <v>45971</v>
      </c>
      <c r="D2635" t="inlineStr">
        <is>
          <t>VÄSTERBOTTENS LÄN</t>
        </is>
      </c>
      <c r="E2635" t="inlineStr">
        <is>
          <t>UMEÅ</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28895-2021</t>
        </is>
      </c>
      <c r="B2636" s="1" t="n">
        <v>44357</v>
      </c>
      <c r="C2636" s="1" t="n">
        <v>45971</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50276-2024</t>
        </is>
      </c>
      <c r="B2637" s="1" t="n">
        <v>45600.60181712963</v>
      </c>
      <c r="C2637" s="1" t="n">
        <v>45971</v>
      </c>
      <c r="D2637" t="inlineStr">
        <is>
          <t>VÄSTERBOTTENS LÄN</t>
        </is>
      </c>
      <c r="E2637" t="inlineStr">
        <is>
          <t>SKELLEFTEÅ</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55414-2024</t>
        </is>
      </c>
      <c r="B2638" s="1" t="n">
        <v>45622.37261574074</v>
      </c>
      <c r="C2638" s="1" t="n">
        <v>45971</v>
      </c>
      <c r="D2638" t="inlineStr">
        <is>
          <t>VÄSTERBOTTENS LÄN</t>
        </is>
      </c>
      <c r="E2638" t="inlineStr">
        <is>
          <t>VINDELN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40865-2024</t>
        </is>
      </c>
      <c r="B2639" s="1" t="n">
        <v>45558.59092592593</v>
      </c>
      <c r="C2639" s="1" t="n">
        <v>45971</v>
      </c>
      <c r="D2639" t="inlineStr">
        <is>
          <t>VÄSTERBOTTENS LÄN</t>
        </is>
      </c>
      <c r="E2639" t="inlineStr">
        <is>
          <t>STORUMAN</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35771-2022</t>
        </is>
      </c>
      <c r="B2640" s="1" t="n">
        <v>44801</v>
      </c>
      <c r="C2640" s="1" t="n">
        <v>45971</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25473-2021</t>
        </is>
      </c>
      <c r="B2641" s="1" t="n">
        <v>44342.76399305555</v>
      </c>
      <c r="C2641" s="1" t="n">
        <v>45971</v>
      </c>
      <c r="D2641" t="inlineStr">
        <is>
          <t>VÄSTERBOTTENS LÄN</t>
        </is>
      </c>
      <c r="E2641" t="inlineStr">
        <is>
          <t>SKELLEFTEÅ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25512-2021</t>
        </is>
      </c>
      <c r="B2642" s="1" t="n">
        <v>44342</v>
      </c>
      <c r="C2642" s="1" t="n">
        <v>45971</v>
      </c>
      <c r="D2642" t="inlineStr">
        <is>
          <t>VÄSTERBOTTENS LÄN</t>
        </is>
      </c>
      <c r="E2642" t="inlineStr">
        <is>
          <t>SKELLEFTEÅ</t>
        </is>
      </c>
      <c r="F2642" t="inlineStr">
        <is>
          <t>SCA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9425-2024</t>
        </is>
      </c>
      <c r="B2643" s="1" t="n">
        <v>45359</v>
      </c>
      <c r="C2643" s="1" t="n">
        <v>45971</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22795-2022</t>
        </is>
      </c>
      <c r="B2644" s="1" t="n">
        <v>44715.33833333333</v>
      </c>
      <c r="C2644" s="1" t="n">
        <v>45971</v>
      </c>
      <c r="D2644" t="inlineStr">
        <is>
          <t>VÄSTERBOTTENS LÄN</t>
        </is>
      </c>
      <c r="E2644" t="inlineStr">
        <is>
          <t>UMEÅ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31329-2023</t>
        </is>
      </c>
      <c r="B2645" s="1" t="n">
        <v>45114</v>
      </c>
      <c r="C2645" s="1" t="n">
        <v>45971</v>
      </c>
      <c r="D2645" t="inlineStr">
        <is>
          <t>VÄSTERBOTTENS LÄN</t>
        </is>
      </c>
      <c r="E2645" t="inlineStr">
        <is>
          <t>STORUMAN</t>
        </is>
      </c>
      <c r="F2645" t="inlineStr">
        <is>
          <t>Holmen skog AB</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31348-2023</t>
        </is>
      </c>
      <c r="B2646" s="1" t="n">
        <v>45114.4889699074</v>
      </c>
      <c r="C2646" s="1" t="n">
        <v>45971</v>
      </c>
      <c r="D2646" t="inlineStr">
        <is>
          <t>VÄSTERBOTTENS LÄN</t>
        </is>
      </c>
      <c r="E2646" t="inlineStr">
        <is>
          <t>ÅSELE</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17889-2024</t>
        </is>
      </c>
      <c r="B2647" s="1" t="n">
        <v>45419.47402777777</v>
      </c>
      <c r="C2647" s="1" t="n">
        <v>45971</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25656-2024</t>
        </is>
      </c>
      <c r="B2648" s="1" t="n">
        <v>45463.68541666667</v>
      </c>
      <c r="C2648" s="1" t="n">
        <v>45971</v>
      </c>
      <c r="D2648" t="inlineStr">
        <is>
          <t>VÄSTERBOTTENS LÄN</t>
        </is>
      </c>
      <c r="E2648" t="inlineStr">
        <is>
          <t>VINDELN</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25122-2024</t>
        </is>
      </c>
      <c r="B2649" s="1" t="n">
        <v>45462.45252314815</v>
      </c>
      <c r="C2649" s="1" t="n">
        <v>45971</v>
      </c>
      <c r="D2649" t="inlineStr">
        <is>
          <t>VÄSTERBOTTENS LÄN</t>
        </is>
      </c>
      <c r="E2649" t="inlineStr">
        <is>
          <t>NORSJÖ</t>
        </is>
      </c>
      <c r="F2649" t="inlineStr">
        <is>
          <t>Sveaskog</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40828-2021</t>
        </is>
      </c>
      <c r="B2650" s="1" t="n">
        <v>44421.39377314815</v>
      </c>
      <c r="C2650" s="1" t="n">
        <v>45971</v>
      </c>
      <c r="D2650" t="inlineStr">
        <is>
          <t>VÄSTERBOTTENS LÄN</t>
        </is>
      </c>
      <c r="E2650" t="inlineStr">
        <is>
          <t>SKELLEFTEÅ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58655-2023</t>
        </is>
      </c>
      <c r="B2651" s="1" t="n">
        <v>45247</v>
      </c>
      <c r="C2651" s="1" t="n">
        <v>45971</v>
      </c>
      <c r="D2651" t="inlineStr">
        <is>
          <t>VÄSTERBOTTENS LÄN</t>
        </is>
      </c>
      <c r="E2651" t="inlineStr">
        <is>
          <t>NORDMALING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58660-2023</t>
        </is>
      </c>
      <c r="B2652" s="1" t="n">
        <v>45251</v>
      </c>
      <c r="C2652" s="1" t="n">
        <v>45971</v>
      </c>
      <c r="D2652" t="inlineStr">
        <is>
          <t>VÄSTERBOTTENS LÄN</t>
        </is>
      </c>
      <c r="E2652" t="inlineStr">
        <is>
          <t>VINDELN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53753-2022</t>
        </is>
      </c>
      <c r="B2653" s="1" t="n">
        <v>44872</v>
      </c>
      <c r="C2653" s="1" t="n">
        <v>45971</v>
      </c>
      <c r="D2653" t="inlineStr">
        <is>
          <t>VÄSTERBOTTENS LÄN</t>
        </is>
      </c>
      <c r="E2653" t="inlineStr">
        <is>
          <t>SKELLEFTEÅ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25142-2024</t>
        </is>
      </c>
      <c r="B2654" s="1" t="n">
        <v>45462</v>
      </c>
      <c r="C2654" s="1" t="n">
        <v>45971</v>
      </c>
      <c r="D2654" t="inlineStr">
        <is>
          <t>VÄSTERBOTTENS LÄN</t>
        </is>
      </c>
      <c r="E2654" t="inlineStr">
        <is>
          <t>NORSJÖ</t>
        </is>
      </c>
      <c r="F2654" t="inlineStr">
        <is>
          <t>Sveaskog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58466-2021</t>
        </is>
      </c>
      <c r="B2655" s="1" t="n">
        <v>44488</v>
      </c>
      <c r="C2655" s="1" t="n">
        <v>45971</v>
      </c>
      <c r="D2655" t="inlineStr">
        <is>
          <t>VÄSTERBOTTENS LÄN</t>
        </is>
      </c>
      <c r="E2655" t="inlineStr">
        <is>
          <t>VINDELN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53967-2024</t>
        </is>
      </c>
      <c r="B2656" s="1" t="n">
        <v>45616.31673611111</v>
      </c>
      <c r="C2656" s="1" t="n">
        <v>45971</v>
      </c>
      <c r="D2656" t="inlineStr">
        <is>
          <t>VÄSTERBOTTENS LÄN</t>
        </is>
      </c>
      <c r="E2656" t="inlineStr">
        <is>
          <t>VINDELN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1640-2023</t>
        </is>
      </c>
      <c r="B2657" s="1" t="n">
        <v>44937</v>
      </c>
      <c r="C2657" s="1" t="n">
        <v>45971</v>
      </c>
      <c r="D2657" t="inlineStr">
        <is>
          <t>VÄSTERBOTTENS LÄN</t>
        </is>
      </c>
      <c r="E2657" t="inlineStr">
        <is>
          <t>SKELLEFTEÅ</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19413-2024</t>
        </is>
      </c>
      <c r="B2658" s="1" t="n">
        <v>45429</v>
      </c>
      <c r="C2658" s="1" t="n">
        <v>45971</v>
      </c>
      <c r="D2658" t="inlineStr">
        <is>
          <t>VÄSTERBOTTENS LÄN</t>
        </is>
      </c>
      <c r="E2658" t="inlineStr">
        <is>
          <t>STORUMAN</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13001-2023</t>
        </is>
      </c>
      <c r="B2659" s="1" t="n">
        <v>45002</v>
      </c>
      <c r="C2659" s="1" t="n">
        <v>45971</v>
      </c>
      <c r="D2659" t="inlineStr">
        <is>
          <t>VÄSTERBOTTENS LÄN</t>
        </is>
      </c>
      <c r="E2659" t="inlineStr">
        <is>
          <t>MALÅ</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13003-2023</t>
        </is>
      </c>
      <c r="B2660" s="1" t="n">
        <v>45002</v>
      </c>
      <c r="C2660" s="1" t="n">
        <v>45971</v>
      </c>
      <c r="D2660" t="inlineStr">
        <is>
          <t>VÄSTERBOTTENS LÄN</t>
        </is>
      </c>
      <c r="E2660" t="inlineStr">
        <is>
          <t>MALÅ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25491-2021</t>
        </is>
      </c>
      <c r="B2661" s="1" t="n">
        <v>44342</v>
      </c>
      <c r="C2661" s="1" t="n">
        <v>45971</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26933-2024</t>
        </is>
      </c>
      <c r="B2662" s="1" t="n">
        <v>45470</v>
      </c>
      <c r="C2662" s="1" t="n">
        <v>45971</v>
      </c>
      <c r="D2662" t="inlineStr">
        <is>
          <t>VÄSTERBOTTENS LÄN</t>
        </is>
      </c>
      <c r="E2662" t="inlineStr">
        <is>
          <t>UMEÅ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54985-2023</t>
        </is>
      </c>
      <c r="B2663" s="1" t="n">
        <v>45236</v>
      </c>
      <c r="C2663" s="1" t="n">
        <v>45971</v>
      </c>
      <c r="D2663" t="inlineStr">
        <is>
          <t>VÄSTERBOTTENS LÄN</t>
        </is>
      </c>
      <c r="E2663" t="inlineStr">
        <is>
          <t>VILHELMINA</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21412-2024</t>
        </is>
      </c>
      <c r="B2664" s="1" t="n">
        <v>45441</v>
      </c>
      <c r="C2664" s="1" t="n">
        <v>45971</v>
      </c>
      <c r="D2664" t="inlineStr">
        <is>
          <t>VÄSTERBOTTENS LÄN</t>
        </is>
      </c>
      <c r="E2664" t="inlineStr">
        <is>
          <t>STORUMAN</t>
        </is>
      </c>
      <c r="F2664" t="inlineStr">
        <is>
          <t>Allmännings- och besparingsskogar</t>
        </is>
      </c>
      <c r="G2664" t="n">
        <v>34.6</v>
      </c>
      <c r="H2664" t="n">
        <v>0</v>
      </c>
      <c r="I2664" t="n">
        <v>0</v>
      </c>
      <c r="J2664" t="n">
        <v>0</v>
      </c>
      <c r="K2664" t="n">
        <v>0</v>
      </c>
      <c r="L2664" t="n">
        <v>0</v>
      </c>
      <c r="M2664" t="n">
        <v>0</v>
      </c>
      <c r="N2664" t="n">
        <v>0</v>
      </c>
      <c r="O2664" t="n">
        <v>0</v>
      </c>
      <c r="P2664" t="n">
        <v>0</v>
      </c>
      <c r="Q2664" t="n">
        <v>0</v>
      </c>
      <c r="R2664" s="2" t="inlineStr"/>
    </row>
    <row r="2665" ht="15" customHeight="1">
      <c r="A2665" t="inlineStr">
        <is>
          <t>A 15046-2023</t>
        </is>
      </c>
      <c r="B2665" s="1" t="n">
        <v>45015</v>
      </c>
      <c r="C2665" s="1" t="n">
        <v>45971</v>
      </c>
      <c r="D2665" t="inlineStr">
        <is>
          <t>VÄSTERBOTTENS LÄN</t>
        </is>
      </c>
      <c r="E2665" t="inlineStr">
        <is>
          <t>LYCKSELE</t>
        </is>
      </c>
      <c r="G2665" t="n">
        <v>13.4</v>
      </c>
      <c r="H2665" t="n">
        <v>0</v>
      </c>
      <c r="I2665" t="n">
        <v>0</v>
      </c>
      <c r="J2665" t="n">
        <v>0</v>
      </c>
      <c r="K2665" t="n">
        <v>0</v>
      </c>
      <c r="L2665" t="n">
        <v>0</v>
      </c>
      <c r="M2665" t="n">
        <v>0</v>
      </c>
      <c r="N2665" t="n">
        <v>0</v>
      </c>
      <c r="O2665" t="n">
        <v>0</v>
      </c>
      <c r="P2665" t="n">
        <v>0</v>
      </c>
      <c r="Q2665" t="n">
        <v>0</v>
      </c>
      <c r="R2665" s="2" t="inlineStr"/>
    </row>
    <row r="2666" ht="15" customHeight="1">
      <c r="A2666" t="inlineStr">
        <is>
          <t>A 58480-2023</t>
        </is>
      </c>
      <c r="B2666" s="1" t="n">
        <v>45251.3116087963</v>
      </c>
      <c r="C2666" s="1" t="n">
        <v>45971</v>
      </c>
      <c r="D2666" t="inlineStr">
        <is>
          <t>VÄSTERBOTTENS LÄN</t>
        </is>
      </c>
      <c r="E2666" t="inlineStr">
        <is>
          <t>NORDMALING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12362-2025</t>
        </is>
      </c>
      <c r="B2667" s="1" t="n">
        <v>45730</v>
      </c>
      <c r="C2667" s="1" t="n">
        <v>45971</v>
      </c>
      <c r="D2667" t="inlineStr">
        <is>
          <t>VÄSTERBOTTENS LÄN</t>
        </is>
      </c>
      <c r="E2667" t="inlineStr">
        <is>
          <t>VILHELMINA</t>
        </is>
      </c>
      <c r="F2667" t="inlineStr">
        <is>
          <t>Övriga statliga verk och myndigheter</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52740-2023</t>
        </is>
      </c>
      <c r="B2668" s="1" t="n">
        <v>45225</v>
      </c>
      <c r="C2668" s="1" t="n">
        <v>45971</v>
      </c>
      <c r="D2668" t="inlineStr">
        <is>
          <t>VÄSTERBOTTENS LÄN</t>
        </is>
      </c>
      <c r="E2668" t="inlineStr">
        <is>
          <t>VILHELMINA</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52128-2024</t>
        </is>
      </c>
      <c r="B2669" s="1" t="n">
        <v>45608.47178240741</v>
      </c>
      <c r="C2669" s="1" t="n">
        <v>45971</v>
      </c>
      <c r="D2669" t="inlineStr">
        <is>
          <t>VÄSTERBOTTENS LÄN</t>
        </is>
      </c>
      <c r="E2669" t="inlineStr">
        <is>
          <t>MALÅ</t>
        </is>
      </c>
      <c r="F2669" t="inlineStr">
        <is>
          <t>Sveaskog</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52144-2024</t>
        </is>
      </c>
      <c r="B2670" s="1" t="n">
        <v>45608.51774305556</v>
      </c>
      <c r="C2670" s="1" t="n">
        <v>45971</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20723-2024</t>
        </is>
      </c>
      <c r="B2671" s="1" t="n">
        <v>45436.65041666666</v>
      </c>
      <c r="C2671" s="1" t="n">
        <v>45971</v>
      </c>
      <c r="D2671" t="inlineStr">
        <is>
          <t>VÄSTERBOTTENS LÄN</t>
        </is>
      </c>
      <c r="E2671" t="inlineStr">
        <is>
          <t>SKELLEFTEÅ</t>
        </is>
      </c>
      <c r="F2671" t="inlineStr">
        <is>
          <t>Holmen skog AB</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42141-2023</t>
        </is>
      </c>
      <c r="B2672" s="1" t="n">
        <v>45177</v>
      </c>
      <c r="C2672" s="1" t="n">
        <v>45971</v>
      </c>
      <c r="D2672" t="inlineStr">
        <is>
          <t>VÄSTERBOTTENS LÄN</t>
        </is>
      </c>
      <c r="E2672" t="inlineStr">
        <is>
          <t>VÄNNÄS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12763-2025</t>
        </is>
      </c>
      <c r="B2673" s="1" t="n">
        <v>45733</v>
      </c>
      <c r="C2673" s="1" t="n">
        <v>45971</v>
      </c>
      <c r="D2673" t="inlineStr">
        <is>
          <t>VÄSTERBOTTENS LÄN</t>
        </is>
      </c>
      <c r="E2673" t="inlineStr">
        <is>
          <t>VILHELMINA</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60645-2023</t>
        </is>
      </c>
      <c r="B2674" s="1" t="n">
        <v>45260.41273148148</v>
      </c>
      <c r="C2674" s="1" t="n">
        <v>45971</v>
      </c>
      <c r="D2674" t="inlineStr">
        <is>
          <t>VÄSTERBOTTENS LÄN</t>
        </is>
      </c>
      <c r="E2674" t="inlineStr">
        <is>
          <t>UMEÅ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46119-2022</t>
        </is>
      </c>
      <c r="B2675" s="1" t="n">
        <v>44847</v>
      </c>
      <c r="C2675" s="1" t="n">
        <v>45971</v>
      </c>
      <c r="D2675" t="inlineStr">
        <is>
          <t>VÄSTERBOTTENS LÄN</t>
        </is>
      </c>
      <c r="E2675" t="inlineStr">
        <is>
          <t>VILHELMINA</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46121-2022</t>
        </is>
      </c>
      <c r="B2676" s="1" t="n">
        <v>44847</v>
      </c>
      <c r="C2676" s="1" t="n">
        <v>45971</v>
      </c>
      <c r="D2676" t="inlineStr">
        <is>
          <t>VÄSTERBOTTENS LÄN</t>
        </is>
      </c>
      <c r="E2676" t="inlineStr">
        <is>
          <t>VILHELMINA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20769-2024</t>
        </is>
      </c>
      <c r="B2677" s="1" t="n">
        <v>45436.94604166667</v>
      </c>
      <c r="C2677" s="1" t="n">
        <v>45971</v>
      </c>
      <c r="D2677" t="inlineStr">
        <is>
          <t>VÄSTERBOTTENS LÄN</t>
        </is>
      </c>
      <c r="E2677" t="inlineStr">
        <is>
          <t>VILHELMINA</t>
        </is>
      </c>
      <c r="F2677" t="inlineStr">
        <is>
          <t>SCA</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60163-2024</t>
        </is>
      </c>
      <c r="B2678" s="1" t="n">
        <v>45642.63332175926</v>
      </c>
      <c r="C2678" s="1" t="n">
        <v>45971</v>
      </c>
      <c r="D2678" t="inlineStr">
        <is>
          <t>VÄSTERBOTTENS LÄN</t>
        </is>
      </c>
      <c r="E2678" t="inlineStr">
        <is>
          <t>DOROTEA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60168-2024</t>
        </is>
      </c>
      <c r="B2679" s="1" t="n">
        <v>45639</v>
      </c>
      <c r="C2679" s="1" t="n">
        <v>45971</v>
      </c>
      <c r="D2679" t="inlineStr">
        <is>
          <t>VÄSTERBOTTENS LÄN</t>
        </is>
      </c>
      <c r="E2679" t="inlineStr">
        <is>
          <t>MALÅ</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7618-2024</t>
        </is>
      </c>
      <c r="B2680" s="1" t="n">
        <v>45348</v>
      </c>
      <c r="C2680" s="1" t="n">
        <v>45971</v>
      </c>
      <c r="D2680" t="inlineStr">
        <is>
          <t>VÄSTERBOTTENS LÄN</t>
        </is>
      </c>
      <c r="E2680" t="inlineStr">
        <is>
          <t>NORDMALING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33841-2021</t>
        </is>
      </c>
      <c r="B2681" s="1" t="n">
        <v>44378</v>
      </c>
      <c r="C2681" s="1" t="n">
        <v>45971</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49599-2022</t>
        </is>
      </c>
      <c r="B2682" s="1" t="n">
        <v>44859</v>
      </c>
      <c r="C2682" s="1" t="n">
        <v>45971</v>
      </c>
      <c r="D2682" t="inlineStr">
        <is>
          <t>VÄSTERBOTTENS LÄN</t>
        </is>
      </c>
      <c r="E2682" t="inlineStr">
        <is>
          <t>VILHELMINA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62187-2021</t>
        </is>
      </c>
      <c r="B2683" s="1" t="n">
        <v>44502.91891203704</v>
      </c>
      <c r="C2683" s="1" t="n">
        <v>45971</v>
      </c>
      <c r="D2683" t="inlineStr">
        <is>
          <t>VÄSTERBOTTENS LÄN</t>
        </is>
      </c>
      <c r="E2683" t="inlineStr">
        <is>
          <t>ROBERTSFORS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46547-2023</t>
        </is>
      </c>
      <c r="B2684" s="1" t="n">
        <v>45197.94158564815</v>
      </c>
      <c r="C2684" s="1" t="n">
        <v>45971</v>
      </c>
      <c r="D2684" t="inlineStr">
        <is>
          <t>VÄSTERBOTTENS LÄN</t>
        </is>
      </c>
      <c r="E2684" t="inlineStr">
        <is>
          <t>VILHELMINA</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19025-2024</t>
        </is>
      </c>
      <c r="B2685" s="1" t="n">
        <v>45427</v>
      </c>
      <c r="C2685" s="1" t="n">
        <v>45971</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23261-2021</t>
        </is>
      </c>
      <c r="B2686" s="1" t="n">
        <v>44330</v>
      </c>
      <c r="C2686" s="1" t="n">
        <v>45971</v>
      </c>
      <c r="D2686" t="inlineStr">
        <is>
          <t>VÄSTERBOTTENS LÄN</t>
        </is>
      </c>
      <c r="E2686" t="inlineStr">
        <is>
          <t>VILHELMINA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54387-2024</t>
        </is>
      </c>
      <c r="B2687" s="1" t="n">
        <v>45617</v>
      </c>
      <c r="C2687" s="1" t="n">
        <v>45971</v>
      </c>
      <c r="D2687" t="inlineStr">
        <is>
          <t>VÄSTERBOTTENS LÄN</t>
        </is>
      </c>
      <c r="E2687" t="inlineStr">
        <is>
          <t>VILHELMINA</t>
        </is>
      </c>
      <c r="F2687" t="inlineStr">
        <is>
          <t>SCA</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46584-2023</t>
        </is>
      </c>
      <c r="B2688" s="1" t="n">
        <v>45198</v>
      </c>
      <c r="C2688" s="1" t="n">
        <v>45971</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8727-2024</t>
        </is>
      </c>
      <c r="B2689" s="1" t="n">
        <v>45356.42712962963</v>
      </c>
      <c r="C2689" s="1" t="n">
        <v>45971</v>
      </c>
      <c r="D2689" t="inlineStr">
        <is>
          <t>VÄSTERBOTTENS LÄN</t>
        </is>
      </c>
      <c r="E2689" t="inlineStr">
        <is>
          <t>LYCKSELE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1311-2025</t>
        </is>
      </c>
      <c r="B2690" s="1" t="n">
        <v>45667</v>
      </c>
      <c r="C2690" s="1" t="n">
        <v>45971</v>
      </c>
      <c r="D2690" t="inlineStr">
        <is>
          <t>VÄSTERBOTTENS LÄN</t>
        </is>
      </c>
      <c r="E2690" t="inlineStr">
        <is>
          <t>ROBERTSFORS</t>
        </is>
      </c>
      <c r="F2690" t="inlineStr">
        <is>
          <t>Holmen skog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23525-2021</t>
        </is>
      </c>
      <c r="B2691" s="1" t="n">
        <v>44334.33274305556</v>
      </c>
      <c r="C2691" s="1" t="n">
        <v>45971</v>
      </c>
      <c r="D2691" t="inlineStr">
        <is>
          <t>VÄSTERBOTTENS LÄN</t>
        </is>
      </c>
      <c r="E2691" t="inlineStr">
        <is>
          <t>VINDELN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53442-2024</t>
        </is>
      </c>
      <c r="B2692" s="1" t="n">
        <v>45614.5381712963</v>
      </c>
      <c r="C2692" s="1" t="n">
        <v>45971</v>
      </c>
      <c r="D2692" t="inlineStr">
        <is>
          <t>VÄSTERBOTTENS LÄN</t>
        </is>
      </c>
      <c r="E2692" t="inlineStr">
        <is>
          <t>NORSJÖ</t>
        </is>
      </c>
      <c r="F2692" t="inlineStr">
        <is>
          <t>Holmen skog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66839-2020</t>
        </is>
      </c>
      <c r="B2693" s="1" t="n">
        <v>44179</v>
      </c>
      <c r="C2693" s="1" t="n">
        <v>45971</v>
      </c>
      <c r="D2693" t="inlineStr">
        <is>
          <t>VÄSTERBOTTENS LÄN</t>
        </is>
      </c>
      <c r="E2693" t="inlineStr">
        <is>
          <t>NORDMALING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66841-2020</t>
        </is>
      </c>
      <c r="B2694" s="1" t="n">
        <v>44179</v>
      </c>
      <c r="C2694" s="1" t="n">
        <v>45971</v>
      </c>
      <c r="D2694" t="inlineStr">
        <is>
          <t>VÄSTERBOTTENS LÄN</t>
        </is>
      </c>
      <c r="E2694" t="inlineStr">
        <is>
          <t>NORDMALING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13830-2024</t>
        </is>
      </c>
      <c r="B2695" s="1" t="n">
        <v>45390</v>
      </c>
      <c r="C2695" s="1" t="n">
        <v>45971</v>
      </c>
      <c r="D2695" t="inlineStr">
        <is>
          <t>VÄSTERBOTTENS LÄN</t>
        </is>
      </c>
      <c r="E2695" t="inlineStr">
        <is>
          <t>VINDELN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53457-2024</t>
        </is>
      </c>
      <c r="B2696" s="1" t="n">
        <v>45614.54942129629</v>
      </c>
      <c r="C2696" s="1" t="n">
        <v>45971</v>
      </c>
      <c r="D2696" t="inlineStr">
        <is>
          <t>VÄSTERBOTTENS LÄN</t>
        </is>
      </c>
      <c r="E2696" t="inlineStr">
        <is>
          <t>NORSJÖ</t>
        </is>
      </c>
      <c r="F2696" t="inlineStr">
        <is>
          <t>Holmen skog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7229-2025</t>
        </is>
      </c>
      <c r="B2697" s="1" t="n">
        <v>45702</v>
      </c>
      <c r="C2697" s="1" t="n">
        <v>45971</v>
      </c>
      <c r="D2697" t="inlineStr">
        <is>
          <t>VÄSTERBOTTENS LÄN</t>
        </is>
      </c>
      <c r="E2697" t="inlineStr">
        <is>
          <t>STORUMAN</t>
        </is>
      </c>
      <c r="G2697" t="n">
        <v>15.2</v>
      </c>
      <c r="H2697" t="n">
        <v>0</v>
      </c>
      <c r="I2697" t="n">
        <v>0</v>
      </c>
      <c r="J2697" t="n">
        <v>0</v>
      </c>
      <c r="K2697" t="n">
        <v>0</v>
      </c>
      <c r="L2697" t="n">
        <v>0</v>
      </c>
      <c r="M2697" t="n">
        <v>0</v>
      </c>
      <c r="N2697" t="n">
        <v>0</v>
      </c>
      <c r="O2697" t="n">
        <v>0</v>
      </c>
      <c r="P2697" t="n">
        <v>0</v>
      </c>
      <c r="Q2697" t="n">
        <v>0</v>
      </c>
      <c r="R2697" s="2" t="inlineStr"/>
    </row>
    <row r="2698" ht="15" customHeight="1">
      <c r="A2698" t="inlineStr">
        <is>
          <t>A 14759-2022</t>
        </is>
      </c>
      <c r="B2698" s="1" t="n">
        <v>44656</v>
      </c>
      <c r="C2698" s="1" t="n">
        <v>45971</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38026-2021</t>
        </is>
      </c>
      <c r="B2699" s="1" t="n">
        <v>44404</v>
      </c>
      <c r="C2699" s="1" t="n">
        <v>45971</v>
      </c>
      <c r="D2699" t="inlineStr">
        <is>
          <t>VÄSTERBOTTENS LÄN</t>
        </is>
      </c>
      <c r="E2699" t="inlineStr">
        <is>
          <t>SKELLEFTEÅ</t>
        </is>
      </c>
      <c r="F2699" t="inlineStr">
        <is>
          <t>Holmen skog AB</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17359-2023</t>
        </is>
      </c>
      <c r="B2700" s="1" t="n">
        <v>45033</v>
      </c>
      <c r="C2700" s="1" t="n">
        <v>45971</v>
      </c>
      <c r="D2700" t="inlineStr">
        <is>
          <t>VÄSTERBOTTENS LÄN</t>
        </is>
      </c>
      <c r="E2700" t="inlineStr">
        <is>
          <t>UMEÅ</t>
        </is>
      </c>
      <c r="F2700" t="inlineStr">
        <is>
          <t>Kommuner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43501-2023</t>
        </is>
      </c>
      <c r="B2701" s="1" t="n">
        <v>45184</v>
      </c>
      <c r="C2701" s="1" t="n">
        <v>45971</v>
      </c>
      <c r="D2701" t="inlineStr">
        <is>
          <t>VÄSTERBOTTENS LÄN</t>
        </is>
      </c>
      <c r="E2701" t="inlineStr">
        <is>
          <t>MALÅ</t>
        </is>
      </c>
      <c r="F2701" t="inlineStr">
        <is>
          <t>Sveaskog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23579-2024</t>
        </is>
      </c>
      <c r="B2702" s="1" t="n">
        <v>45454</v>
      </c>
      <c r="C2702" s="1" t="n">
        <v>45971</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2788-2022</t>
        </is>
      </c>
      <c r="B2703" s="1" t="n">
        <v>44580</v>
      </c>
      <c r="C2703" s="1" t="n">
        <v>45971</v>
      </c>
      <c r="D2703" t="inlineStr">
        <is>
          <t>VÄSTERBOTTENS LÄN</t>
        </is>
      </c>
      <c r="E2703" t="inlineStr">
        <is>
          <t>STORUMAN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64761-2021</t>
        </is>
      </c>
      <c r="B2704" s="1" t="n">
        <v>44511</v>
      </c>
      <c r="C2704" s="1" t="n">
        <v>45971</v>
      </c>
      <c r="D2704" t="inlineStr">
        <is>
          <t>VÄSTERBOTTENS LÄN</t>
        </is>
      </c>
      <c r="E2704" t="inlineStr">
        <is>
          <t>SKELLEFTEÅ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9993-2022</t>
        </is>
      </c>
      <c r="B2705" s="1" t="n">
        <v>44621</v>
      </c>
      <c r="C2705" s="1" t="n">
        <v>45971</v>
      </c>
      <c r="D2705" t="inlineStr">
        <is>
          <t>VÄSTERBOTTENS LÄN</t>
        </is>
      </c>
      <c r="E2705" t="inlineStr">
        <is>
          <t>NORDMALING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7028-2025</t>
        </is>
      </c>
      <c r="B2706" s="1" t="n">
        <v>45701.63065972222</v>
      </c>
      <c r="C2706" s="1" t="n">
        <v>45971</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55198-2022</t>
        </is>
      </c>
      <c r="B2707" s="1" t="n">
        <v>44886.93724537037</v>
      </c>
      <c r="C2707" s="1" t="n">
        <v>45971</v>
      </c>
      <c r="D2707" t="inlineStr">
        <is>
          <t>VÄSTERBOTTENS LÄN</t>
        </is>
      </c>
      <c r="E2707" t="inlineStr">
        <is>
          <t>NORDMALING</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47039-2021</t>
        </is>
      </c>
      <c r="B2708" s="1" t="n">
        <v>44446</v>
      </c>
      <c r="C2708" s="1" t="n">
        <v>45971</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51332-2024</t>
        </is>
      </c>
      <c r="B2709" s="1" t="n">
        <v>45604.34377314815</v>
      </c>
      <c r="C2709" s="1" t="n">
        <v>45971</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51407-2024</t>
        </is>
      </c>
      <c r="B2710" s="1" t="n">
        <v>45604.42872685185</v>
      </c>
      <c r="C2710" s="1" t="n">
        <v>45971</v>
      </c>
      <c r="D2710" t="inlineStr">
        <is>
          <t>VÄSTERBOTTENS LÄN</t>
        </is>
      </c>
      <c r="E2710" t="inlineStr">
        <is>
          <t>NORSJÖ</t>
        </is>
      </c>
      <c r="F2710" t="inlineStr">
        <is>
          <t>Holmen skog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52364-2024</t>
        </is>
      </c>
      <c r="B2711" s="1" t="n">
        <v>45609.38349537037</v>
      </c>
      <c r="C2711" s="1" t="n">
        <v>45971</v>
      </c>
      <c r="D2711" t="inlineStr">
        <is>
          <t>VÄSTERBOTTENS LÄN</t>
        </is>
      </c>
      <c r="E2711" t="inlineStr">
        <is>
          <t>UMEÅ</t>
        </is>
      </c>
      <c r="F2711" t="inlineStr">
        <is>
          <t>Holmen skog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9192-2022</t>
        </is>
      </c>
      <c r="B2712" s="1" t="n">
        <v>44615.9247800926</v>
      </c>
      <c r="C2712" s="1" t="n">
        <v>45971</v>
      </c>
      <c r="D2712" t="inlineStr">
        <is>
          <t>VÄSTERBOTTENS LÄN</t>
        </is>
      </c>
      <c r="E2712" t="inlineStr">
        <is>
          <t>ROBERTSFORS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3354-2022</t>
        </is>
      </c>
      <c r="B2713" s="1" t="n">
        <v>44585</v>
      </c>
      <c r="C2713" s="1" t="n">
        <v>45971</v>
      </c>
      <c r="D2713" t="inlineStr">
        <is>
          <t>VÄSTERBOTTENS LÄN</t>
        </is>
      </c>
      <c r="E2713" t="inlineStr">
        <is>
          <t>STORUMAN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15050-2024</t>
        </is>
      </c>
      <c r="B2714" s="1" t="n">
        <v>45399</v>
      </c>
      <c r="C2714" s="1" t="n">
        <v>45971</v>
      </c>
      <c r="D2714" t="inlineStr">
        <is>
          <t>VÄSTERBOTTENS LÄN</t>
        </is>
      </c>
      <c r="E2714" t="inlineStr">
        <is>
          <t>VILHELMINA</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15057-2024</t>
        </is>
      </c>
      <c r="B2715" s="1" t="n">
        <v>45399</v>
      </c>
      <c r="C2715" s="1" t="n">
        <v>45971</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15059-2024</t>
        </is>
      </c>
      <c r="B2716" s="1" t="n">
        <v>45399</v>
      </c>
      <c r="C2716" s="1" t="n">
        <v>45971</v>
      </c>
      <c r="D2716" t="inlineStr">
        <is>
          <t>VÄSTERBOTTENS LÄN</t>
        </is>
      </c>
      <c r="E2716" t="inlineStr">
        <is>
          <t>VILHELMINA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47519-2024</t>
        </is>
      </c>
      <c r="B2717" s="1" t="n">
        <v>45587</v>
      </c>
      <c r="C2717" s="1" t="n">
        <v>45971</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26955-2023</t>
        </is>
      </c>
      <c r="B2718" s="1" t="n">
        <v>45091</v>
      </c>
      <c r="C2718" s="1" t="n">
        <v>45971</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34101-2023</t>
        </is>
      </c>
      <c r="B2719" s="1" t="n">
        <v>45125</v>
      </c>
      <c r="C2719" s="1" t="n">
        <v>45971</v>
      </c>
      <c r="D2719" t="inlineStr">
        <is>
          <t>VÄSTERBOTTENS LÄN</t>
        </is>
      </c>
      <c r="E2719" t="inlineStr">
        <is>
          <t>DOROTEA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26154-2023</t>
        </is>
      </c>
      <c r="B2720" s="1" t="n">
        <v>45091.50071759259</v>
      </c>
      <c r="C2720" s="1" t="n">
        <v>45971</v>
      </c>
      <c r="D2720" t="inlineStr">
        <is>
          <t>VÄSTERBOTTENS LÄN</t>
        </is>
      </c>
      <c r="E2720" t="inlineStr">
        <is>
          <t>SKELLEFTEÅ</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50238-2024</t>
        </is>
      </c>
      <c r="B2721" s="1" t="n">
        <v>45600.55559027778</v>
      </c>
      <c r="C2721" s="1" t="n">
        <v>45971</v>
      </c>
      <c r="D2721" t="inlineStr">
        <is>
          <t>VÄSTERBOTTENS LÄN</t>
        </is>
      </c>
      <c r="E2721" t="inlineStr">
        <is>
          <t>BJURHOLM</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11454-2021</t>
        </is>
      </c>
      <c r="B2722" s="1" t="n">
        <v>44264</v>
      </c>
      <c r="C2722" s="1" t="n">
        <v>45971</v>
      </c>
      <c r="D2722" t="inlineStr">
        <is>
          <t>VÄSTERBOTTENS LÄN</t>
        </is>
      </c>
      <c r="E2722" t="inlineStr">
        <is>
          <t>SKELLEFTEÅ</t>
        </is>
      </c>
      <c r="G2722" t="n">
        <v>14.6</v>
      </c>
      <c r="H2722" t="n">
        <v>0</v>
      </c>
      <c r="I2722" t="n">
        <v>0</v>
      </c>
      <c r="J2722" t="n">
        <v>0</v>
      </c>
      <c r="K2722" t="n">
        <v>0</v>
      </c>
      <c r="L2722" t="n">
        <v>0</v>
      </c>
      <c r="M2722" t="n">
        <v>0</v>
      </c>
      <c r="N2722" t="n">
        <v>0</v>
      </c>
      <c r="O2722" t="n">
        <v>0</v>
      </c>
      <c r="P2722" t="n">
        <v>0</v>
      </c>
      <c r="Q2722" t="n">
        <v>0</v>
      </c>
      <c r="R2722" s="2" t="inlineStr"/>
    </row>
    <row r="2723" ht="15" customHeight="1">
      <c r="A2723" t="inlineStr">
        <is>
          <t>A 11499-2021</t>
        </is>
      </c>
      <c r="B2723" s="1" t="n">
        <v>44264.37333333334</v>
      </c>
      <c r="C2723" s="1" t="n">
        <v>45971</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33395-2023</t>
        </is>
      </c>
      <c r="B2724" s="1" t="n">
        <v>45128.62215277777</v>
      </c>
      <c r="C2724" s="1" t="n">
        <v>45971</v>
      </c>
      <c r="D2724" t="inlineStr">
        <is>
          <t>VÄSTERBOTTENS LÄN</t>
        </is>
      </c>
      <c r="E2724" t="inlineStr">
        <is>
          <t>BJURHOLM</t>
        </is>
      </c>
      <c r="F2724" t="inlineStr">
        <is>
          <t>Holmen skog AB</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18104-2021</t>
        </is>
      </c>
      <c r="B2725" s="1" t="n">
        <v>44302</v>
      </c>
      <c r="C2725" s="1" t="n">
        <v>45971</v>
      </c>
      <c r="D2725" t="inlineStr">
        <is>
          <t>VÄSTERBOTTENS LÄN</t>
        </is>
      </c>
      <c r="E2725" t="inlineStr">
        <is>
          <t>SKELLEFTEÅ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16183-2025</t>
        </is>
      </c>
      <c r="B2726" s="1" t="n">
        <v>45750.57883101852</v>
      </c>
      <c r="C2726" s="1" t="n">
        <v>45971</v>
      </c>
      <c r="D2726" t="inlineStr">
        <is>
          <t>VÄSTERBOTTENS LÄN</t>
        </is>
      </c>
      <c r="E2726" t="inlineStr">
        <is>
          <t>LYCKSELE</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51943-2023</t>
        </is>
      </c>
      <c r="B2727" s="1" t="n">
        <v>45223</v>
      </c>
      <c r="C2727" s="1" t="n">
        <v>45971</v>
      </c>
      <c r="D2727" t="inlineStr">
        <is>
          <t>VÄSTERBOTTENS LÄN</t>
        </is>
      </c>
      <c r="E2727" t="inlineStr">
        <is>
          <t>LYCKSELE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61366-2024</t>
        </is>
      </c>
      <c r="B2728" s="1" t="n">
        <v>45646.3871412037</v>
      </c>
      <c r="C2728" s="1" t="n">
        <v>45971</v>
      </c>
      <c r="D2728" t="inlineStr">
        <is>
          <t>VÄSTERBOTTENS LÄN</t>
        </is>
      </c>
      <c r="E2728" t="inlineStr">
        <is>
          <t>LYCKSELE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61367-2024</t>
        </is>
      </c>
      <c r="B2729" s="1" t="n">
        <v>45646.38721064815</v>
      </c>
      <c r="C2729" s="1" t="n">
        <v>45971</v>
      </c>
      <c r="D2729" t="inlineStr">
        <is>
          <t>VÄSTERBOTTENS LÄN</t>
        </is>
      </c>
      <c r="E2729" t="inlineStr">
        <is>
          <t>LYCKSELE</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60000-2022</t>
        </is>
      </c>
      <c r="B2730" s="1" t="n">
        <v>44909.4678125</v>
      </c>
      <c r="C2730" s="1" t="n">
        <v>45971</v>
      </c>
      <c r="D2730" t="inlineStr">
        <is>
          <t>VÄSTERBOTTENS LÄN</t>
        </is>
      </c>
      <c r="E2730" t="inlineStr">
        <is>
          <t>SKELLEFTEÅ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61382-2024</t>
        </is>
      </c>
      <c r="B2731" s="1" t="n">
        <v>45646.40891203703</v>
      </c>
      <c r="C2731" s="1" t="n">
        <v>45971</v>
      </c>
      <c r="D2731" t="inlineStr">
        <is>
          <t>VÄSTERBOTTENS LÄN</t>
        </is>
      </c>
      <c r="E2731" t="inlineStr">
        <is>
          <t>LYCKSELE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61386-2024</t>
        </is>
      </c>
      <c r="B2732" s="1" t="n">
        <v>45646.41387731482</v>
      </c>
      <c r="C2732" s="1" t="n">
        <v>45971</v>
      </c>
      <c r="D2732" t="inlineStr">
        <is>
          <t>VÄSTERBOTTENS LÄN</t>
        </is>
      </c>
      <c r="E2732" t="inlineStr">
        <is>
          <t>ROBERTSFORS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68705-2020</t>
        </is>
      </c>
      <c r="B2733" s="1" t="n">
        <v>44186</v>
      </c>
      <c r="C2733" s="1" t="n">
        <v>45971</v>
      </c>
      <c r="D2733" t="inlineStr">
        <is>
          <t>VÄSTERBOTTENS LÄN</t>
        </is>
      </c>
      <c r="E2733" t="inlineStr">
        <is>
          <t>UMEÅ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38968-2023</t>
        </is>
      </c>
      <c r="B2734" s="1" t="n">
        <v>45163.63506944444</v>
      </c>
      <c r="C2734" s="1" t="n">
        <v>45971</v>
      </c>
      <c r="D2734" t="inlineStr">
        <is>
          <t>VÄSTERBOTTENS LÄN</t>
        </is>
      </c>
      <c r="E2734" t="inlineStr">
        <is>
          <t>VINDELN</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2109-2025</t>
        </is>
      </c>
      <c r="B2735" s="1" t="n">
        <v>45672</v>
      </c>
      <c r="C2735" s="1" t="n">
        <v>45971</v>
      </c>
      <c r="D2735" t="inlineStr">
        <is>
          <t>VÄSTERBOTTENS LÄN</t>
        </is>
      </c>
      <c r="E2735" t="inlineStr">
        <is>
          <t>LYCKSELE</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55233-2024</t>
        </is>
      </c>
      <c r="B2736" s="1" t="n">
        <v>45620</v>
      </c>
      <c r="C2736" s="1" t="n">
        <v>45971</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61479-2024</t>
        </is>
      </c>
      <c r="B2737" s="1" t="n">
        <v>45646.52488425926</v>
      </c>
      <c r="C2737" s="1" t="n">
        <v>45971</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9090-2025</t>
        </is>
      </c>
      <c r="B2738" s="1" t="n">
        <v>45713.67753472222</v>
      </c>
      <c r="C2738" s="1" t="n">
        <v>45971</v>
      </c>
      <c r="D2738" t="inlineStr">
        <is>
          <t>VÄSTERBOTTENS LÄN</t>
        </is>
      </c>
      <c r="E2738" t="inlineStr">
        <is>
          <t>LYCKSELE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39431-2021</t>
        </is>
      </c>
      <c r="B2739" s="1" t="n">
        <v>44414.52152777778</v>
      </c>
      <c r="C2739" s="1" t="n">
        <v>45971</v>
      </c>
      <c r="D2739" t="inlineStr">
        <is>
          <t>VÄSTERBOTTENS LÄN</t>
        </is>
      </c>
      <c r="E2739" t="inlineStr">
        <is>
          <t>BJURHOLM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18790-2021</t>
        </is>
      </c>
      <c r="B2740" s="1" t="n">
        <v>44307</v>
      </c>
      <c r="C2740" s="1" t="n">
        <v>45971</v>
      </c>
      <c r="D2740" t="inlineStr">
        <is>
          <t>VÄSTERBOTTENS LÄN</t>
        </is>
      </c>
      <c r="E2740" t="inlineStr">
        <is>
          <t>VILHELMINA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46480-2024</t>
        </is>
      </c>
      <c r="B2741" s="1" t="n">
        <v>45582.57158564815</v>
      </c>
      <c r="C2741" s="1" t="n">
        <v>45971</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19724-2023</t>
        </is>
      </c>
      <c r="B2742" s="1" t="n">
        <v>45051</v>
      </c>
      <c r="C2742" s="1" t="n">
        <v>45971</v>
      </c>
      <c r="D2742" t="inlineStr">
        <is>
          <t>VÄSTERBOTTENS LÄN</t>
        </is>
      </c>
      <c r="E2742" t="inlineStr">
        <is>
          <t>ROBERTSFORS</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2708-2022</t>
        </is>
      </c>
      <c r="B2743" s="1" t="n">
        <v>44580</v>
      </c>
      <c r="C2743" s="1" t="n">
        <v>45971</v>
      </c>
      <c r="D2743" t="inlineStr">
        <is>
          <t>VÄSTERBOTTENS LÄN</t>
        </is>
      </c>
      <c r="E2743" t="inlineStr">
        <is>
          <t>ROBERTSFORS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41950-2024</t>
        </is>
      </c>
      <c r="B2744" s="1" t="n">
        <v>45561.58484953704</v>
      </c>
      <c r="C2744" s="1" t="n">
        <v>45971</v>
      </c>
      <c r="D2744" t="inlineStr">
        <is>
          <t>VÄSTERBOTTENS LÄN</t>
        </is>
      </c>
      <c r="E2744" t="inlineStr">
        <is>
          <t>LYCKSELE</t>
        </is>
      </c>
      <c r="F2744" t="inlineStr">
        <is>
          <t>Sveaskog</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11626-2024</t>
        </is>
      </c>
      <c r="B2745" s="1" t="n">
        <v>45373</v>
      </c>
      <c r="C2745" s="1" t="n">
        <v>45971</v>
      </c>
      <c r="D2745" t="inlineStr">
        <is>
          <t>VÄSTERBOTTENS LÄN</t>
        </is>
      </c>
      <c r="E2745" t="inlineStr">
        <is>
          <t>LYCKSELE</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13730-2025</t>
        </is>
      </c>
      <c r="B2746" s="1" t="n">
        <v>45737.38648148148</v>
      </c>
      <c r="C2746" s="1" t="n">
        <v>45971</v>
      </c>
      <c r="D2746" t="inlineStr">
        <is>
          <t>VÄSTERBOTTENS LÄN</t>
        </is>
      </c>
      <c r="E2746" t="inlineStr">
        <is>
          <t>VINDELN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42000-2024</t>
        </is>
      </c>
      <c r="B2747" s="1" t="n">
        <v>45561.65799768519</v>
      </c>
      <c r="C2747" s="1" t="n">
        <v>45971</v>
      </c>
      <c r="D2747" t="inlineStr">
        <is>
          <t>VÄSTERBOTTENS LÄN</t>
        </is>
      </c>
      <c r="E2747" t="inlineStr">
        <is>
          <t>UMEÅ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36082-2022</t>
        </is>
      </c>
      <c r="B2748" s="1" t="n">
        <v>44802</v>
      </c>
      <c r="C2748" s="1" t="n">
        <v>45971</v>
      </c>
      <c r="D2748" t="inlineStr">
        <is>
          <t>VÄSTERBOTTENS LÄN</t>
        </is>
      </c>
      <c r="E2748" t="inlineStr">
        <is>
          <t>VILHELMINA</t>
        </is>
      </c>
      <c r="F2748" t="inlineStr">
        <is>
          <t>SCA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46434-2022</t>
        </is>
      </c>
      <c r="B2749" s="1" t="n">
        <v>44846</v>
      </c>
      <c r="C2749" s="1" t="n">
        <v>45971</v>
      </c>
      <c r="D2749" t="inlineStr">
        <is>
          <t>VÄSTERBOTTENS LÄN</t>
        </is>
      </c>
      <c r="E2749" t="inlineStr">
        <is>
          <t>VÄNNÄS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16782-2024</t>
        </is>
      </c>
      <c r="B2750" s="1" t="n">
        <v>45411</v>
      </c>
      <c r="C2750" s="1" t="n">
        <v>45971</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61025-2024</t>
        </is>
      </c>
      <c r="B2751" s="1" t="n">
        <v>45644</v>
      </c>
      <c r="C2751" s="1" t="n">
        <v>45971</v>
      </c>
      <c r="D2751" t="inlineStr">
        <is>
          <t>VÄSTERBOTTENS LÄN</t>
        </is>
      </c>
      <c r="E2751" t="inlineStr">
        <is>
          <t>NORSJÖ</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14297-2025</t>
        </is>
      </c>
      <c r="B2752" s="1" t="n">
        <v>45740.68304398148</v>
      </c>
      <c r="C2752" s="1" t="n">
        <v>45971</v>
      </c>
      <c r="D2752" t="inlineStr">
        <is>
          <t>VÄSTERBOTTENS LÄN</t>
        </is>
      </c>
      <c r="E2752" t="inlineStr">
        <is>
          <t>DOROTEA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14305-2025</t>
        </is>
      </c>
      <c r="B2753" s="1" t="n">
        <v>45740.69831018519</v>
      </c>
      <c r="C2753" s="1" t="n">
        <v>45971</v>
      </c>
      <c r="D2753" t="inlineStr">
        <is>
          <t>VÄSTERBOTTENS LÄN</t>
        </is>
      </c>
      <c r="E2753" t="inlineStr">
        <is>
          <t>MALÅ</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51664-2023</t>
        </is>
      </c>
      <c r="B2754" s="1" t="n">
        <v>45215</v>
      </c>
      <c r="C2754" s="1" t="n">
        <v>45971</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20193-2025</t>
        </is>
      </c>
      <c r="B2755" s="1" t="n">
        <v>45772</v>
      </c>
      <c r="C2755" s="1" t="n">
        <v>45971</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31133-2023</t>
        </is>
      </c>
      <c r="B2756" s="1" t="n">
        <v>45103</v>
      </c>
      <c r="C2756" s="1" t="n">
        <v>45971</v>
      </c>
      <c r="D2756" t="inlineStr">
        <is>
          <t>VÄSTERBOTTENS LÄN</t>
        </is>
      </c>
      <c r="E2756" t="inlineStr">
        <is>
          <t>VÄNNÄS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14959-2022</t>
        </is>
      </c>
      <c r="B2757" s="1" t="n">
        <v>44657</v>
      </c>
      <c r="C2757" s="1" t="n">
        <v>45971</v>
      </c>
      <c r="D2757" t="inlineStr">
        <is>
          <t>VÄSTERBOTTENS LÄN</t>
        </is>
      </c>
      <c r="E2757" t="inlineStr">
        <is>
          <t>VILHELMINA</t>
        </is>
      </c>
      <c r="G2757" t="n">
        <v>71.8</v>
      </c>
      <c r="H2757" t="n">
        <v>0</v>
      </c>
      <c r="I2757" t="n">
        <v>0</v>
      </c>
      <c r="J2757" t="n">
        <v>0</v>
      </c>
      <c r="K2757" t="n">
        <v>0</v>
      </c>
      <c r="L2757" t="n">
        <v>0</v>
      </c>
      <c r="M2757" t="n">
        <v>0</v>
      </c>
      <c r="N2757" t="n">
        <v>0</v>
      </c>
      <c r="O2757" t="n">
        <v>0</v>
      </c>
      <c r="P2757" t="n">
        <v>0</v>
      </c>
      <c r="Q2757" t="n">
        <v>0</v>
      </c>
      <c r="R2757" s="2" t="inlineStr"/>
    </row>
    <row r="2758" ht="15" customHeight="1">
      <c r="A2758" t="inlineStr">
        <is>
          <t>A 7007-2024</t>
        </is>
      </c>
      <c r="B2758" s="1" t="n">
        <v>45343</v>
      </c>
      <c r="C2758" s="1" t="n">
        <v>45971</v>
      </c>
      <c r="D2758" t="inlineStr">
        <is>
          <t>VÄSTERBOTTENS LÄN</t>
        </is>
      </c>
      <c r="E2758" t="inlineStr">
        <is>
          <t>NORDMALING</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25945-2022</t>
        </is>
      </c>
      <c r="B2759" s="1" t="n">
        <v>44734</v>
      </c>
      <c r="C2759" s="1" t="n">
        <v>45971</v>
      </c>
      <c r="D2759" t="inlineStr">
        <is>
          <t>VÄSTERBOTTENS LÄN</t>
        </is>
      </c>
      <c r="E2759" t="inlineStr">
        <is>
          <t>SORSELE</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28666-2021</t>
        </is>
      </c>
      <c r="B2760" s="1" t="n">
        <v>44357</v>
      </c>
      <c r="C2760" s="1" t="n">
        <v>45971</v>
      </c>
      <c r="D2760" t="inlineStr">
        <is>
          <t>VÄSTERBOTTENS LÄN</t>
        </is>
      </c>
      <c r="E2760" t="inlineStr">
        <is>
          <t>SKELLEFTEÅ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22618-2022</t>
        </is>
      </c>
      <c r="B2761" s="1" t="n">
        <v>44714</v>
      </c>
      <c r="C2761" s="1" t="n">
        <v>45971</v>
      </c>
      <c r="D2761" t="inlineStr">
        <is>
          <t>VÄSTERBOTTENS LÄN</t>
        </is>
      </c>
      <c r="E2761" t="inlineStr">
        <is>
          <t>SKELLEFTEÅ</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12837-2023</t>
        </is>
      </c>
      <c r="B2762" s="1" t="n">
        <v>45001</v>
      </c>
      <c r="C2762" s="1" t="n">
        <v>45971</v>
      </c>
      <c r="D2762" t="inlineStr">
        <is>
          <t>VÄSTERBOTTENS LÄN</t>
        </is>
      </c>
      <c r="E2762" t="inlineStr">
        <is>
          <t>VINDELN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23435-2024</t>
        </is>
      </c>
      <c r="B2763" s="1" t="n">
        <v>45453</v>
      </c>
      <c r="C2763" s="1" t="n">
        <v>45971</v>
      </c>
      <c r="D2763" t="inlineStr">
        <is>
          <t>VÄSTERBOTTENS LÄN</t>
        </is>
      </c>
      <c r="E2763" t="inlineStr">
        <is>
          <t>VINDELN</t>
        </is>
      </c>
      <c r="F2763" t="inlineStr">
        <is>
          <t>Sveaskog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23438-2024</t>
        </is>
      </c>
      <c r="B2764" s="1" t="n">
        <v>45453.63103009259</v>
      </c>
      <c r="C2764" s="1" t="n">
        <v>45971</v>
      </c>
      <c r="D2764" t="inlineStr">
        <is>
          <t>VÄSTERBOTTENS LÄN</t>
        </is>
      </c>
      <c r="E2764" t="inlineStr">
        <is>
          <t>VINDELN</t>
        </is>
      </c>
      <c r="F2764" t="inlineStr">
        <is>
          <t>Sveaskog</t>
        </is>
      </c>
      <c r="G2764" t="n">
        <v>36.8</v>
      </c>
      <c r="H2764" t="n">
        <v>0</v>
      </c>
      <c r="I2764" t="n">
        <v>0</v>
      </c>
      <c r="J2764" t="n">
        <v>0</v>
      </c>
      <c r="K2764" t="n">
        <v>0</v>
      </c>
      <c r="L2764" t="n">
        <v>0</v>
      </c>
      <c r="M2764" t="n">
        <v>0</v>
      </c>
      <c r="N2764" t="n">
        <v>0</v>
      </c>
      <c r="O2764" t="n">
        <v>0</v>
      </c>
      <c r="P2764" t="n">
        <v>0</v>
      </c>
      <c r="Q2764" t="n">
        <v>0</v>
      </c>
      <c r="R2764" s="2" t="inlineStr"/>
    </row>
    <row r="2765" ht="15" customHeight="1">
      <c r="A2765" t="inlineStr">
        <is>
          <t>A 31184-2023</t>
        </is>
      </c>
      <c r="B2765" s="1" t="n">
        <v>45113</v>
      </c>
      <c r="C2765" s="1" t="n">
        <v>45971</v>
      </c>
      <c r="D2765" t="inlineStr">
        <is>
          <t>VÄSTERBOTTENS LÄN</t>
        </is>
      </c>
      <c r="E2765" t="inlineStr">
        <is>
          <t>ÅSELE</t>
        </is>
      </c>
      <c r="F2765" t="inlineStr">
        <is>
          <t>SCA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56501-2024</t>
        </is>
      </c>
      <c r="B2766" s="1" t="n">
        <v>45625.49784722222</v>
      </c>
      <c r="C2766" s="1" t="n">
        <v>45971</v>
      </c>
      <c r="D2766" t="inlineStr">
        <is>
          <t>VÄSTERBOTTENS LÄN</t>
        </is>
      </c>
      <c r="E2766" t="inlineStr">
        <is>
          <t>SKELLEFTEÅ</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23445-2024</t>
        </is>
      </c>
      <c r="B2767" s="1" t="n">
        <v>45453</v>
      </c>
      <c r="C2767" s="1" t="n">
        <v>45971</v>
      </c>
      <c r="D2767" t="inlineStr">
        <is>
          <t>VÄSTERBOTTENS LÄN</t>
        </is>
      </c>
      <c r="E2767" t="inlineStr">
        <is>
          <t>SKELLEFTEÅ</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13011-2025</t>
        </is>
      </c>
      <c r="B2768" s="1" t="n">
        <v>45734.53167824074</v>
      </c>
      <c r="C2768" s="1" t="n">
        <v>45971</v>
      </c>
      <c r="D2768" t="inlineStr">
        <is>
          <t>VÄSTERBOTTENS LÄN</t>
        </is>
      </c>
      <c r="E2768" t="inlineStr">
        <is>
          <t>ÅSELE</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917-2025</t>
        </is>
      </c>
      <c r="B2769" s="1" t="n">
        <v>45665.77418981482</v>
      </c>
      <c r="C2769" s="1" t="n">
        <v>45971</v>
      </c>
      <c r="D2769" t="inlineStr">
        <is>
          <t>VÄSTERBOTTENS LÄN</t>
        </is>
      </c>
      <c r="E2769" t="inlineStr">
        <is>
          <t>ÅSELE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21495-2024</t>
        </is>
      </c>
      <c r="B2770" s="1" t="n">
        <v>45441</v>
      </c>
      <c r="C2770" s="1" t="n">
        <v>45971</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58132-2022</t>
        </is>
      </c>
      <c r="B2771" s="1" t="n">
        <v>44900.68913194445</v>
      </c>
      <c r="C2771" s="1" t="n">
        <v>45971</v>
      </c>
      <c r="D2771" t="inlineStr">
        <is>
          <t>VÄSTERBOTTENS LÄN</t>
        </is>
      </c>
      <c r="E2771" t="inlineStr">
        <is>
          <t>UMEÅ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19313-2024</t>
        </is>
      </c>
      <c r="B2772" s="1" t="n">
        <v>45428</v>
      </c>
      <c r="C2772" s="1" t="n">
        <v>45971</v>
      </c>
      <c r="D2772" t="inlineStr">
        <is>
          <t>VÄSTERBOTTENS LÄN</t>
        </is>
      </c>
      <c r="E2772" t="inlineStr">
        <is>
          <t>NORSJÖ</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14756-2022</t>
        </is>
      </c>
      <c r="B2773" s="1" t="n">
        <v>44656</v>
      </c>
      <c r="C2773" s="1" t="n">
        <v>45971</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19330-2024</t>
        </is>
      </c>
      <c r="B2774" s="1" t="n">
        <v>45428</v>
      </c>
      <c r="C2774" s="1" t="n">
        <v>45971</v>
      </c>
      <c r="D2774" t="inlineStr">
        <is>
          <t>VÄSTERBOTTENS LÄN</t>
        </is>
      </c>
      <c r="E2774" t="inlineStr">
        <is>
          <t>ÅSELE</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29847-2023</t>
        </is>
      </c>
      <c r="B2775" s="1" t="n">
        <v>45107</v>
      </c>
      <c r="C2775" s="1" t="n">
        <v>45971</v>
      </c>
      <c r="D2775" t="inlineStr">
        <is>
          <t>VÄSTERBOTTENS LÄN</t>
        </is>
      </c>
      <c r="E2775" t="inlineStr">
        <is>
          <t>SORSELE</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13035-2024</t>
        </is>
      </c>
      <c r="B2776" s="1" t="n">
        <v>45385</v>
      </c>
      <c r="C2776" s="1" t="n">
        <v>45971</v>
      </c>
      <c r="D2776" t="inlineStr">
        <is>
          <t>VÄSTERBOTTENS LÄN</t>
        </is>
      </c>
      <c r="E2776" t="inlineStr">
        <is>
          <t>DOROTEA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46071-2022</t>
        </is>
      </c>
      <c r="B2777" s="1" t="n">
        <v>44847</v>
      </c>
      <c r="C2777" s="1" t="n">
        <v>45971</v>
      </c>
      <c r="D2777" t="inlineStr">
        <is>
          <t>VÄSTERBOTTENS LÄN</t>
        </is>
      </c>
      <c r="E2777" t="inlineStr">
        <is>
          <t>VILHELMINA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21213-2023</t>
        </is>
      </c>
      <c r="B2778" s="1" t="n">
        <v>45058</v>
      </c>
      <c r="C2778" s="1" t="n">
        <v>45971</v>
      </c>
      <c r="D2778" t="inlineStr">
        <is>
          <t>VÄSTERBOTTENS LÄN</t>
        </is>
      </c>
      <c r="E2778" t="inlineStr">
        <is>
          <t>LYCKSELE</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38781-2021</t>
        </is>
      </c>
      <c r="B2779" s="1" t="n">
        <v>44410</v>
      </c>
      <c r="C2779" s="1" t="n">
        <v>45971</v>
      </c>
      <c r="D2779" t="inlineStr">
        <is>
          <t>VÄSTERBOTTENS LÄN</t>
        </is>
      </c>
      <c r="E2779" t="inlineStr">
        <is>
          <t>DOROTEA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25017-2024</t>
        </is>
      </c>
      <c r="B2780" s="1" t="n">
        <v>45461</v>
      </c>
      <c r="C2780" s="1" t="n">
        <v>45971</v>
      </c>
      <c r="D2780" t="inlineStr">
        <is>
          <t>VÄSTERBOTTENS LÄN</t>
        </is>
      </c>
      <c r="E2780" t="inlineStr">
        <is>
          <t>NORSJÖ</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62870-2023</t>
        </is>
      </c>
      <c r="B2781" s="1" t="n">
        <v>45271</v>
      </c>
      <c r="C2781" s="1" t="n">
        <v>45971</v>
      </c>
      <c r="D2781" t="inlineStr">
        <is>
          <t>VÄSTERBOTTENS LÄN</t>
        </is>
      </c>
      <c r="E2781" t="inlineStr">
        <is>
          <t>LYCKSELE</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19931-2024</t>
        </is>
      </c>
      <c r="B2782" s="1" t="n">
        <v>45433.59936342593</v>
      </c>
      <c r="C2782" s="1" t="n">
        <v>45971</v>
      </c>
      <c r="D2782" t="inlineStr">
        <is>
          <t>VÄSTERBOTTENS LÄN</t>
        </is>
      </c>
      <c r="E2782" t="inlineStr">
        <is>
          <t>VINDELN</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16136-2022</t>
        </is>
      </c>
      <c r="B2783" s="1" t="n">
        <v>44665</v>
      </c>
      <c r="C2783" s="1" t="n">
        <v>45971</v>
      </c>
      <c r="D2783" t="inlineStr">
        <is>
          <t>VÄSTERBOTTENS LÄN</t>
        </is>
      </c>
      <c r="E2783" t="inlineStr">
        <is>
          <t>STORUMAN</t>
        </is>
      </c>
      <c r="F2783" t="inlineStr">
        <is>
          <t>Övriga statliga verk och myndigheter</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45357.39643518518</v>
      </c>
      <c r="C2784" s="1" t="n">
        <v>45971</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14538-2023</t>
        </is>
      </c>
      <c r="B2785" s="1" t="n">
        <v>45013</v>
      </c>
      <c r="C2785" s="1" t="n">
        <v>45971</v>
      </c>
      <c r="D2785" t="inlineStr">
        <is>
          <t>VÄSTERBOTTENS LÄN</t>
        </is>
      </c>
      <c r="E2785" t="inlineStr">
        <is>
          <t>ROBERTSFORS</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2187-2021</t>
        </is>
      </c>
      <c r="B2786" s="1" t="n">
        <v>44211</v>
      </c>
      <c r="C2786" s="1" t="n">
        <v>45971</v>
      </c>
      <c r="D2786" t="inlineStr">
        <is>
          <t>VÄSTERBOTTENS LÄN</t>
        </is>
      </c>
      <c r="E2786" t="inlineStr">
        <is>
          <t>VILHELMINA</t>
        </is>
      </c>
      <c r="F2786" t="inlineStr">
        <is>
          <t>Allmännings- och besparingsskogar</t>
        </is>
      </c>
      <c r="G2786" t="n">
        <v>21.3</v>
      </c>
      <c r="H2786" t="n">
        <v>0</v>
      </c>
      <c r="I2786" t="n">
        <v>0</v>
      </c>
      <c r="J2786" t="n">
        <v>0</v>
      </c>
      <c r="K2786" t="n">
        <v>0</v>
      </c>
      <c r="L2786" t="n">
        <v>0</v>
      </c>
      <c r="M2786" t="n">
        <v>0</v>
      </c>
      <c r="N2786" t="n">
        <v>0</v>
      </c>
      <c r="O2786" t="n">
        <v>0</v>
      </c>
      <c r="P2786" t="n">
        <v>0</v>
      </c>
      <c r="Q2786" t="n">
        <v>0</v>
      </c>
      <c r="R2786" s="2" t="inlineStr"/>
    </row>
    <row r="2787" ht="15" customHeight="1">
      <c r="A2787" t="inlineStr">
        <is>
          <t>A 57076-2022</t>
        </is>
      </c>
      <c r="B2787" s="1" t="n">
        <v>44889</v>
      </c>
      <c r="C2787" s="1" t="n">
        <v>45971</v>
      </c>
      <c r="D2787" t="inlineStr">
        <is>
          <t>VÄSTERBOTTENS LÄN</t>
        </is>
      </c>
      <c r="E2787" t="inlineStr">
        <is>
          <t>VINDELN</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4164-2021</t>
        </is>
      </c>
      <c r="B2788" s="1" t="n">
        <v>44223</v>
      </c>
      <c r="C2788" s="1" t="n">
        <v>45971</v>
      </c>
      <c r="D2788" t="inlineStr">
        <is>
          <t>VÄSTERBOTTENS LÄN</t>
        </is>
      </c>
      <c r="E2788" t="inlineStr">
        <is>
          <t>DOROTEA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14888-2024</t>
        </is>
      </c>
      <c r="B2789" s="1" t="n">
        <v>45398</v>
      </c>
      <c r="C2789" s="1" t="n">
        <v>45971</v>
      </c>
      <c r="D2789" t="inlineStr">
        <is>
          <t>VÄSTERBOTTENS LÄN</t>
        </is>
      </c>
      <c r="E2789" t="inlineStr">
        <is>
          <t>BJURHOLM</t>
        </is>
      </c>
      <c r="F2789" t="inlineStr">
        <is>
          <t>Holmen skog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53725-2024</t>
        </is>
      </c>
      <c r="B2790" s="1" t="n">
        <v>45615.45043981481</v>
      </c>
      <c r="C2790" s="1" t="n">
        <v>45971</v>
      </c>
      <c r="D2790" t="inlineStr">
        <is>
          <t>VÄSTERBOTTENS LÄN</t>
        </is>
      </c>
      <c r="E2790" t="inlineStr">
        <is>
          <t>SKELLEFTEÅ</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32785-2024</t>
        </is>
      </c>
      <c r="B2791" s="1" t="n">
        <v>45516.53230324074</v>
      </c>
      <c r="C2791" s="1" t="n">
        <v>45971</v>
      </c>
      <c r="D2791" t="inlineStr">
        <is>
          <t>VÄSTERBOTTENS LÄN</t>
        </is>
      </c>
      <c r="E2791" t="inlineStr">
        <is>
          <t>VÄNNÄS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32791-2024</t>
        </is>
      </c>
      <c r="B2792" s="1" t="n">
        <v>45516.54195601852</v>
      </c>
      <c r="C2792" s="1" t="n">
        <v>45971</v>
      </c>
      <c r="D2792" t="inlineStr">
        <is>
          <t>VÄSTERBOTTENS LÄN</t>
        </is>
      </c>
      <c r="E2792" t="inlineStr">
        <is>
          <t>UMEÅ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11076-2024</t>
        </is>
      </c>
      <c r="B2793" s="1" t="n">
        <v>45370</v>
      </c>
      <c r="C2793" s="1" t="n">
        <v>45971</v>
      </c>
      <c r="D2793" t="inlineStr">
        <is>
          <t>VÄSTERBOTTENS LÄN</t>
        </is>
      </c>
      <c r="E2793" t="inlineStr">
        <is>
          <t>SKELLEFTEÅ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12759-2024</t>
        </is>
      </c>
      <c r="B2794" s="1" t="n">
        <v>45384</v>
      </c>
      <c r="C2794" s="1" t="n">
        <v>45971</v>
      </c>
      <c r="D2794" t="inlineStr">
        <is>
          <t>VÄSTERBOTTENS LÄN</t>
        </is>
      </c>
      <c r="E2794" t="inlineStr">
        <is>
          <t>SKELLEFTEÅ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58240-2023</t>
        </is>
      </c>
      <c r="B2795" s="1" t="n">
        <v>45250.47113425926</v>
      </c>
      <c r="C2795" s="1" t="n">
        <v>45971</v>
      </c>
      <c r="D2795" t="inlineStr">
        <is>
          <t>VÄSTERBOTTENS LÄN</t>
        </is>
      </c>
      <c r="E2795" t="inlineStr">
        <is>
          <t>ROBERTSFORS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15564-2023</t>
        </is>
      </c>
      <c r="B2796" s="1" t="n">
        <v>45020</v>
      </c>
      <c r="C2796" s="1" t="n">
        <v>45971</v>
      </c>
      <c r="D2796" t="inlineStr">
        <is>
          <t>VÄSTERBOTTENS LÄN</t>
        </is>
      </c>
      <c r="E2796" t="inlineStr">
        <is>
          <t>LYCKSELE</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12825-2023</t>
        </is>
      </c>
      <c r="B2797" s="1" t="n">
        <v>45000</v>
      </c>
      <c r="C2797" s="1" t="n">
        <v>45971</v>
      </c>
      <c r="D2797" t="inlineStr">
        <is>
          <t>VÄSTERBOTTENS LÄN</t>
        </is>
      </c>
      <c r="E2797" t="inlineStr">
        <is>
          <t>VILHELMINA</t>
        </is>
      </c>
      <c r="G2797" t="n">
        <v>22.4</v>
      </c>
      <c r="H2797" t="n">
        <v>0</v>
      </c>
      <c r="I2797" t="n">
        <v>0</v>
      </c>
      <c r="J2797" t="n">
        <v>0</v>
      </c>
      <c r="K2797" t="n">
        <v>0</v>
      </c>
      <c r="L2797" t="n">
        <v>0</v>
      </c>
      <c r="M2797" t="n">
        <v>0</v>
      </c>
      <c r="N2797" t="n">
        <v>0</v>
      </c>
      <c r="O2797" t="n">
        <v>0</v>
      </c>
      <c r="P2797" t="n">
        <v>0</v>
      </c>
      <c r="Q2797" t="n">
        <v>0</v>
      </c>
      <c r="R2797" s="2" t="inlineStr"/>
    </row>
    <row r="2798" ht="15" customHeight="1">
      <c r="A2798" t="inlineStr">
        <is>
          <t>A 60128-2024</t>
        </is>
      </c>
      <c r="B2798" s="1" t="n">
        <v>45639</v>
      </c>
      <c r="C2798" s="1" t="n">
        <v>45971</v>
      </c>
      <c r="D2798" t="inlineStr">
        <is>
          <t>VÄSTERBOTTENS LÄN</t>
        </is>
      </c>
      <c r="E2798" t="inlineStr">
        <is>
          <t>VINDELN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46822-2025</t>
        </is>
      </c>
      <c r="B2799" s="1" t="n">
        <v>45926.76329861111</v>
      </c>
      <c r="C2799" s="1" t="n">
        <v>45971</v>
      </c>
      <c r="D2799" t="inlineStr">
        <is>
          <t>VÄSTERBOTTENS LÄN</t>
        </is>
      </c>
      <c r="E2799" t="inlineStr">
        <is>
          <t>SKELLEFTEÅ</t>
        </is>
      </c>
      <c r="F2799" t="inlineStr">
        <is>
          <t>Sveaskog</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1438-2025</t>
        </is>
      </c>
      <c r="B2800" s="1" t="n">
        <v>45669.68052083333</v>
      </c>
      <c r="C2800" s="1" t="n">
        <v>45971</v>
      </c>
      <c r="D2800" t="inlineStr">
        <is>
          <t>VÄSTERBOTTENS LÄN</t>
        </is>
      </c>
      <c r="E2800" t="inlineStr">
        <is>
          <t>VÄNNÄS</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43855-2024</t>
        </is>
      </c>
      <c r="B2801" s="1" t="n">
        <v>45572.35674768518</v>
      </c>
      <c r="C2801" s="1" t="n">
        <v>45971</v>
      </c>
      <c r="D2801" t="inlineStr">
        <is>
          <t>VÄSTERBOTTENS LÄN</t>
        </is>
      </c>
      <c r="E2801" t="inlineStr">
        <is>
          <t>STORUMAN</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28825-2023</t>
        </is>
      </c>
      <c r="B2802" s="1" t="n">
        <v>45104.39052083333</v>
      </c>
      <c r="C2802" s="1" t="n">
        <v>45971</v>
      </c>
      <c r="D2802" t="inlineStr">
        <is>
          <t>VÄSTERBOTTENS LÄN</t>
        </is>
      </c>
      <c r="E2802" t="inlineStr">
        <is>
          <t>VINDELN</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19061-2024</t>
        </is>
      </c>
      <c r="B2803" s="1" t="n">
        <v>45427.93501157407</v>
      </c>
      <c r="C2803" s="1" t="n">
        <v>45971</v>
      </c>
      <c r="D2803" t="inlineStr">
        <is>
          <t>VÄSTERBOTTENS LÄN</t>
        </is>
      </c>
      <c r="E2803" t="inlineStr">
        <is>
          <t>UMEÅ</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46413-2022</t>
        </is>
      </c>
      <c r="B2804" s="1" t="n">
        <v>44846</v>
      </c>
      <c r="C2804" s="1" t="n">
        <v>45971</v>
      </c>
      <c r="D2804" t="inlineStr">
        <is>
          <t>VÄSTERBOTTENS LÄN</t>
        </is>
      </c>
      <c r="E2804" t="inlineStr">
        <is>
          <t>UMEÅ</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46066-2021</t>
        </is>
      </c>
      <c r="B2805" s="1" t="n">
        <v>44441</v>
      </c>
      <c r="C2805" s="1" t="n">
        <v>45971</v>
      </c>
      <c r="D2805" t="inlineStr">
        <is>
          <t>VÄSTERBOTTENS LÄN</t>
        </is>
      </c>
      <c r="E2805" t="inlineStr">
        <is>
          <t>MALÅ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17438-2021</t>
        </is>
      </c>
      <c r="B2806" s="1" t="n">
        <v>44299</v>
      </c>
      <c r="C2806" s="1" t="n">
        <v>45971</v>
      </c>
      <c r="D2806" t="inlineStr">
        <is>
          <t>VÄSTERBOTTENS LÄN</t>
        </is>
      </c>
      <c r="E2806" t="inlineStr">
        <is>
          <t>UMEÅ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17441-2021</t>
        </is>
      </c>
      <c r="B2807" s="1" t="n">
        <v>44298</v>
      </c>
      <c r="C2807" s="1" t="n">
        <v>45971</v>
      </c>
      <c r="D2807" t="inlineStr">
        <is>
          <t>VÄSTERBOTTENS LÄN</t>
        </is>
      </c>
      <c r="E2807" t="inlineStr">
        <is>
          <t>SORSELE</t>
        </is>
      </c>
      <c r="G2807" t="n">
        <v>109.9</v>
      </c>
      <c r="H2807" t="n">
        <v>0</v>
      </c>
      <c r="I2807" t="n">
        <v>0</v>
      </c>
      <c r="J2807" t="n">
        <v>0</v>
      </c>
      <c r="K2807" t="n">
        <v>0</v>
      </c>
      <c r="L2807" t="n">
        <v>0</v>
      </c>
      <c r="M2807" t="n">
        <v>0</v>
      </c>
      <c r="N2807" t="n">
        <v>0</v>
      </c>
      <c r="O2807" t="n">
        <v>0</v>
      </c>
      <c r="P2807" t="n">
        <v>0</v>
      </c>
      <c r="Q2807" t="n">
        <v>0</v>
      </c>
      <c r="R2807" s="2" t="inlineStr"/>
    </row>
    <row r="2808" ht="15" customHeight="1">
      <c r="A2808" t="inlineStr">
        <is>
          <t>A 25902-2022</t>
        </is>
      </c>
      <c r="B2808" s="1" t="n">
        <v>44733</v>
      </c>
      <c r="C2808" s="1" t="n">
        <v>45971</v>
      </c>
      <c r="D2808" t="inlineStr">
        <is>
          <t>VÄSTERBOTTENS LÄN</t>
        </is>
      </c>
      <c r="E2808" t="inlineStr">
        <is>
          <t>LYCKSELE</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25904-2022</t>
        </is>
      </c>
      <c r="B2809" s="1" t="n">
        <v>44733.92600694444</v>
      </c>
      <c r="C2809" s="1" t="n">
        <v>45971</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44677-2023</t>
        </is>
      </c>
      <c r="B2810" s="1" t="n">
        <v>45189</v>
      </c>
      <c r="C2810" s="1" t="n">
        <v>45971</v>
      </c>
      <c r="D2810" t="inlineStr">
        <is>
          <t>VÄSTERBOTTENS LÄN</t>
        </is>
      </c>
      <c r="E2810" t="inlineStr">
        <is>
          <t>ÅSELE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58807-2024</t>
        </is>
      </c>
      <c r="B2811" s="1" t="n">
        <v>45636</v>
      </c>
      <c r="C2811" s="1" t="n">
        <v>45971</v>
      </c>
      <c r="D2811" t="inlineStr">
        <is>
          <t>VÄSTERBOTTENS LÄN</t>
        </is>
      </c>
      <c r="E2811" t="inlineStr">
        <is>
          <t>ÅSELE</t>
        </is>
      </c>
      <c r="F2811" t="inlineStr">
        <is>
          <t>SCA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7475-2021</t>
        </is>
      </c>
      <c r="B2812" s="1" t="n">
        <v>44239</v>
      </c>
      <c r="C2812" s="1" t="n">
        <v>45971</v>
      </c>
      <c r="D2812" t="inlineStr">
        <is>
          <t>VÄSTERBOTTENS LÄN</t>
        </is>
      </c>
      <c r="E2812" t="inlineStr">
        <is>
          <t>ROBERTSFORS</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40373-2023</t>
        </is>
      </c>
      <c r="B2813" s="1" t="n">
        <v>45169</v>
      </c>
      <c r="C2813" s="1" t="n">
        <v>45971</v>
      </c>
      <c r="D2813" t="inlineStr">
        <is>
          <t>VÄSTERBOTTENS LÄN</t>
        </is>
      </c>
      <c r="E2813" t="inlineStr">
        <is>
          <t>SKELLEFTEÅ</t>
        </is>
      </c>
      <c r="F2813" t="inlineStr">
        <is>
          <t>Sveaskog</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58440-2022</t>
        </is>
      </c>
      <c r="B2814" s="1" t="n">
        <v>44901</v>
      </c>
      <c r="C2814" s="1" t="n">
        <v>45971</v>
      </c>
      <c r="D2814" t="inlineStr">
        <is>
          <t>VÄSTERBOTTENS LÄN</t>
        </is>
      </c>
      <c r="E2814" t="inlineStr">
        <is>
          <t>LYCKSELE</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32672-2022</t>
        </is>
      </c>
      <c r="B2815" s="1" t="n">
        <v>44783.54429398148</v>
      </c>
      <c r="C2815" s="1" t="n">
        <v>45971</v>
      </c>
      <c r="D2815" t="inlineStr">
        <is>
          <t>VÄSTERBOTTENS LÄN</t>
        </is>
      </c>
      <c r="E2815" t="inlineStr">
        <is>
          <t>VINDELN</t>
        </is>
      </c>
      <c r="F2815" t="inlineStr">
        <is>
          <t>Holmen skog AB</t>
        </is>
      </c>
      <c r="G2815" t="n">
        <v>17.6</v>
      </c>
      <c r="H2815" t="n">
        <v>0</v>
      </c>
      <c r="I2815" t="n">
        <v>0</v>
      </c>
      <c r="J2815" t="n">
        <v>0</v>
      </c>
      <c r="K2815" t="n">
        <v>0</v>
      </c>
      <c r="L2815" t="n">
        <v>0</v>
      </c>
      <c r="M2815" t="n">
        <v>0</v>
      </c>
      <c r="N2815" t="n">
        <v>0</v>
      </c>
      <c r="O2815" t="n">
        <v>0</v>
      </c>
      <c r="P2815" t="n">
        <v>0</v>
      </c>
      <c r="Q2815" t="n">
        <v>0</v>
      </c>
      <c r="R2815" s="2" t="inlineStr"/>
    </row>
    <row r="2816" ht="15" customHeight="1">
      <c r="A2816" t="inlineStr">
        <is>
          <t>A 22279-2021</t>
        </is>
      </c>
      <c r="B2816" s="1" t="n">
        <v>44326</v>
      </c>
      <c r="C2816" s="1" t="n">
        <v>45971</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20498-2021</t>
        </is>
      </c>
      <c r="B2817" s="1" t="n">
        <v>44313</v>
      </c>
      <c r="C2817" s="1" t="n">
        <v>45971</v>
      </c>
      <c r="D2817" t="inlineStr">
        <is>
          <t>VÄSTERBOTTENS LÄN</t>
        </is>
      </c>
      <c r="E2817" t="inlineStr">
        <is>
          <t>UMEÅ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58534-2024</t>
        </is>
      </c>
      <c r="B2818" s="1" t="n">
        <v>45635.44981481481</v>
      </c>
      <c r="C2818" s="1" t="n">
        <v>45971</v>
      </c>
      <c r="D2818" t="inlineStr">
        <is>
          <t>VÄSTERBOTTENS LÄN</t>
        </is>
      </c>
      <c r="E2818" t="inlineStr">
        <is>
          <t>LYCKSELE</t>
        </is>
      </c>
      <c r="F2818" t="inlineStr">
        <is>
          <t>Holmen skog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26872-2022</t>
        </is>
      </c>
      <c r="B2819" s="1" t="n">
        <v>44740</v>
      </c>
      <c r="C2819" s="1" t="n">
        <v>45971</v>
      </c>
      <c r="D2819" t="inlineStr">
        <is>
          <t>VÄSTERBOTTENS LÄN</t>
        </is>
      </c>
      <c r="E2819" t="inlineStr">
        <is>
          <t>UMEÅ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27273-2021</t>
        </is>
      </c>
      <c r="B2820" s="1" t="n">
        <v>44350</v>
      </c>
      <c r="C2820" s="1" t="n">
        <v>45971</v>
      </c>
      <c r="D2820" t="inlineStr">
        <is>
          <t>VÄSTERBOTTENS LÄN</t>
        </is>
      </c>
      <c r="E2820" t="inlineStr">
        <is>
          <t>SORSELE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17996-2024</t>
        </is>
      </c>
      <c r="B2821" s="1" t="n">
        <v>45419</v>
      </c>
      <c r="C2821" s="1" t="n">
        <v>45971</v>
      </c>
      <c r="D2821" t="inlineStr">
        <is>
          <t>VÄSTERBOTTENS LÄN</t>
        </is>
      </c>
      <c r="E2821" t="inlineStr">
        <is>
          <t>VILHELMINA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41852-2023</t>
        </is>
      </c>
      <c r="B2822" s="1" t="n">
        <v>45174</v>
      </c>
      <c r="C2822" s="1" t="n">
        <v>45971</v>
      </c>
      <c r="D2822" t="inlineStr">
        <is>
          <t>VÄSTERBOTTENS LÄN</t>
        </is>
      </c>
      <c r="E2822" t="inlineStr">
        <is>
          <t>MALÅ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14414-2024</t>
        </is>
      </c>
      <c r="B2823" s="1" t="n">
        <v>45393</v>
      </c>
      <c r="C2823" s="1" t="n">
        <v>45971</v>
      </c>
      <c r="D2823" t="inlineStr">
        <is>
          <t>VÄSTERBOTTENS LÄN</t>
        </is>
      </c>
      <c r="E2823" t="inlineStr">
        <is>
          <t>BJURHOLM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51991-2024</t>
        </is>
      </c>
      <c r="B2824" s="1" t="n">
        <v>45607</v>
      </c>
      <c r="C2824" s="1" t="n">
        <v>45971</v>
      </c>
      <c r="D2824" t="inlineStr">
        <is>
          <t>VÄSTERBOTTENS LÄN</t>
        </is>
      </c>
      <c r="E2824" t="inlineStr">
        <is>
          <t>SKELLEFTEÅ</t>
        </is>
      </c>
      <c r="F2824" t="inlineStr">
        <is>
          <t>Kommuner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14438-2024</t>
        </is>
      </c>
      <c r="B2825" s="1" t="n">
        <v>45394</v>
      </c>
      <c r="C2825" s="1" t="n">
        <v>45971</v>
      </c>
      <c r="D2825" t="inlineStr">
        <is>
          <t>VÄSTERBOTTENS LÄN</t>
        </is>
      </c>
      <c r="E2825" t="inlineStr">
        <is>
          <t>BJURHOLM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14443-2024</t>
        </is>
      </c>
      <c r="B2826" s="1" t="n">
        <v>45394</v>
      </c>
      <c r="C2826" s="1" t="n">
        <v>45971</v>
      </c>
      <c r="D2826" t="inlineStr">
        <is>
          <t>VÄSTERBOTTENS LÄN</t>
        </is>
      </c>
      <c r="E2826" t="inlineStr">
        <is>
          <t>BJURHOLM</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31337-2022</t>
        </is>
      </c>
      <c r="B2827" s="1" t="n">
        <v>44774</v>
      </c>
      <c r="C2827" s="1" t="n">
        <v>45971</v>
      </c>
      <c r="D2827" t="inlineStr">
        <is>
          <t>VÄSTERBOTTENS LÄN</t>
        </is>
      </c>
      <c r="E2827" t="inlineStr">
        <is>
          <t>UMEÅ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48516-2023</t>
        </is>
      </c>
      <c r="B2828" s="1" t="n">
        <v>45208.32671296296</v>
      </c>
      <c r="C2828" s="1" t="n">
        <v>45971</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45370.92724537037</v>
      </c>
      <c r="C2829" s="1" t="n">
        <v>45971</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11079-2024</t>
        </is>
      </c>
      <c r="B2830" s="1" t="n">
        <v>45370.92737268518</v>
      </c>
      <c r="C2830" s="1" t="n">
        <v>45971</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19748-2021</t>
        </is>
      </c>
      <c r="B2831" s="1" t="n">
        <v>44312</v>
      </c>
      <c r="C2831" s="1" t="n">
        <v>45971</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28267-2021</t>
        </is>
      </c>
      <c r="B2832" s="1" t="n">
        <v>44355</v>
      </c>
      <c r="C2832" s="1" t="n">
        <v>45971</v>
      </c>
      <c r="D2832" t="inlineStr">
        <is>
          <t>VÄSTERBOTTENS LÄN</t>
        </is>
      </c>
      <c r="E2832" t="inlineStr">
        <is>
          <t>UMEÅ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60398-2020</t>
        </is>
      </c>
      <c r="B2833" s="1" t="n">
        <v>44152</v>
      </c>
      <c r="C2833" s="1" t="n">
        <v>45971</v>
      </c>
      <c r="D2833" t="inlineStr">
        <is>
          <t>VÄSTERBOTTENS LÄN</t>
        </is>
      </c>
      <c r="E2833" t="inlineStr">
        <is>
          <t>DOROTEA</t>
        </is>
      </c>
      <c r="F2833" t="inlineStr">
        <is>
          <t>SCA</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22755-2024</t>
        </is>
      </c>
      <c r="B2834" s="1" t="n">
        <v>45448.42561342593</v>
      </c>
      <c r="C2834" s="1" t="n">
        <v>45971</v>
      </c>
      <c r="D2834" t="inlineStr">
        <is>
          <t>VÄSTERBOTTENS LÄN</t>
        </is>
      </c>
      <c r="E2834" t="inlineStr">
        <is>
          <t>UMEÅ</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19498-2023</t>
        </is>
      </c>
      <c r="B2835" s="1" t="n">
        <v>45049</v>
      </c>
      <c r="C2835" s="1" t="n">
        <v>45971</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23180-2024</t>
        </is>
      </c>
      <c r="B2836" s="1" t="n">
        <v>45450.9444212963</v>
      </c>
      <c r="C2836" s="1" t="n">
        <v>45971</v>
      </c>
      <c r="D2836" t="inlineStr">
        <is>
          <t>VÄSTERBOTTENS LÄN</t>
        </is>
      </c>
      <c r="E2836" t="inlineStr">
        <is>
          <t>VILHELMINA</t>
        </is>
      </c>
      <c r="F2836" t="inlineStr">
        <is>
          <t>SCA</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26030-2021</t>
        </is>
      </c>
      <c r="B2837" s="1" t="n">
        <v>44344</v>
      </c>
      <c r="C2837" s="1" t="n">
        <v>45971</v>
      </c>
      <c r="D2837" t="inlineStr">
        <is>
          <t>VÄSTERBOTTENS LÄN</t>
        </is>
      </c>
      <c r="E2837" t="inlineStr">
        <is>
          <t>ÅSELE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12680-2022</t>
        </is>
      </c>
      <c r="B2838" s="1" t="n">
        <v>44641</v>
      </c>
      <c r="C2838" s="1" t="n">
        <v>45971</v>
      </c>
      <c r="D2838" t="inlineStr">
        <is>
          <t>VÄSTERBOTTENS LÄN</t>
        </is>
      </c>
      <c r="E2838" t="inlineStr">
        <is>
          <t>MALÅ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1013-2023</t>
        </is>
      </c>
      <c r="B2839" s="1" t="n">
        <v>44935.45384259259</v>
      </c>
      <c r="C2839" s="1" t="n">
        <v>45971</v>
      </c>
      <c r="D2839" t="inlineStr">
        <is>
          <t>VÄSTERBOTTENS LÄN</t>
        </is>
      </c>
      <c r="E2839" t="inlineStr">
        <is>
          <t>SORSELE</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23184-2024</t>
        </is>
      </c>
      <c r="B2840" s="1" t="n">
        <v>45450.94480324074</v>
      </c>
      <c r="C2840" s="1" t="n">
        <v>45971</v>
      </c>
      <c r="D2840" t="inlineStr">
        <is>
          <t>VÄSTERBOTTENS LÄN</t>
        </is>
      </c>
      <c r="E2840" t="inlineStr">
        <is>
          <t>BJURHOLM</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44214-2024</t>
        </is>
      </c>
      <c r="B2841" s="1" t="n">
        <v>45573.37309027778</v>
      </c>
      <c r="C2841" s="1" t="n">
        <v>45971</v>
      </c>
      <c r="D2841" t="inlineStr">
        <is>
          <t>VÄSTERBOTTENS LÄN</t>
        </is>
      </c>
      <c r="E2841" t="inlineStr">
        <is>
          <t>NORSJÖ</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53083-2022</t>
        </is>
      </c>
      <c r="B2842" s="1" t="n">
        <v>44876</v>
      </c>
      <c r="C2842" s="1" t="n">
        <v>45971</v>
      </c>
      <c r="D2842" t="inlineStr">
        <is>
          <t>VÄSTERBOTTENS LÄN</t>
        </is>
      </c>
      <c r="E2842" t="inlineStr">
        <is>
          <t>SKELLEFTEÅ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17957-2024</t>
        </is>
      </c>
      <c r="B2843" s="1" t="n">
        <v>45419</v>
      </c>
      <c r="C2843" s="1" t="n">
        <v>45971</v>
      </c>
      <c r="D2843" t="inlineStr">
        <is>
          <t>VÄSTERBOTTENS LÄN</t>
        </is>
      </c>
      <c r="E2843" t="inlineStr">
        <is>
          <t>STORUMAN</t>
        </is>
      </c>
      <c r="F2843" t="inlineStr">
        <is>
          <t>Allmännings- och besparingsskogar</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12657-2023</t>
        </is>
      </c>
      <c r="B2844" s="1" t="n">
        <v>44999</v>
      </c>
      <c r="C2844" s="1" t="n">
        <v>45971</v>
      </c>
      <c r="D2844" t="inlineStr">
        <is>
          <t>VÄSTERBOTTENS LÄN</t>
        </is>
      </c>
      <c r="E2844" t="inlineStr">
        <is>
          <t>NORSJÖ</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3791-2025</t>
        </is>
      </c>
      <c r="B2845" s="1" t="n">
        <v>45681</v>
      </c>
      <c r="C2845" s="1" t="n">
        <v>45971</v>
      </c>
      <c r="D2845" t="inlineStr">
        <is>
          <t>VÄSTERBOTTENS LÄN</t>
        </is>
      </c>
      <c r="E2845" t="inlineStr">
        <is>
          <t>LYCKSELE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56662-2024</t>
        </is>
      </c>
      <c r="B2846" s="1" t="n">
        <v>45625</v>
      </c>
      <c r="C2846" s="1" t="n">
        <v>45971</v>
      </c>
      <c r="D2846" t="inlineStr">
        <is>
          <t>VÄSTERBOTTENS LÄN</t>
        </is>
      </c>
      <c r="E2846" t="inlineStr">
        <is>
          <t>MALÅ</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24810-2024</t>
        </is>
      </c>
      <c r="B2847" s="1" t="n">
        <v>45460.95396990741</v>
      </c>
      <c r="C2847" s="1" t="n">
        <v>45971</v>
      </c>
      <c r="D2847" t="inlineStr">
        <is>
          <t>VÄSTERBOTTENS LÄN</t>
        </is>
      </c>
      <c r="E2847" t="inlineStr">
        <is>
          <t>LYCKSELE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46565-2024</t>
        </is>
      </c>
      <c r="B2848" s="1" t="n">
        <v>45582</v>
      </c>
      <c r="C2848" s="1" t="n">
        <v>45971</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56674-2021</t>
        </is>
      </c>
      <c r="B2849" s="1" t="n">
        <v>44480</v>
      </c>
      <c r="C2849" s="1" t="n">
        <v>45971</v>
      </c>
      <c r="D2849" t="inlineStr">
        <is>
          <t>VÄSTERBOTTENS LÄN</t>
        </is>
      </c>
      <c r="E2849" t="inlineStr">
        <is>
          <t>NORDMALING</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56676-2021</t>
        </is>
      </c>
      <c r="B2850" s="1" t="n">
        <v>44481.32383101852</v>
      </c>
      <c r="C2850" s="1" t="n">
        <v>45971</v>
      </c>
      <c r="D2850" t="inlineStr">
        <is>
          <t>VÄSTERBOTTENS LÄN</t>
        </is>
      </c>
      <c r="E2850" t="inlineStr">
        <is>
          <t>UMEÅ</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57609-2024</t>
        </is>
      </c>
      <c r="B2851" s="1" t="n">
        <v>45630</v>
      </c>
      <c r="C2851" s="1" t="n">
        <v>45971</v>
      </c>
      <c r="D2851" t="inlineStr">
        <is>
          <t>VÄSTERBOTTENS LÄN</t>
        </is>
      </c>
      <c r="E2851" t="inlineStr">
        <is>
          <t>BJURHOLM</t>
        </is>
      </c>
      <c r="F2851" t="inlineStr">
        <is>
          <t>Sveaskog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17683-2025</t>
        </is>
      </c>
      <c r="B2852" s="1" t="n">
        <v>45758.3859375</v>
      </c>
      <c r="C2852" s="1" t="n">
        <v>45971</v>
      </c>
      <c r="D2852" t="inlineStr">
        <is>
          <t>VÄSTERBOTTENS LÄN</t>
        </is>
      </c>
      <c r="E2852" t="inlineStr">
        <is>
          <t>ÅSELE</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2516-2021</t>
        </is>
      </c>
      <c r="B2853" s="1" t="n">
        <v>44214</v>
      </c>
      <c r="C2853" s="1" t="n">
        <v>45971</v>
      </c>
      <c r="D2853" t="inlineStr">
        <is>
          <t>VÄSTERBOTTENS LÄN</t>
        </is>
      </c>
      <c r="E2853" t="inlineStr">
        <is>
          <t>ROBERTSFORS</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9860-2022</t>
        </is>
      </c>
      <c r="B2854" s="1" t="n">
        <v>44620</v>
      </c>
      <c r="C2854" s="1" t="n">
        <v>45971</v>
      </c>
      <c r="D2854" t="inlineStr">
        <is>
          <t>VÄSTERBOTTENS LÄN</t>
        </is>
      </c>
      <c r="E2854" t="inlineStr">
        <is>
          <t>NORDMALING</t>
        </is>
      </c>
      <c r="G2854" t="n">
        <v>82.40000000000001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4102-2023</t>
        </is>
      </c>
      <c r="B2855" s="1" t="n">
        <v>44952</v>
      </c>
      <c r="C2855" s="1" t="n">
        <v>45971</v>
      </c>
      <c r="D2855" t="inlineStr">
        <is>
          <t>VÄSTERBOTTENS LÄN</t>
        </is>
      </c>
      <c r="E2855" t="inlineStr">
        <is>
          <t>SKELLEFTEÅ</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44289-2024</t>
        </is>
      </c>
      <c r="B2856" s="1" t="n">
        <v>45573.51078703703</v>
      </c>
      <c r="C2856" s="1" t="n">
        <v>45971</v>
      </c>
      <c r="D2856" t="inlineStr">
        <is>
          <t>VÄSTERBOTTENS LÄN</t>
        </is>
      </c>
      <c r="E2856" t="inlineStr">
        <is>
          <t>LYCKSELE</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9924-2022</t>
        </is>
      </c>
      <c r="B2857" s="1" t="n">
        <v>44620.92203703704</v>
      </c>
      <c r="C2857" s="1" t="n">
        <v>45971</v>
      </c>
      <c r="D2857" t="inlineStr">
        <is>
          <t>VÄSTERBOTTENS LÄN</t>
        </is>
      </c>
      <c r="E2857" t="inlineStr">
        <is>
          <t>UMEÅ</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39059-2023</t>
        </is>
      </c>
      <c r="B2858" s="1" t="n">
        <v>45163</v>
      </c>
      <c r="C2858" s="1" t="n">
        <v>45971</v>
      </c>
      <c r="D2858" t="inlineStr">
        <is>
          <t>VÄSTERBOTTENS LÄN</t>
        </is>
      </c>
      <c r="E2858" t="inlineStr">
        <is>
          <t>SORSELE</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50943-2024</t>
        </is>
      </c>
      <c r="B2859" s="1" t="n">
        <v>45602</v>
      </c>
      <c r="C2859" s="1" t="n">
        <v>45971</v>
      </c>
      <c r="D2859" t="inlineStr">
        <is>
          <t>VÄSTERBOTTENS LÄN</t>
        </is>
      </c>
      <c r="E2859" t="inlineStr">
        <is>
          <t>SORSELE</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43630-2023</t>
        </is>
      </c>
      <c r="B2860" s="1" t="n">
        <v>45184</v>
      </c>
      <c r="C2860" s="1" t="n">
        <v>45971</v>
      </c>
      <c r="D2860" t="inlineStr">
        <is>
          <t>VÄSTERBOTTENS LÄN</t>
        </is>
      </c>
      <c r="E2860" t="inlineStr">
        <is>
          <t>NORSJÖ</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43651-2023</t>
        </is>
      </c>
      <c r="B2861" s="1" t="n">
        <v>45187.32118055555</v>
      </c>
      <c r="C2861" s="1" t="n">
        <v>45971</v>
      </c>
      <c r="D2861" t="inlineStr">
        <is>
          <t>VÄSTERBOTTENS LÄN</t>
        </is>
      </c>
      <c r="E2861" t="inlineStr">
        <is>
          <t>NORDMALING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52460-2023</t>
        </is>
      </c>
      <c r="B2862" s="1" t="n">
        <v>45225.40269675926</v>
      </c>
      <c r="C2862" s="1" t="n">
        <v>45971</v>
      </c>
      <c r="D2862" t="inlineStr">
        <is>
          <t>VÄSTERBOTTENS LÄN</t>
        </is>
      </c>
      <c r="E2862" t="inlineStr">
        <is>
          <t>VINDELN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21935-2021</t>
        </is>
      </c>
      <c r="B2863" s="1" t="n">
        <v>44322.93407407407</v>
      </c>
      <c r="C2863" s="1" t="n">
        <v>45971</v>
      </c>
      <c r="D2863" t="inlineStr">
        <is>
          <t>VÄSTERBOTTENS LÄN</t>
        </is>
      </c>
      <c r="E2863" t="inlineStr">
        <is>
          <t>ÅSELE</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21955-2021</t>
        </is>
      </c>
      <c r="B2864" s="1" t="n">
        <v>44322</v>
      </c>
      <c r="C2864" s="1" t="n">
        <v>45971</v>
      </c>
      <c r="D2864" t="inlineStr">
        <is>
          <t>VÄSTERBOTTENS LÄN</t>
        </is>
      </c>
      <c r="E2864" t="inlineStr">
        <is>
          <t>STORUMAN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25367-2023</t>
        </is>
      </c>
      <c r="B2865" s="1" t="n">
        <v>45088.92412037037</v>
      </c>
      <c r="C2865" s="1" t="n">
        <v>45971</v>
      </c>
      <c r="D2865" t="inlineStr">
        <is>
          <t>VÄSTERBOTTENS LÄN</t>
        </is>
      </c>
      <c r="E2865" t="inlineStr">
        <is>
          <t>UMEÅ</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51993-2024</t>
        </is>
      </c>
      <c r="B2866" s="1" t="n">
        <v>45607</v>
      </c>
      <c r="C2866" s="1" t="n">
        <v>45971</v>
      </c>
      <c r="D2866" t="inlineStr">
        <is>
          <t>VÄSTERBOTTENS LÄN</t>
        </is>
      </c>
      <c r="E2866" t="inlineStr">
        <is>
          <t>SKELLEFTEÅ</t>
        </is>
      </c>
      <c r="F2866" t="inlineStr">
        <is>
          <t>Kommuner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14504-2024</t>
        </is>
      </c>
      <c r="B2867" s="1" t="n">
        <v>45394</v>
      </c>
      <c r="C2867" s="1" t="n">
        <v>45971</v>
      </c>
      <c r="D2867" t="inlineStr">
        <is>
          <t>VÄSTERBOTTENS LÄN</t>
        </is>
      </c>
      <c r="E2867" t="inlineStr">
        <is>
          <t>MALÅ</t>
        </is>
      </c>
      <c r="F2867" t="inlineStr">
        <is>
          <t>Sveaskog</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14512-2024</t>
        </is>
      </c>
      <c r="B2868" s="1" t="n">
        <v>45394</v>
      </c>
      <c r="C2868" s="1" t="n">
        <v>45971</v>
      </c>
      <c r="D2868" t="inlineStr">
        <is>
          <t>VÄSTERBOTTENS LÄN</t>
        </is>
      </c>
      <c r="E2868" t="inlineStr">
        <is>
          <t>MALÅ</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2286-2025</t>
        </is>
      </c>
      <c r="B2869" s="1" t="n">
        <v>45673</v>
      </c>
      <c r="C2869" s="1" t="n">
        <v>45971</v>
      </c>
      <c r="D2869" t="inlineStr">
        <is>
          <t>VÄSTERBOTTENS LÄN</t>
        </is>
      </c>
      <c r="E2869" t="inlineStr">
        <is>
          <t>VÄNNÄS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47399-2022</t>
        </is>
      </c>
      <c r="B2870" s="1" t="n">
        <v>44853</v>
      </c>
      <c r="C2870" s="1" t="n">
        <v>45971</v>
      </c>
      <c r="D2870" t="inlineStr">
        <is>
          <t>VÄSTERBOTTENS LÄN</t>
        </is>
      </c>
      <c r="E2870" t="inlineStr">
        <is>
          <t>NORSJÖ</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37498-2023</t>
        </is>
      </c>
      <c r="B2871" s="1" t="n">
        <v>45157</v>
      </c>
      <c r="C2871" s="1" t="n">
        <v>45971</v>
      </c>
      <c r="D2871" t="inlineStr">
        <is>
          <t>VÄSTERBOTTENS LÄN</t>
        </is>
      </c>
      <c r="E2871" t="inlineStr">
        <is>
          <t>NORSJÖ</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37505-2023</t>
        </is>
      </c>
      <c r="B2872" s="1" t="n">
        <v>45158.31186342592</v>
      </c>
      <c r="C2872" s="1" t="n">
        <v>45971</v>
      </c>
      <c r="D2872" t="inlineStr">
        <is>
          <t>VÄSTERBOTTENS LÄN</t>
        </is>
      </c>
      <c r="E2872" t="inlineStr">
        <is>
          <t>VILHELMINA</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29275-2022</t>
        </is>
      </c>
      <c r="B2873" s="1" t="n">
        <v>44750.674375</v>
      </c>
      <c r="C2873" s="1" t="n">
        <v>45971</v>
      </c>
      <c r="D2873" t="inlineStr">
        <is>
          <t>VÄSTERBOTTENS LÄN</t>
        </is>
      </c>
      <c r="E2873" t="inlineStr">
        <is>
          <t>NORSJÖ</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14519-2023</t>
        </is>
      </c>
      <c r="B2874" s="1" t="n">
        <v>45012.92611111111</v>
      </c>
      <c r="C2874" s="1" t="n">
        <v>45971</v>
      </c>
      <c r="D2874" t="inlineStr">
        <is>
          <t>VÄSTERBOTTENS LÄN</t>
        </is>
      </c>
      <c r="E2874" t="inlineStr">
        <is>
          <t>NORDMALING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24604-2024</t>
        </is>
      </c>
      <c r="B2875" s="1" t="n">
        <v>45460</v>
      </c>
      <c r="C2875" s="1" t="n">
        <v>45971</v>
      </c>
      <c r="D2875" t="inlineStr">
        <is>
          <t>VÄSTERBOTTENS LÄN</t>
        </is>
      </c>
      <c r="E2875" t="inlineStr">
        <is>
          <t>SKELLEFTEÅ</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15295-2022</t>
        </is>
      </c>
      <c r="B2876" s="1" t="n">
        <v>44659</v>
      </c>
      <c r="C2876" s="1" t="n">
        <v>45971</v>
      </c>
      <c r="D2876" t="inlineStr">
        <is>
          <t>VÄSTERBOTTENS LÄN</t>
        </is>
      </c>
      <c r="E2876" t="inlineStr">
        <is>
          <t>VINDELN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19349-2024</t>
        </is>
      </c>
      <c r="B2877" s="1" t="n">
        <v>45428.97231481481</v>
      </c>
      <c r="C2877" s="1" t="n">
        <v>45971</v>
      </c>
      <c r="D2877" t="inlineStr">
        <is>
          <t>VÄSTERBOTTENS LÄN</t>
        </is>
      </c>
      <c r="E2877" t="inlineStr">
        <is>
          <t>VILHELMINA</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55671-2023</t>
        </is>
      </c>
      <c r="B2878" s="1" t="n">
        <v>45238</v>
      </c>
      <c r="C2878" s="1" t="n">
        <v>45971</v>
      </c>
      <c r="D2878" t="inlineStr">
        <is>
          <t>VÄSTERBOTTENS LÄN</t>
        </is>
      </c>
      <c r="E2878" t="inlineStr">
        <is>
          <t>MALÅ</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645-2025</t>
        </is>
      </c>
      <c r="B2879" s="1" t="n">
        <v>45661</v>
      </c>
      <c r="C2879" s="1" t="n">
        <v>45971</v>
      </c>
      <c r="D2879" t="inlineStr">
        <is>
          <t>VÄSTERBOTTENS LÄN</t>
        </is>
      </c>
      <c r="E2879" t="inlineStr">
        <is>
          <t>ROBERTSFORS</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674-2025</t>
        </is>
      </c>
      <c r="B2880" s="1" t="n">
        <v>45664</v>
      </c>
      <c r="C2880" s="1" t="n">
        <v>45971</v>
      </c>
      <c r="D2880" t="inlineStr">
        <is>
          <t>VÄSTERBOTTENS LÄN</t>
        </is>
      </c>
      <c r="E2880" t="inlineStr">
        <is>
          <t>ROBERTSFORS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22632-2024</t>
        </is>
      </c>
      <c r="B2881" s="1" t="n">
        <v>45447.67429398148</v>
      </c>
      <c r="C2881" s="1" t="n">
        <v>45971</v>
      </c>
      <c r="D2881" t="inlineStr">
        <is>
          <t>VÄSTERBOTTENS LÄN</t>
        </is>
      </c>
      <c r="E2881" t="inlineStr">
        <is>
          <t>UMEÅ</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44132-2022</t>
        </is>
      </c>
      <c r="B2882" s="1" t="n">
        <v>44839.40086805556</v>
      </c>
      <c r="C2882" s="1" t="n">
        <v>45971</v>
      </c>
      <c r="D2882" t="inlineStr">
        <is>
          <t>VÄSTERBOTTENS LÄN</t>
        </is>
      </c>
      <c r="E2882" t="inlineStr">
        <is>
          <t>UMEÅ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6076-2024</t>
        </is>
      </c>
      <c r="B2883" s="1" t="n">
        <v>45336.93773148148</v>
      </c>
      <c r="C2883" s="1" t="n">
        <v>45971</v>
      </c>
      <c r="D2883" t="inlineStr">
        <is>
          <t>VÄSTERBOTTENS LÄN</t>
        </is>
      </c>
      <c r="E2883" t="inlineStr">
        <is>
          <t>NORSJÖ</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6079-2024</t>
        </is>
      </c>
      <c r="B2884" s="1" t="n">
        <v>45336.93798611111</v>
      </c>
      <c r="C2884" s="1" t="n">
        <v>45971</v>
      </c>
      <c r="D2884" t="inlineStr">
        <is>
          <t>VÄSTERBOTTENS LÄN</t>
        </is>
      </c>
      <c r="E2884" t="inlineStr">
        <is>
          <t>NORSJÖ</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16327-2024</t>
        </is>
      </c>
      <c r="B2885" s="1" t="n">
        <v>45407.51649305555</v>
      </c>
      <c r="C2885" s="1" t="n">
        <v>45971</v>
      </c>
      <c r="D2885" t="inlineStr">
        <is>
          <t>VÄSTERBOTTENS LÄN</t>
        </is>
      </c>
      <c r="E2885" t="inlineStr">
        <is>
          <t>BJURHOLM</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37428-2024</t>
        </is>
      </c>
      <c r="B2886" s="1" t="n">
        <v>45540.64853009259</v>
      </c>
      <c r="C2886" s="1" t="n">
        <v>45971</v>
      </c>
      <c r="D2886" t="inlineStr">
        <is>
          <t>VÄSTERBOTTENS LÄN</t>
        </is>
      </c>
      <c r="E2886" t="inlineStr">
        <is>
          <t>NORSJÖ</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20305-2025</t>
        </is>
      </c>
      <c r="B2887" s="1" t="n">
        <v>45774.81648148148</v>
      </c>
      <c r="C2887" s="1" t="n">
        <v>45971</v>
      </c>
      <c r="D2887" t="inlineStr">
        <is>
          <t>VÄSTERBOTTENS LÄN</t>
        </is>
      </c>
      <c r="E2887" t="inlineStr">
        <is>
          <t>ÅSELE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44651-2023</t>
        </is>
      </c>
      <c r="B2888" s="1" t="n">
        <v>45184</v>
      </c>
      <c r="C2888" s="1" t="n">
        <v>45971</v>
      </c>
      <c r="D2888" t="inlineStr">
        <is>
          <t>VÄSTERBOTTENS LÄN</t>
        </is>
      </c>
      <c r="E2888" t="inlineStr">
        <is>
          <t>ROBERTSFORS</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37255-2023</t>
        </is>
      </c>
      <c r="B2889" s="1" t="n">
        <v>45155</v>
      </c>
      <c r="C2889" s="1" t="n">
        <v>45971</v>
      </c>
      <c r="D2889" t="inlineStr">
        <is>
          <t>VÄSTERBOTTENS LÄN</t>
        </is>
      </c>
      <c r="E2889" t="inlineStr">
        <is>
          <t>VINDELN</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38539-2025</t>
        </is>
      </c>
      <c r="B2890" s="1" t="n">
        <v>45884.42550925926</v>
      </c>
      <c r="C2890" s="1" t="n">
        <v>45971</v>
      </c>
      <c r="D2890" t="inlineStr">
        <is>
          <t>VÄSTERBOTTENS LÄN</t>
        </is>
      </c>
      <c r="E2890" t="inlineStr">
        <is>
          <t>SKELLEFTEÅ</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21835-2023</t>
        </is>
      </c>
      <c r="B2891" s="1" t="n">
        <v>45068.3797337963</v>
      </c>
      <c r="C2891" s="1" t="n">
        <v>45971</v>
      </c>
      <c r="D2891" t="inlineStr">
        <is>
          <t>VÄSTERBOTTENS LÄN</t>
        </is>
      </c>
      <c r="E2891" t="inlineStr">
        <is>
          <t>VINDELN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27881-2022</t>
        </is>
      </c>
      <c r="B2892" s="1" t="n">
        <v>44743</v>
      </c>
      <c r="C2892" s="1" t="n">
        <v>45971</v>
      </c>
      <c r="D2892" t="inlineStr">
        <is>
          <t>VÄSTERBOTTENS LÄN</t>
        </is>
      </c>
      <c r="E2892" t="inlineStr">
        <is>
          <t>VILHELMINA</t>
        </is>
      </c>
      <c r="F2892" t="inlineStr">
        <is>
          <t>Sveaskog</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1256-2024</t>
        </is>
      </c>
      <c r="B2893" s="1" t="n">
        <v>45302</v>
      </c>
      <c r="C2893" s="1" t="n">
        <v>45971</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6436-2024</t>
        </is>
      </c>
      <c r="B2894" s="1" t="n">
        <v>45338</v>
      </c>
      <c r="C2894" s="1" t="n">
        <v>45971</v>
      </c>
      <c r="D2894" t="inlineStr">
        <is>
          <t>VÄSTERBOTTENS LÄN</t>
        </is>
      </c>
      <c r="E2894" t="inlineStr">
        <is>
          <t>VINDELN</t>
        </is>
      </c>
      <c r="G2894" t="n">
        <v>17.6</v>
      </c>
      <c r="H2894" t="n">
        <v>0</v>
      </c>
      <c r="I2894" t="n">
        <v>0</v>
      </c>
      <c r="J2894" t="n">
        <v>0</v>
      </c>
      <c r="K2894" t="n">
        <v>0</v>
      </c>
      <c r="L2894" t="n">
        <v>0</v>
      </c>
      <c r="M2894" t="n">
        <v>0</v>
      </c>
      <c r="N2894" t="n">
        <v>0</v>
      </c>
      <c r="O2894" t="n">
        <v>0</v>
      </c>
      <c r="P2894" t="n">
        <v>0</v>
      </c>
      <c r="Q2894" t="n">
        <v>0</v>
      </c>
      <c r="R2894" s="2" t="inlineStr"/>
    </row>
    <row r="2895" ht="15" customHeight="1">
      <c r="A2895" t="inlineStr">
        <is>
          <t>A 43092-2023</t>
        </is>
      </c>
      <c r="B2895" s="1" t="n">
        <v>45182.92409722223</v>
      </c>
      <c r="C2895" s="1" t="n">
        <v>45971</v>
      </c>
      <c r="D2895" t="inlineStr">
        <is>
          <t>VÄSTERBOTTENS LÄN</t>
        </is>
      </c>
      <c r="E2895" t="inlineStr">
        <is>
          <t>DOROTEA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15745-2025</t>
        </is>
      </c>
      <c r="B2896" s="1" t="n">
        <v>45748.5515162037</v>
      </c>
      <c r="C2896" s="1" t="n">
        <v>45971</v>
      </c>
      <c r="D2896" t="inlineStr">
        <is>
          <t>VÄSTERBOTTENS LÄN</t>
        </is>
      </c>
      <c r="E2896" t="inlineStr">
        <is>
          <t>SKELLEFTEÅ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58684-2024</t>
        </is>
      </c>
      <c r="B2897" s="1" t="n">
        <v>45635.61909722222</v>
      </c>
      <c r="C2897" s="1" t="n">
        <v>45971</v>
      </c>
      <c r="D2897" t="inlineStr">
        <is>
          <t>VÄSTERBOTTENS LÄN</t>
        </is>
      </c>
      <c r="E2897" t="inlineStr">
        <is>
          <t>LYCKSELE</t>
        </is>
      </c>
      <c r="F2897" t="inlineStr">
        <is>
          <t>Sveaskog</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58712-2024</t>
        </is>
      </c>
      <c r="B2898" s="1" t="n">
        <v>45635</v>
      </c>
      <c r="C2898" s="1" t="n">
        <v>45971</v>
      </c>
      <c r="D2898" t="inlineStr">
        <is>
          <t>VÄSTERBOTTENS LÄN</t>
        </is>
      </c>
      <c r="E2898" t="inlineStr">
        <is>
          <t>ROBERTSFORS</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22640-2024</t>
        </is>
      </c>
      <c r="B2899" s="1" t="n">
        <v>45447</v>
      </c>
      <c r="C2899" s="1" t="n">
        <v>45971</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59549-2023</t>
        </is>
      </c>
      <c r="B2900" s="1" t="n">
        <v>45253</v>
      </c>
      <c r="C2900" s="1" t="n">
        <v>45971</v>
      </c>
      <c r="D2900" t="inlineStr">
        <is>
          <t>VÄSTERBOTTENS LÄN</t>
        </is>
      </c>
      <c r="E2900" t="inlineStr">
        <is>
          <t>ROBERTSFORS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42228-2024</t>
        </is>
      </c>
      <c r="B2901" s="1" t="n">
        <v>45562.55240740741</v>
      </c>
      <c r="C2901" s="1" t="n">
        <v>45971</v>
      </c>
      <c r="D2901" t="inlineStr">
        <is>
          <t>VÄSTERBOTTENS LÄN</t>
        </is>
      </c>
      <c r="E2901" t="inlineStr">
        <is>
          <t>DOROTEA</t>
        </is>
      </c>
      <c r="F2901" t="inlineStr">
        <is>
          <t>SCA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19905-2024</t>
        </is>
      </c>
      <c r="B2902" s="1" t="n">
        <v>45433.56965277778</v>
      </c>
      <c r="C2902" s="1" t="n">
        <v>45971</v>
      </c>
      <c r="D2902" t="inlineStr">
        <is>
          <t>VÄSTERBOTTENS LÄN</t>
        </is>
      </c>
      <c r="E2902" t="inlineStr">
        <is>
          <t>SKELLEFTEÅ</t>
        </is>
      </c>
      <c r="F2902" t="inlineStr">
        <is>
          <t>Holmen skog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58716-2024</t>
        </is>
      </c>
      <c r="B2903" s="1" t="n">
        <v>45635.65770833333</v>
      </c>
      <c r="C2903" s="1" t="n">
        <v>45971</v>
      </c>
      <c r="D2903" t="inlineStr">
        <is>
          <t>VÄSTERBOTTENS LÄN</t>
        </is>
      </c>
      <c r="E2903" t="inlineStr">
        <is>
          <t>LYCKSELE</t>
        </is>
      </c>
      <c r="F2903" t="inlineStr">
        <is>
          <t>Holmen skog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49241-2024</t>
        </is>
      </c>
      <c r="B2904" s="1" t="n">
        <v>45595</v>
      </c>
      <c r="C2904" s="1" t="n">
        <v>45971</v>
      </c>
      <c r="D2904" t="inlineStr">
        <is>
          <t>VÄSTERBOTTENS LÄN</t>
        </is>
      </c>
      <c r="E2904" t="inlineStr">
        <is>
          <t>VILHELMINA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27088-2024</t>
        </is>
      </c>
      <c r="B2905" s="1" t="n">
        <v>45471.47892361111</v>
      </c>
      <c r="C2905" s="1" t="n">
        <v>45971</v>
      </c>
      <c r="D2905" t="inlineStr">
        <is>
          <t>VÄSTERBOTTENS LÄN</t>
        </is>
      </c>
      <c r="E2905" t="inlineStr">
        <is>
          <t>UMEÅ</t>
        </is>
      </c>
      <c r="F2905" t="inlineStr">
        <is>
          <t>Holmen skog AB</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28291-2021</t>
        </is>
      </c>
      <c r="B2906" s="1" t="n">
        <v>44356.27717592593</v>
      </c>
      <c r="C2906" s="1" t="n">
        <v>45971</v>
      </c>
      <c r="D2906" t="inlineStr">
        <is>
          <t>VÄSTERBOTTENS LÄN</t>
        </is>
      </c>
      <c r="E2906" t="inlineStr">
        <is>
          <t>SKELLEFTEÅ</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48068-2022</t>
        </is>
      </c>
      <c r="B2907" s="1" t="n">
        <v>44855</v>
      </c>
      <c r="C2907" s="1" t="n">
        <v>45971</v>
      </c>
      <c r="D2907" t="inlineStr">
        <is>
          <t>VÄSTERBOTTENS LÄN</t>
        </is>
      </c>
      <c r="E2907" t="inlineStr">
        <is>
          <t>VILHELMINA</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38503-2024</t>
        </is>
      </c>
      <c r="B2908" s="1" t="n">
        <v>45546.52896990741</v>
      </c>
      <c r="C2908" s="1" t="n">
        <v>45971</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16994-2023</t>
        </is>
      </c>
      <c r="B2909" s="1" t="n">
        <v>45033</v>
      </c>
      <c r="C2909" s="1" t="n">
        <v>45971</v>
      </c>
      <c r="D2909" t="inlineStr">
        <is>
          <t>VÄSTERBOTTENS LÄN</t>
        </is>
      </c>
      <c r="E2909" t="inlineStr">
        <is>
          <t>ROBERTSFORS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16995-2023</t>
        </is>
      </c>
      <c r="B2910" s="1" t="n">
        <v>45033.92592592593</v>
      </c>
      <c r="C2910" s="1" t="n">
        <v>45971</v>
      </c>
      <c r="D2910" t="inlineStr">
        <is>
          <t>VÄSTERBOTTENS LÄN</t>
        </is>
      </c>
      <c r="E2910" t="inlineStr">
        <is>
          <t>ROBERTSFORS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44968-2022</t>
        </is>
      </c>
      <c r="B2911" s="1" t="n">
        <v>44840</v>
      </c>
      <c r="C2911" s="1" t="n">
        <v>45971</v>
      </c>
      <c r="D2911" t="inlineStr">
        <is>
          <t>VÄSTERBOTTENS LÄN</t>
        </is>
      </c>
      <c r="E2911" t="inlineStr">
        <is>
          <t>UMEÅ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25549-2024</t>
        </is>
      </c>
      <c r="B2912" s="1" t="n">
        <v>45463</v>
      </c>
      <c r="C2912" s="1" t="n">
        <v>45971</v>
      </c>
      <c r="D2912" t="inlineStr">
        <is>
          <t>VÄSTERBOTTENS LÄN</t>
        </is>
      </c>
      <c r="E2912" t="inlineStr">
        <is>
          <t>ÅSELE</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20459-2021</t>
        </is>
      </c>
      <c r="B2913" s="1" t="n">
        <v>44314</v>
      </c>
      <c r="C2913" s="1" t="n">
        <v>45971</v>
      </c>
      <c r="D2913" t="inlineStr">
        <is>
          <t>VÄSTERBOTTENS LÄN</t>
        </is>
      </c>
      <c r="E2913" t="inlineStr">
        <is>
          <t>UMEÅ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44209-2024</t>
        </is>
      </c>
      <c r="B2914" s="1" t="n">
        <v>45573</v>
      </c>
      <c r="C2914" s="1" t="n">
        <v>45971</v>
      </c>
      <c r="D2914" t="inlineStr">
        <is>
          <t>VÄSTERBOTTENS LÄN</t>
        </is>
      </c>
      <c r="E2914" t="inlineStr">
        <is>
          <t>ÅSELE</t>
        </is>
      </c>
      <c r="F2914" t="inlineStr">
        <is>
          <t>Sveaskog</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36334-2023</t>
        </is>
      </c>
      <c r="B2915" s="1" t="n">
        <v>45152.44956018519</v>
      </c>
      <c r="C2915" s="1" t="n">
        <v>45971</v>
      </c>
      <c r="D2915" t="inlineStr">
        <is>
          <t>VÄSTERBOTTENS LÄN</t>
        </is>
      </c>
      <c r="E2915" t="inlineStr">
        <is>
          <t>VINDELN</t>
        </is>
      </c>
      <c r="F2915" t="inlineStr">
        <is>
          <t>Holmen skog AB</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25574-2024</t>
        </is>
      </c>
      <c r="B2916" s="1" t="n">
        <v>45463.58829861111</v>
      </c>
      <c r="C2916" s="1" t="n">
        <v>45971</v>
      </c>
      <c r="D2916" t="inlineStr">
        <is>
          <t>VÄSTERBOTTENS LÄN</t>
        </is>
      </c>
      <c r="E2916" t="inlineStr">
        <is>
          <t>ÅSELE</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51592-2024</t>
        </is>
      </c>
      <c r="B2917" s="1" t="n">
        <v>45604.64886574074</v>
      </c>
      <c r="C2917" s="1" t="n">
        <v>45971</v>
      </c>
      <c r="D2917" t="inlineStr">
        <is>
          <t>VÄSTERBOTTENS LÄN</t>
        </is>
      </c>
      <c r="E2917" t="inlineStr">
        <is>
          <t>SKELLEFTEÅ</t>
        </is>
      </c>
      <c r="F2917" t="inlineStr">
        <is>
          <t>Sveaskog</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15327-2023</t>
        </is>
      </c>
      <c r="B2918" s="1" t="n">
        <v>45016</v>
      </c>
      <c r="C2918" s="1" t="n">
        <v>45971</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53272-2024</t>
        </is>
      </c>
      <c r="B2919" s="1" t="n">
        <v>45614</v>
      </c>
      <c r="C2919" s="1" t="n">
        <v>45971</v>
      </c>
      <c r="D2919" t="inlineStr">
        <is>
          <t>VÄSTERBOTTENS LÄN</t>
        </is>
      </c>
      <c r="E2919" t="inlineStr">
        <is>
          <t>DOROTEA</t>
        </is>
      </c>
      <c r="G2919" t="n">
        <v>31.7</v>
      </c>
      <c r="H2919" t="n">
        <v>0</v>
      </c>
      <c r="I2919" t="n">
        <v>0</v>
      </c>
      <c r="J2919" t="n">
        <v>0</v>
      </c>
      <c r="K2919" t="n">
        <v>0</v>
      </c>
      <c r="L2919" t="n">
        <v>0</v>
      </c>
      <c r="M2919" t="n">
        <v>0</v>
      </c>
      <c r="N2919" t="n">
        <v>0</v>
      </c>
      <c r="O2919" t="n">
        <v>0</v>
      </c>
      <c r="P2919" t="n">
        <v>0</v>
      </c>
      <c r="Q2919" t="n">
        <v>0</v>
      </c>
      <c r="R2919" s="2" t="inlineStr"/>
    </row>
    <row r="2920" ht="15" customHeight="1">
      <c r="A2920" t="inlineStr">
        <is>
          <t>A 10818-2025</t>
        </is>
      </c>
      <c r="B2920" s="1" t="n">
        <v>45722</v>
      </c>
      <c r="C2920" s="1" t="n">
        <v>45971</v>
      </c>
      <c r="D2920" t="inlineStr">
        <is>
          <t>VÄSTERBOTTENS LÄN</t>
        </is>
      </c>
      <c r="E2920" t="inlineStr">
        <is>
          <t>SORSELE</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17168-2025</t>
        </is>
      </c>
      <c r="B2921" s="1" t="n">
        <v>45755</v>
      </c>
      <c r="C2921" s="1" t="n">
        <v>45971</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53576-2024</t>
        </is>
      </c>
      <c r="B2922" s="1" t="n">
        <v>45614.66203703704</v>
      </c>
      <c r="C2922" s="1" t="n">
        <v>45971</v>
      </c>
      <c r="D2922" t="inlineStr">
        <is>
          <t>VÄSTERBOTTENS LÄN</t>
        </is>
      </c>
      <c r="E2922" t="inlineStr">
        <is>
          <t>NORSJÖ</t>
        </is>
      </c>
      <c r="F2922" t="inlineStr">
        <is>
          <t>Holmen skog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528-2022</t>
        </is>
      </c>
      <c r="B2923" s="1" t="n">
        <v>44566.59707175926</v>
      </c>
      <c r="C2923" s="1" t="n">
        <v>45971</v>
      </c>
      <c r="D2923" t="inlineStr">
        <is>
          <t>VÄSTERBOTTENS LÄN</t>
        </is>
      </c>
      <c r="E2923" t="inlineStr">
        <is>
          <t>SKELLEFTEÅ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7897-2022</t>
        </is>
      </c>
      <c r="B2924" s="1" t="n">
        <v>44608</v>
      </c>
      <c r="C2924" s="1" t="n">
        <v>45971</v>
      </c>
      <c r="D2924" t="inlineStr">
        <is>
          <t>VÄSTERBOTTENS LÄN</t>
        </is>
      </c>
      <c r="E2924" t="inlineStr">
        <is>
          <t>BJURHOLM</t>
        </is>
      </c>
      <c r="G2924" t="n">
        <v>17.8</v>
      </c>
      <c r="H2924" t="n">
        <v>0</v>
      </c>
      <c r="I2924" t="n">
        <v>0</v>
      </c>
      <c r="J2924" t="n">
        <v>0</v>
      </c>
      <c r="K2924" t="n">
        <v>0</v>
      </c>
      <c r="L2924" t="n">
        <v>0</v>
      </c>
      <c r="M2924" t="n">
        <v>0</v>
      </c>
      <c r="N2924" t="n">
        <v>0</v>
      </c>
      <c r="O2924" t="n">
        <v>0</v>
      </c>
      <c r="P2924" t="n">
        <v>0</v>
      </c>
      <c r="Q2924" t="n">
        <v>0</v>
      </c>
      <c r="R2924" s="2" t="inlineStr"/>
    </row>
    <row r="2925" ht="15" customHeight="1">
      <c r="A2925" t="inlineStr">
        <is>
          <t>A 7908-2022</t>
        </is>
      </c>
      <c r="B2925" s="1" t="n">
        <v>44608.66927083334</v>
      </c>
      <c r="C2925" s="1" t="n">
        <v>45971</v>
      </c>
      <c r="D2925" t="inlineStr">
        <is>
          <t>VÄSTERBOTTENS LÄN</t>
        </is>
      </c>
      <c r="E2925" t="inlineStr">
        <is>
          <t>BJURHOLM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6760-2023</t>
        </is>
      </c>
      <c r="B2926" s="1" t="n">
        <v>44966</v>
      </c>
      <c r="C2926" s="1" t="n">
        <v>45971</v>
      </c>
      <c r="D2926" t="inlineStr">
        <is>
          <t>VÄSTERBOTTENS LÄN</t>
        </is>
      </c>
      <c r="E2926" t="inlineStr">
        <is>
          <t>STORUMAN</t>
        </is>
      </c>
      <c r="F2926" t="inlineStr">
        <is>
          <t>Sveaskog</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53607-2024</t>
        </is>
      </c>
      <c r="B2927" s="1" t="n">
        <v>45614.69854166666</v>
      </c>
      <c r="C2927" s="1" t="n">
        <v>45971</v>
      </c>
      <c r="D2927" t="inlineStr">
        <is>
          <t>VÄSTERBOTTENS LÄN</t>
        </is>
      </c>
      <c r="E2927" t="inlineStr">
        <is>
          <t>DOROTEA</t>
        </is>
      </c>
      <c r="F2927" t="inlineStr">
        <is>
          <t>SCA</t>
        </is>
      </c>
      <c r="G2927" t="n">
        <v>25.5</v>
      </c>
      <c r="H2927" t="n">
        <v>0</v>
      </c>
      <c r="I2927" t="n">
        <v>0</v>
      </c>
      <c r="J2927" t="n">
        <v>0</v>
      </c>
      <c r="K2927" t="n">
        <v>0</v>
      </c>
      <c r="L2927" t="n">
        <v>0</v>
      </c>
      <c r="M2927" t="n">
        <v>0</v>
      </c>
      <c r="N2927" t="n">
        <v>0</v>
      </c>
      <c r="O2927" t="n">
        <v>0</v>
      </c>
      <c r="P2927" t="n">
        <v>0</v>
      </c>
      <c r="Q2927" t="n">
        <v>0</v>
      </c>
      <c r="R2927" s="2" t="inlineStr"/>
    </row>
    <row r="2928" ht="15" customHeight="1">
      <c r="A2928" t="inlineStr">
        <is>
          <t>A 12515-2024</t>
        </is>
      </c>
      <c r="B2928" s="1" t="n">
        <v>45379</v>
      </c>
      <c r="C2928" s="1" t="n">
        <v>45971</v>
      </c>
      <c r="D2928" t="inlineStr">
        <is>
          <t>VÄSTERBOTTENS LÄN</t>
        </is>
      </c>
      <c r="E2928" t="inlineStr">
        <is>
          <t>SKELLEFTEÅ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17217-2025</t>
        </is>
      </c>
      <c r="B2929" s="1" t="n">
        <v>45756.4490625</v>
      </c>
      <c r="C2929" s="1" t="n">
        <v>45971</v>
      </c>
      <c r="D2929" t="inlineStr">
        <is>
          <t>VÄSTERBOTTENS LÄN</t>
        </is>
      </c>
      <c r="E2929" t="inlineStr">
        <is>
          <t>SORSELE</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11660-2025</t>
        </is>
      </c>
      <c r="B2930" s="1" t="n">
        <v>45727.49515046296</v>
      </c>
      <c r="C2930" s="1" t="n">
        <v>45971</v>
      </c>
      <c r="D2930" t="inlineStr">
        <is>
          <t>VÄSTERBOTTENS LÄN</t>
        </is>
      </c>
      <c r="E2930" t="inlineStr">
        <is>
          <t>NORDMALING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11662-2025</t>
        </is>
      </c>
      <c r="B2931" s="1" t="n">
        <v>45727.50065972222</v>
      </c>
      <c r="C2931" s="1" t="n">
        <v>45971</v>
      </c>
      <c r="D2931" t="inlineStr">
        <is>
          <t>VÄSTERBOTTENS LÄN</t>
        </is>
      </c>
      <c r="E2931" t="inlineStr">
        <is>
          <t>NORDMALING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40964-2024</t>
        </is>
      </c>
      <c r="B2932" s="1" t="n">
        <v>45558.67090277778</v>
      </c>
      <c r="C2932" s="1" t="n">
        <v>45971</v>
      </c>
      <c r="D2932" t="inlineStr">
        <is>
          <t>VÄSTERBOTTENS LÄN</t>
        </is>
      </c>
      <c r="E2932" t="inlineStr">
        <is>
          <t>VINDELN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17228-2025</t>
        </is>
      </c>
      <c r="B2933" s="1" t="n">
        <v>45756.46568287037</v>
      </c>
      <c r="C2933" s="1" t="n">
        <v>45971</v>
      </c>
      <c r="D2933" t="inlineStr">
        <is>
          <t>VÄSTERBOTTENS LÄN</t>
        </is>
      </c>
      <c r="E2933" t="inlineStr">
        <is>
          <t>NORSJÖ</t>
        </is>
      </c>
      <c r="F2933" t="inlineStr">
        <is>
          <t>Holmen skog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35650-2023</t>
        </is>
      </c>
      <c r="B2934" s="1" t="n">
        <v>45147.58692129629</v>
      </c>
      <c r="C2934" s="1" t="n">
        <v>45971</v>
      </c>
      <c r="D2934" t="inlineStr">
        <is>
          <t>VÄSTERBOTTENS LÄN</t>
        </is>
      </c>
      <c r="E2934" t="inlineStr">
        <is>
          <t>NORDMALING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48586-2024</t>
        </is>
      </c>
      <c r="B2935" s="1" t="n">
        <v>45593.42652777778</v>
      </c>
      <c r="C2935" s="1" t="n">
        <v>45971</v>
      </c>
      <c r="D2935" t="inlineStr">
        <is>
          <t>VÄSTERBOTTENS LÄN</t>
        </is>
      </c>
      <c r="E2935" t="inlineStr">
        <is>
          <t>UMEÅ</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18584-2022</t>
        </is>
      </c>
      <c r="B2936" s="1" t="n">
        <v>44687</v>
      </c>
      <c r="C2936" s="1" t="n">
        <v>45971</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10595-2021</t>
        </is>
      </c>
      <c r="B2937" s="1" t="n">
        <v>44258</v>
      </c>
      <c r="C2937" s="1" t="n">
        <v>45971</v>
      </c>
      <c r="D2937" t="inlineStr">
        <is>
          <t>VÄSTERBOTTENS LÄN</t>
        </is>
      </c>
      <c r="E2937" t="inlineStr">
        <is>
          <t>NORDMALING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35688-2023</t>
        </is>
      </c>
      <c r="B2938" s="1" t="n">
        <v>45147.64556712963</v>
      </c>
      <c r="C2938" s="1" t="n">
        <v>45971</v>
      </c>
      <c r="D2938" t="inlineStr">
        <is>
          <t>VÄSTERBOTTENS LÄN</t>
        </is>
      </c>
      <c r="E2938" t="inlineStr">
        <is>
          <t>NORDMALING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33455-2024</t>
        </is>
      </c>
      <c r="B2939" s="1" t="n">
        <v>45519.579375</v>
      </c>
      <c r="C2939" s="1" t="n">
        <v>45971</v>
      </c>
      <c r="D2939" t="inlineStr">
        <is>
          <t>VÄSTERBOTTENS LÄN</t>
        </is>
      </c>
      <c r="E2939" t="inlineStr">
        <is>
          <t>NORSJÖ</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38877-2023</t>
        </is>
      </c>
      <c r="B2940" s="1" t="n">
        <v>45162</v>
      </c>
      <c r="C2940" s="1" t="n">
        <v>45971</v>
      </c>
      <c r="D2940" t="inlineStr">
        <is>
          <t>VÄSTERBOTTENS LÄN</t>
        </is>
      </c>
      <c r="E2940" t="inlineStr">
        <is>
          <t>MALÅ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34332-2024</t>
        </is>
      </c>
      <c r="B2941" s="1" t="n">
        <v>45524.89719907408</v>
      </c>
      <c r="C2941" s="1" t="n">
        <v>45971</v>
      </c>
      <c r="D2941" t="inlineStr">
        <is>
          <t>VÄSTERBOTTENS LÄN</t>
        </is>
      </c>
      <c r="E2941" t="inlineStr">
        <is>
          <t>SKELLEFTEÅ</t>
        </is>
      </c>
      <c r="F2941" t="inlineStr">
        <is>
          <t>Sveaskog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59165-2023</t>
        </is>
      </c>
      <c r="B2942" s="1" t="n">
        <v>45251</v>
      </c>
      <c r="C2942" s="1" t="n">
        <v>45971</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38597-2025</t>
        </is>
      </c>
      <c r="B2943" s="1" t="n">
        <v>45884.49061342593</v>
      </c>
      <c r="C2943" s="1" t="n">
        <v>45971</v>
      </c>
      <c r="D2943" t="inlineStr">
        <is>
          <t>VÄSTERBOTTENS LÄN</t>
        </is>
      </c>
      <c r="E2943" t="inlineStr">
        <is>
          <t>VILHELMINA</t>
        </is>
      </c>
      <c r="F2943" t="inlineStr">
        <is>
          <t>SCA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59228-2023</t>
        </is>
      </c>
      <c r="B2944" s="1" t="n">
        <v>45252</v>
      </c>
      <c r="C2944" s="1" t="n">
        <v>45971</v>
      </c>
      <c r="D2944" t="inlineStr">
        <is>
          <t>VÄSTERBOTTENS LÄN</t>
        </is>
      </c>
      <c r="E2944" t="inlineStr">
        <is>
          <t>UMEÅ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18692-2023</t>
        </is>
      </c>
      <c r="B2945" s="1" t="n">
        <v>45042</v>
      </c>
      <c r="C2945" s="1" t="n">
        <v>45971</v>
      </c>
      <c r="D2945" t="inlineStr">
        <is>
          <t>VÄSTERBOTTENS LÄN</t>
        </is>
      </c>
      <c r="E2945" t="inlineStr">
        <is>
          <t>VILHELMINA</t>
        </is>
      </c>
      <c r="F2945" t="inlineStr">
        <is>
          <t>Allmännings- och besparingsskogar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59596-2023</t>
        </is>
      </c>
      <c r="B2946" s="1" t="n">
        <v>45254</v>
      </c>
      <c r="C2946" s="1" t="n">
        <v>45971</v>
      </c>
      <c r="D2946" t="inlineStr">
        <is>
          <t>VÄSTERBOTTENS LÄN</t>
        </is>
      </c>
      <c r="E2946" t="inlineStr">
        <is>
          <t>ROBERTSFORS</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23954-2024</t>
        </is>
      </c>
      <c r="B2947" s="1" t="n">
        <v>45455</v>
      </c>
      <c r="C2947" s="1" t="n">
        <v>45971</v>
      </c>
      <c r="D2947" t="inlineStr">
        <is>
          <t>VÄSTERBOTTENS LÄN</t>
        </is>
      </c>
      <c r="E2947" t="inlineStr">
        <is>
          <t>VINDELN</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23955-2024</t>
        </is>
      </c>
      <c r="B2948" s="1" t="n">
        <v>45455</v>
      </c>
      <c r="C2948" s="1" t="n">
        <v>45971</v>
      </c>
      <c r="D2948" t="inlineStr">
        <is>
          <t>VÄSTERBOTTENS LÄN</t>
        </is>
      </c>
      <c r="E2948" t="inlineStr">
        <is>
          <t>VINDELN</t>
        </is>
      </c>
      <c r="F2948" t="inlineStr">
        <is>
          <t>SCA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58363-2021</t>
        </is>
      </c>
      <c r="B2949" s="1" t="n">
        <v>44488</v>
      </c>
      <c r="C2949" s="1" t="n">
        <v>45971</v>
      </c>
      <c r="D2949" t="inlineStr">
        <is>
          <t>VÄSTERBOTTENS LÄN</t>
        </is>
      </c>
      <c r="E2949" t="inlineStr">
        <is>
          <t>VILHELMINA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36875-2023</t>
        </is>
      </c>
      <c r="B2950" s="1" t="n">
        <v>45154</v>
      </c>
      <c r="C2950" s="1" t="n">
        <v>45971</v>
      </c>
      <c r="D2950" t="inlineStr">
        <is>
          <t>VÄSTERBOTTENS LÄN</t>
        </is>
      </c>
      <c r="E2950" t="inlineStr">
        <is>
          <t>LYCKSELE</t>
        </is>
      </c>
      <c r="F2950" t="inlineStr">
        <is>
          <t>Sveaskog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58699-2022</t>
        </is>
      </c>
      <c r="B2951" s="1" t="n">
        <v>44902</v>
      </c>
      <c r="C2951" s="1" t="n">
        <v>45971</v>
      </c>
      <c r="D2951" t="inlineStr">
        <is>
          <t>VÄSTERBOTTENS LÄN</t>
        </is>
      </c>
      <c r="E2951" t="inlineStr">
        <is>
          <t>VINDELN</t>
        </is>
      </c>
      <c r="G2951" t="n">
        <v>14.2</v>
      </c>
      <c r="H2951" t="n">
        <v>0</v>
      </c>
      <c r="I2951" t="n">
        <v>0</v>
      </c>
      <c r="J2951" t="n">
        <v>0</v>
      </c>
      <c r="K2951" t="n">
        <v>0</v>
      </c>
      <c r="L2951" t="n">
        <v>0</v>
      </c>
      <c r="M2951" t="n">
        <v>0</v>
      </c>
      <c r="N2951" t="n">
        <v>0</v>
      </c>
      <c r="O2951" t="n">
        <v>0</v>
      </c>
      <c r="P2951" t="n">
        <v>0</v>
      </c>
      <c r="Q2951" t="n">
        <v>0</v>
      </c>
      <c r="R2951" s="2" t="inlineStr"/>
    </row>
    <row r="2952" ht="15" customHeight="1">
      <c r="A2952" t="inlineStr">
        <is>
          <t>A 26919-2022</t>
        </is>
      </c>
      <c r="B2952" s="1" t="n">
        <v>44740</v>
      </c>
      <c r="C2952" s="1" t="n">
        <v>45971</v>
      </c>
      <c r="D2952" t="inlineStr">
        <is>
          <t>VÄSTERBOTTENS LÄN</t>
        </is>
      </c>
      <c r="E2952" t="inlineStr">
        <is>
          <t>UMEÅ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2737-2023</t>
        </is>
      </c>
      <c r="B2953" s="1" t="n">
        <v>44944</v>
      </c>
      <c r="C2953" s="1" t="n">
        <v>45971</v>
      </c>
      <c r="D2953" t="inlineStr">
        <is>
          <t>VÄSTERBOTTENS LÄN</t>
        </is>
      </c>
      <c r="E2953" t="inlineStr">
        <is>
          <t>UMEÅ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36288-2021</t>
        </is>
      </c>
      <c r="B2954" s="1" t="n">
        <v>44389</v>
      </c>
      <c r="C2954" s="1" t="n">
        <v>45971</v>
      </c>
      <c r="D2954" t="inlineStr">
        <is>
          <t>VÄSTERBOTTENS LÄN</t>
        </is>
      </c>
      <c r="E2954" t="inlineStr">
        <is>
          <t>VILHELMINA</t>
        </is>
      </c>
      <c r="G2954" t="n">
        <v>20.5</v>
      </c>
      <c r="H2954" t="n">
        <v>0</v>
      </c>
      <c r="I2954" t="n">
        <v>0</v>
      </c>
      <c r="J2954" t="n">
        <v>0</v>
      </c>
      <c r="K2954" t="n">
        <v>0</v>
      </c>
      <c r="L2954" t="n">
        <v>0</v>
      </c>
      <c r="M2954" t="n">
        <v>0</v>
      </c>
      <c r="N2954" t="n">
        <v>0</v>
      </c>
      <c r="O2954" t="n">
        <v>0</v>
      </c>
      <c r="P2954" t="n">
        <v>0</v>
      </c>
      <c r="Q2954" t="n">
        <v>0</v>
      </c>
      <c r="R2954" s="2" t="inlineStr"/>
    </row>
    <row r="2955" ht="15" customHeight="1">
      <c r="A2955" t="inlineStr">
        <is>
          <t>A 536-2024</t>
        </is>
      </c>
      <c r="B2955" s="1" t="n">
        <v>45299</v>
      </c>
      <c r="C2955" s="1" t="n">
        <v>45971</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55418-2022</t>
        </is>
      </c>
      <c r="B2956" s="1" t="n">
        <v>44882</v>
      </c>
      <c r="C2956" s="1" t="n">
        <v>45971</v>
      </c>
      <c r="D2956" t="inlineStr">
        <is>
          <t>VÄSTERBOTTENS LÄN</t>
        </is>
      </c>
      <c r="E2956" t="inlineStr">
        <is>
          <t>SORSELE</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18152-2024</t>
        </is>
      </c>
      <c r="B2957" s="1" t="n">
        <v>45420</v>
      </c>
      <c r="C2957" s="1" t="n">
        <v>45971</v>
      </c>
      <c r="D2957" t="inlineStr">
        <is>
          <t>VÄSTERBOTTENS LÄN</t>
        </is>
      </c>
      <c r="E2957" t="inlineStr">
        <is>
          <t>VINDELN</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60304-2022</t>
        </is>
      </c>
      <c r="B2958" s="1" t="n">
        <v>44910</v>
      </c>
      <c r="C2958" s="1" t="n">
        <v>45971</v>
      </c>
      <c r="D2958" t="inlineStr">
        <is>
          <t>VÄSTERBOTTENS LÄN</t>
        </is>
      </c>
      <c r="E2958" t="inlineStr">
        <is>
          <t>DOROTEA</t>
        </is>
      </c>
      <c r="F2958" t="inlineStr">
        <is>
          <t>SCA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8750-2021</t>
        </is>
      </c>
      <c r="B2959" s="1" t="n">
        <v>44246</v>
      </c>
      <c r="C2959" s="1" t="n">
        <v>45971</v>
      </c>
      <c r="D2959" t="inlineStr">
        <is>
          <t>VÄSTERBOTTENS LÄN</t>
        </is>
      </c>
      <c r="E2959" t="inlineStr">
        <is>
          <t>VILHELMINA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23229-2022</t>
        </is>
      </c>
      <c r="B2960" s="1" t="n">
        <v>44719</v>
      </c>
      <c r="C2960" s="1" t="n">
        <v>45971</v>
      </c>
      <c r="D2960" t="inlineStr">
        <is>
          <t>VÄSTERBOTTENS LÄN</t>
        </is>
      </c>
      <c r="E2960" t="inlineStr">
        <is>
          <t>SORSELE</t>
        </is>
      </c>
      <c r="G2960" t="n">
        <v>22.6</v>
      </c>
      <c r="H2960" t="n">
        <v>0</v>
      </c>
      <c r="I2960" t="n">
        <v>0</v>
      </c>
      <c r="J2960" t="n">
        <v>0</v>
      </c>
      <c r="K2960" t="n">
        <v>0</v>
      </c>
      <c r="L2960" t="n">
        <v>0</v>
      </c>
      <c r="M2960" t="n">
        <v>0</v>
      </c>
      <c r="N2960" t="n">
        <v>0</v>
      </c>
      <c r="O2960" t="n">
        <v>0</v>
      </c>
      <c r="P2960" t="n">
        <v>0</v>
      </c>
      <c r="Q2960" t="n">
        <v>0</v>
      </c>
      <c r="R2960" s="2" t="inlineStr"/>
    </row>
    <row r="2961" ht="15" customHeight="1">
      <c r="A2961" t="inlineStr">
        <is>
          <t>A 38661-2025</t>
        </is>
      </c>
      <c r="B2961" s="1" t="n">
        <v>45884.61168981482</v>
      </c>
      <c r="C2961" s="1" t="n">
        <v>45971</v>
      </c>
      <c r="D2961" t="inlineStr">
        <is>
          <t>VÄSTERBOTTENS LÄN</t>
        </is>
      </c>
      <c r="E2961" t="inlineStr">
        <is>
          <t>SKELLEFTEÅ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14280-2024</t>
        </is>
      </c>
      <c r="B2962" s="1" t="n">
        <v>45393.61599537037</v>
      </c>
      <c r="C2962" s="1" t="n">
        <v>45971</v>
      </c>
      <c r="D2962" t="inlineStr">
        <is>
          <t>VÄSTERBOTTENS LÄN</t>
        </is>
      </c>
      <c r="E2962" t="inlineStr">
        <is>
          <t>MALÅ</t>
        </is>
      </c>
      <c r="F2962" t="inlineStr">
        <is>
          <t>Sveaskog</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32463-2023</t>
        </is>
      </c>
      <c r="B2963" s="1" t="n">
        <v>45120.92644675926</v>
      </c>
      <c r="C2963" s="1" t="n">
        <v>45971</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32467-2023</t>
        </is>
      </c>
      <c r="B2964" s="1" t="n">
        <v>45120.92667824074</v>
      </c>
      <c r="C2964" s="1" t="n">
        <v>45971</v>
      </c>
      <c r="D2964" t="inlineStr">
        <is>
          <t>VÄSTERBOTTENS LÄN</t>
        </is>
      </c>
      <c r="E2964" t="inlineStr">
        <is>
          <t>UMEÅ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57245-2024</t>
        </is>
      </c>
      <c r="B2965" s="1" t="n">
        <v>45629.55153935185</v>
      </c>
      <c r="C2965" s="1" t="n">
        <v>45971</v>
      </c>
      <c r="D2965" t="inlineStr">
        <is>
          <t>VÄSTERBOTTENS LÄN</t>
        </is>
      </c>
      <c r="E2965" t="inlineStr">
        <is>
          <t>SKELLEFTEÅ</t>
        </is>
      </c>
      <c r="F2965" t="inlineStr">
        <is>
          <t>Sveaskog</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57263-2024</t>
        </is>
      </c>
      <c r="B2966" s="1" t="n">
        <v>45629.56875</v>
      </c>
      <c r="C2966" s="1" t="n">
        <v>45971</v>
      </c>
      <c r="D2966" t="inlineStr">
        <is>
          <t>VÄSTERBOTTENS LÄN</t>
        </is>
      </c>
      <c r="E2966" t="inlineStr">
        <is>
          <t>LYCKSELE</t>
        </is>
      </c>
      <c r="F2966" t="inlineStr">
        <is>
          <t>Sveaskog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38357-2025</t>
        </is>
      </c>
      <c r="B2967" s="1" t="n">
        <v>45883.53263888889</v>
      </c>
      <c r="C2967" s="1" t="n">
        <v>45971</v>
      </c>
      <c r="D2967" t="inlineStr">
        <is>
          <t>VÄSTERBOTTENS LÄN</t>
        </is>
      </c>
      <c r="E2967" t="inlineStr">
        <is>
          <t>VILHELMINA</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38365-2025</t>
        </is>
      </c>
      <c r="B2968" s="1" t="n">
        <v>45883.54989583333</v>
      </c>
      <c r="C2968" s="1" t="n">
        <v>45971</v>
      </c>
      <c r="D2968" t="inlineStr">
        <is>
          <t>VÄSTERBOTTENS LÄN</t>
        </is>
      </c>
      <c r="E2968" t="inlineStr">
        <is>
          <t>NORDMALING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38409-2025</t>
        </is>
      </c>
      <c r="B2969" s="1" t="n">
        <v>45883.59429398148</v>
      </c>
      <c r="C2969" s="1" t="n">
        <v>45971</v>
      </c>
      <c r="D2969" t="inlineStr">
        <is>
          <t>VÄSTERBOTTENS LÄN</t>
        </is>
      </c>
      <c r="E2969" t="inlineStr">
        <is>
          <t>VILHELMINA</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38460-2025</t>
        </is>
      </c>
      <c r="B2970" s="1" t="n">
        <v>45883.71945601852</v>
      </c>
      <c r="C2970" s="1" t="n">
        <v>45971</v>
      </c>
      <c r="D2970" t="inlineStr">
        <is>
          <t>VÄSTERBOTTENS LÄN</t>
        </is>
      </c>
      <c r="E2970" t="inlineStr">
        <is>
          <t>ÅSELE</t>
        </is>
      </c>
      <c r="F2970" t="inlineStr">
        <is>
          <t>SCA</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45844-2021</t>
        </is>
      </c>
      <c r="B2971" s="1" t="n">
        <v>44441</v>
      </c>
      <c r="C2971" s="1" t="n">
        <v>45971</v>
      </c>
      <c r="D2971" t="inlineStr">
        <is>
          <t>VÄSTERBOTTENS LÄN</t>
        </is>
      </c>
      <c r="E2971" t="inlineStr">
        <is>
          <t>BJURHOLM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51981-2021</t>
        </is>
      </c>
      <c r="B2972" s="1" t="n">
        <v>44462</v>
      </c>
      <c r="C2972" s="1" t="n">
        <v>45971</v>
      </c>
      <c r="D2972" t="inlineStr">
        <is>
          <t>VÄSTERBOTTENS LÄN</t>
        </is>
      </c>
      <c r="E2972" t="inlineStr">
        <is>
          <t>STORUMAN</t>
        </is>
      </c>
      <c r="G2972" t="n">
        <v>20.9</v>
      </c>
      <c r="H2972" t="n">
        <v>0</v>
      </c>
      <c r="I2972" t="n">
        <v>0</v>
      </c>
      <c r="J2972" t="n">
        <v>0</v>
      </c>
      <c r="K2972" t="n">
        <v>0</v>
      </c>
      <c r="L2972" t="n">
        <v>0</v>
      </c>
      <c r="M2972" t="n">
        <v>0</v>
      </c>
      <c r="N2972" t="n">
        <v>0</v>
      </c>
      <c r="O2972" t="n">
        <v>0</v>
      </c>
      <c r="P2972" t="n">
        <v>0</v>
      </c>
      <c r="Q2972" t="n">
        <v>0</v>
      </c>
      <c r="R2972" s="2" t="inlineStr"/>
    </row>
    <row r="2973" ht="15" customHeight="1">
      <c r="A2973" t="inlineStr">
        <is>
          <t>A 55722-2023</t>
        </is>
      </c>
      <c r="B2973" s="1" t="n">
        <v>45232</v>
      </c>
      <c r="C2973" s="1" t="n">
        <v>45971</v>
      </c>
      <c r="D2973" t="inlineStr">
        <is>
          <t>VÄSTERBOTTENS LÄN</t>
        </is>
      </c>
      <c r="E2973" t="inlineStr">
        <is>
          <t>VILHELMINA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34830-2021</t>
        </is>
      </c>
      <c r="B2974" s="1" t="n">
        <v>44383.37496527778</v>
      </c>
      <c r="C2974" s="1" t="n">
        <v>45971</v>
      </c>
      <c r="D2974" t="inlineStr">
        <is>
          <t>VÄSTERBOTTENS LÄN</t>
        </is>
      </c>
      <c r="E2974" t="inlineStr">
        <is>
          <t>VINDELN</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26351-2022</t>
        </is>
      </c>
      <c r="B2975" s="1" t="n">
        <v>44735</v>
      </c>
      <c r="C2975" s="1" t="n">
        <v>45971</v>
      </c>
      <c r="D2975" t="inlineStr">
        <is>
          <t>VÄSTERBOTTENS LÄN</t>
        </is>
      </c>
      <c r="E2975" t="inlineStr">
        <is>
          <t>LYCKSELE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34900-2021</t>
        </is>
      </c>
      <c r="B2976" s="1" t="n">
        <v>44383.50582175926</v>
      </c>
      <c r="C2976" s="1" t="n">
        <v>45971</v>
      </c>
      <c r="D2976" t="inlineStr">
        <is>
          <t>VÄSTERBOTTENS LÄN</t>
        </is>
      </c>
      <c r="E2976" t="inlineStr">
        <is>
          <t>NORSJÖ</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10569-2021</t>
        </is>
      </c>
      <c r="B2977" s="1" t="n">
        <v>44258</v>
      </c>
      <c r="C2977" s="1" t="n">
        <v>45971</v>
      </c>
      <c r="D2977" t="inlineStr">
        <is>
          <t>VÄSTERBOTTENS LÄN</t>
        </is>
      </c>
      <c r="E2977" t="inlineStr">
        <is>
          <t>SORSELE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10591-2021</t>
        </is>
      </c>
      <c r="B2978" s="1" t="n">
        <v>44258</v>
      </c>
      <c r="C2978" s="1" t="n">
        <v>45971</v>
      </c>
      <c r="D2978" t="inlineStr">
        <is>
          <t>VÄSTERBOTTENS LÄN</t>
        </is>
      </c>
      <c r="E2978" t="inlineStr">
        <is>
          <t>NORDMALING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38669-2025</t>
        </is>
      </c>
      <c r="B2979" s="1" t="n">
        <v>45884.62400462963</v>
      </c>
      <c r="C2979" s="1" t="n">
        <v>45971</v>
      </c>
      <c r="D2979" t="inlineStr">
        <is>
          <t>VÄSTERBOTTENS LÄN</t>
        </is>
      </c>
      <c r="E2979" t="inlineStr">
        <is>
          <t>UMEÅ</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61281-2022</t>
        </is>
      </c>
      <c r="B2980" s="1" t="n">
        <v>44909</v>
      </c>
      <c r="C2980" s="1" t="n">
        <v>45971</v>
      </c>
      <c r="D2980" t="inlineStr">
        <is>
          <t>VÄSTERBOTTENS LÄN</t>
        </is>
      </c>
      <c r="E2980" t="inlineStr">
        <is>
          <t>LYCKSELE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29300-2023</t>
        </is>
      </c>
      <c r="B2981" s="1" t="n">
        <v>45105.86278935185</v>
      </c>
      <c r="C2981" s="1" t="n">
        <v>45971</v>
      </c>
      <c r="D2981" t="inlineStr">
        <is>
          <t>VÄSTERBOTTENS LÄN</t>
        </is>
      </c>
      <c r="E2981" t="inlineStr">
        <is>
          <t>ÅSELE</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58313-2024</t>
        </is>
      </c>
      <c r="B2982" s="1" t="n">
        <v>45632</v>
      </c>
      <c r="C2982" s="1" t="n">
        <v>45971</v>
      </c>
      <c r="D2982" t="inlineStr">
        <is>
          <t>VÄSTERBOTTENS LÄN</t>
        </is>
      </c>
      <c r="E2982" t="inlineStr">
        <is>
          <t>DOROTEA</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24289-2023</t>
        </is>
      </c>
      <c r="B2983" s="1" t="n">
        <v>45079.92747685185</v>
      </c>
      <c r="C2983" s="1" t="n">
        <v>45971</v>
      </c>
      <c r="D2983" t="inlineStr">
        <is>
          <t>VÄSTERBOTTENS LÄN</t>
        </is>
      </c>
      <c r="E2983" t="inlineStr">
        <is>
          <t>LYCKSELE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58335-2024</t>
        </is>
      </c>
      <c r="B2984" s="1" t="n">
        <v>45632</v>
      </c>
      <c r="C2984" s="1" t="n">
        <v>45971</v>
      </c>
      <c r="D2984" t="inlineStr">
        <is>
          <t>VÄSTERBOTTENS LÄN</t>
        </is>
      </c>
      <c r="E2984" t="inlineStr">
        <is>
          <t>DOROTEA</t>
        </is>
      </c>
      <c r="F2984" t="inlineStr">
        <is>
          <t>SCA</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53271-2021</t>
        </is>
      </c>
      <c r="B2985" s="1" t="n">
        <v>44467</v>
      </c>
      <c r="C2985" s="1" t="n">
        <v>45971</v>
      </c>
      <c r="D2985" t="inlineStr">
        <is>
          <t>VÄSTERBOTTENS LÄN</t>
        </is>
      </c>
      <c r="E2985" t="inlineStr">
        <is>
          <t>ROBERTSFORS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48358-2022</t>
        </is>
      </c>
      <c r="B2986" s="1" t="n">
        <v>44858</v>
      </c>
      <c r="C2986" s="1" t="n">
        <v>45971</v>
      </c>
      <c r="D2986" t="inlineStr">
        <is>
          <t>VÄSTERBOTTENS LÄN</t>
        </is>
      </c>
      <c r="E2986" t="inlineStr">
        <is>
          <t>STORUMAN</t>
        </is>
      </c>
      <c r="F2986" t="inlineStr">
        <is>
          <t>Sveaskog</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38590-2025</t>
        </is>
      </c>
      <c r="B2987" s="1" t="n">
        <v>45884.47512731481</v>
      </c>
      <c r="C2987" s="1" t="n">
        <v>45971</v>
      </c>
      <c r="D2987" t="inlineStr">
        <is>
          <t>VÄSTERBOTTENS LÄN</t>
        </is>
      </c>
      <c r="E2987" t="inlineStr">
        <is>
          <t>SKELLEFTEÅ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6943-2025</t>
        </is>
      </c>
      <c r="B2988" s="1" t="n">
        <v>45701</v>
      </c>
      <c r="C2988" s="1" t="n">
        <v>45971</v>
      </c>
      <c r="D2988" t="inlineStr">
        <is>
          <t>VÄSTERBOTTENS LÄN</t>
        </is>
      </c>
      <c r="E2988" t="inlineStr">
        <is>
          <t>LYCKSELE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60591-2024</t>
        </is>
      </c>
      <c r="B2989" s="1" t="n">
        <v>45642</v>
      </c>
      <c r="C2989" s="1" t="n">
        <v>45971</v>
      </c>
      <c r="D2989" t="inlineStr">
        <is>
          <t>VÄSTERBOTTENS LÄN</t>
        </is>
      </c>
      <c r="E2989" t="inlineStr">
        <is>
          <t>MALÅ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60597-2024</t>
        </is>
      </c>
      <c r="B2990" s="1" t="n">
        <v>45644.36103009259</v>
      </c>
      <c r="C2990" s="1" t="n">
        <v>45971</v>
      </c>
      <c r="D2990" t="inlineStr">
        <is>
          <t>VÄSTERBOTTENS LÄN</t>
        </is>
      </c>
      <c r="E2990" t="inlineStr">
        <is>
          <t>VINDELN</t>
        </is>
      </c>
      <c r="F2990" t="inlineStr">
        <is>
          <t>Holmen skog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60604-2024</t>
        </is>
      </c>
      <c r="B2991" s="1" t="n">
        <v>45644.37731481482</v>
      </c>
      <c r="C2991" s="1" t="n">
        <v>45971</v>
      </c>
      <c r="D2991" t="inlineStr">
        <is>
          <t>VÄSTERBOTTENS LÄN</t>
        </is>
      </c>
      <c r="E2991" t="inlineStr">
        <is>
          <t>ROBERTSFORS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31760-2023</t>
        </is>
      </c>
      <c r="B2992" s="1" t="n">
        <v>45106</v>
      </c>
      <c r="C2992" s="1" t="n">
        <v>45971</v>
      </c>
      <c r="D2992" t="inlineStr">
        <is>
          <t>VÄSTERBOTTENS LÄN</t>
        </is>
      </c>
      <c r="E2992" t="inlineStr">
        <is>
          <t>SKELLEFTEÅ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38694-2025</t>
        </is>
      </c>
      <c r="B2993" s="1" t="n">
        <v>45884.71439814815</v>
      </c>
      <c r="C2993" s="1" t="n">
        <v>45971</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12256-2025</t>
        </is>
      </c>
      <c r="B2994" s="1" t="n">
        <v>45729.61527777778</v>
      </c>
      <c r="C2994" s="1" t="n">
        <v>45971</v>
      </c>
      <c r="D2994" t="inlineStr">
        <is>
          <t>VÄSTERBOTTENS LÄN</t>
        </is>
      </c>
      <c r="E2994" t="inlineStr">
        <is>
          <t>SKELLEFTEÅ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17125-2021</t>
        </is>
      </c>
      <c r="B2995" s="1" t="n">
        <v>44295</v>
      </c>
      <c r="C2995" s="1" t="n">
        <v>45971</v>
      </c>
      <c r="D2995" t="inlineStr">
        <is>
          <t>VÄSTERBOTTENS LÄN</t>
        </is>
      </c>
      <c r="E2995" t="inlineStr">
        <is>
          <t>STORUMAN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54619-2024</t>
        </is>
      </c>
      <c r="B2996" s="1" t="n">
        <v>45617.73600694445</v>
      </c>
      <c r="C2996" s="1" t="n">
        <v>45971</v>
      </c>
      <c r="D2996" t="inlineStr">
        <is>
          <t>VÄSTERBOTTENS LÄN</t>
        </is>
      </c>
      <c r="E2996" t="inlineStr">
        <is>
          <t>LYCKSELE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362-2025</t>
        </is>
      </c>
      <c r="B2997" s="1" t="n">
        <v>45660.90559027778</v>
      </c>
      <c r="C2997" s="1" t="n">
        <v>45971</v>
      </c>
      <c r="D2997" t="inlineStr">
        <is>
          <t>VÄSTERBOTTENS LÄN</t>
        </is>
      </c>
      <c r="E2997" t="inlineStr">
        <is>
          <t>NORDMALING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12189-2024</t>
        </is>
      </c>
      <c r="B2998" s="1" t="n">
        <v>45377.94945601852</v>
      </c>
      <c r="C2998" s="1" t="n">
        <v>45971</v>
      </c>
      <c r="D2998" t="inlineStr">
        <is>
          <t>VÄSTERBOTTENS LÄN</t>
        </is>
      </c>
      <c r="E2998" t="inlineStr">
        <is>
          <t>VILHELMINA</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56090-2023</t>
        </is>
      </c>
      <c r="B2999" s="1" t="n">
        <v>45240</v>
      </c>
      <c r="C2999" s="1" t="n">
        <v>45971</v>
      </c>
      <c r="D2999" t="inlineStr">
        <is>
          <t>VÄSTERBOTTENS LÄN</t>
        </is>
      </c>
      <c r="E2999" t="inlineStr">
        <is>
          <t>NORSJÖ</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10729-2025</t>
        </is>
      </c>
      <c r="B3000" s="1" t="n">
        <v>45722</v>
      </c>
      <c r="C3000" s="1" t="n">
        <v>45971</v>
      </c>
      <c r="D3000" t="inlineStr">
        <is>
          <t>VÄSTERBOTTENS LÄN</t>
        </is>
      </c>
      <c r="E3000" t="inlineStr">
        <is>
          <t>UMEÅ</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12333-2024</t>
        </is>
      </c>
      <c r="B3001" s="1" t="n">
        <v>45378</v>
      </c>
      <c r="C3001" s="1" t="n">
        <v>45971</v>
      </c>
      <c r="D3001" t="inlineStr">
        <is>
          <t>VÄSTERBOTTENS LÄN</t>
        </is>
      </c>
      <c r="E3001" t="inlineStr">
        <is>
          <t>LYCKSELE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38355-2025</t>
        </is>
      </c>
      <c r="B3002" s="1" t="n">
        <v>45883.53228009259</v>
      </c>
      <c r="C3002" s="1" t="n">
        <v>45971</v>
      </c>
      <c r="D3002" t="inlineStr">
        <is>
          <t>VÄSTERBOTTENS LÄN</t>
        </is>
      </c>
      <c r="E3002" t="inlineStr">
        <is>
          <t>VILHELMINA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38356-2025</t>
        </is>
      </c>
      <c r="B3003" s="1" t="n">
        <v>45883.53247685185</v>
      </c>
      <c r="C3003" s="1" t="n">
        <v>45971</v>
      </c>
      <c r="D3003" t="inlineStr">
        <is>
          <t>VÄSTERBOTTENS LÄN</t>
        </is>
      </c>
      <c r="E3003" t="inlineStr">
        <is>
          <t>VILHELMINA</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65392-2020</t>
        </is>
      </c>
      <c r="B3004" s="1" t="n">
        <v>44169</v>
      </c>
      <c r="C3004" s="1" t="n">
        <v>45971</v>
      </c>
      <c r="D3004" t="inlineStr">
        <is>
          <t>VÄSTERBOTTENS LÄN</t>
        </is>
      </c>
      <c r="E3004" t="inlineStr">
        <is>
          <t>NORSJÖ</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14803-2024</t>
        </is>
      </c>
      <c r="B3005" s="1" t="n">
        <v>45397.92915509259</v>
      </c>
      <c r="C3005" s="1" t="n">
        <v>45971</v>
      </c>
      <c r="D3005" t="inlineStr">
        <is>
          <t>VÄSTERBOTTENS LÄN</t>
        </is>
      </c>
      <c r="E3005" t="inlineStr">
        <is>
          <t>STORUMAN</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41218-2023</t>
        </is>
      </c>
      <c r="B3006" s="1" t="n">
        <v>45174.45435185185</v>
      </c>
      <c r="C3006" s="1" t="n">
        <v>45971</v>
      </c>
      <c r="D3006" t="inlineStr">
        <is>
          <t>VÄSTERBOTTENS LÄN</t>
        </is>
      </c>
      <c r="E3006" t="inlineStr">
        <is>
          <t>UMEÅ</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5575-2025</t>
        </is>
      </c>
      <c r="B3007" s="1" t="n">
        <v>45693.53200231482</v>
      </c>
      <c r="C3007" s="1" t="n">
        <v>45971</v>
      </c>
      <c r="D3007" t="inlineStr">
        <is>
          <t>VÄSTERBOTTENS LÄN</t>
        </is>
      </c>
      <c r="E3007" t="inlineStr">
        <is>
          <t>VILHELMINA</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24577-2022</t>
        </is>
      </c>
      <c r="B3008" s="1" t="n">
        <v>44727</v>
      </c>
      <c r="C3008" s="1" t="n">
        <v>45971</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1132-2021</t>
        </is>
      </c>
      <c r="B3009" s="1" t="n">
        <v>44207</v>
      </c>
      <c r="C3009" s="1" t="n">
        <v>45971</v>
      </c>
      <c r="D3009" t="inlineStr">
        <is>
          <t>VÄSTERBOTTENS LÄN</t>
        </is>
      </c>
      <c r="E3009" t="inlineStr">
        <is>
          <t>NORDMALING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59131-2022</t>
        </is>
      </c>
      <c r="B3010" s="1" t="n">
        <v>44904.44261574074</v>
      </c>
      <c r="C3010" s="1" t="n">
        <v>45971</v>
      </c>
      <c r="D3010" t="inlineStr">
        <is>
          <t>VÄSTERBOTTENS LÄN</t>
        </is>
      </c>
      <c r="E3010" t="inlineStr">
        <is>
          <t>NORSJÖ</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44584-2021</t>
        </is>
      </c>
      <c r="B3011" s="1" t="n">
        <v>44435</v>
      </c>
      <c r="C3011" s="1" t="n">
        <v>45971</v>
      </c>
      <c r="D3011" t="inlineStr">
        <is>
          <t>VÄSTERBOTTENS LÄN</t>
        </is>
      </c>
      <c r="E3011" t="inlineStr">
        <is>
          <t>NORSJÖ</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28732-2024</t>
        </is>
      </c>
      <c r="B3012" s="1" t="n">
        <v>45478.56394675926</v>
      </c>
      <c r="C3012" s="1" t="n">
        <v>45971</v>
      </c>
      <c r="D3012" t="inlineStr">
        <is>
          <t>VÄSTERBOTTENS LÄN</t>
        </is>
      </c>
      <c r="E3012" t="inlineStr">
        <is>
          <t>VINDELN</t>
        </is>
      </c>
      <c r="F3012" t="inlineStr">
        <is>
          <t>Holmen skog AB</t>
        </is>
      </c>
      <c r="G3012" t="n">
        <v>4.4</v>
      </c>
      <c r="H3012" t="n">
        <v>0</v>
      </c>
      <c r="I3012" t="n">
        <v>0</v>
      </c>
      <c r="J3012" t="n">
        <v>0</v>
      </c>
      <c r="K3012" t="n">
        <v>0</v>
      </c>
      <c r="L3012" t="n">
        <v>0</v>
      </c>
      <c r="M3012" t="n">
        <v>0</v>
      </c>
      <c r="N3012" t="n">
        <v>0</v>
      </c>
      <c r="O3012" t="n">
        <v>0</v>
      </c>
      <c r="P3012" t="n">
        <v>0</v>
      </c>
      <c r="Q3012" t="n">
        <v>0</v>
      </c>
      <c r="R3012" s="2" t="inlineStr"/>
      <c r="U3012">
        <f>HYPERLINK("https://klasma.github.io/Logging_2404/knärot/A 28732-2024 karta knärot.png", "A 28732-2024")</f>
        <v/>
      </c>
      <c r="V3012">
        <f>HYPERLINK("https://klasma.github.io/Logging_2404/klagomål/A 28732-2024 FSC-klagomål.docx", "A 28732-2024")</f>
        <v/>
      </c>
      <c r="W3012">
        <f>HYPERLINK("https://klasma.github.io/Logging_2404/klagomålsmail/A 28732-2024 FSC-klagomål mail.docx", "A 28732-2024")</f>
        <v/>
      </c>
      <c r="X3012">
        <f>HYPERLINK("https://klasma.github.io/Logging_2404/tillsyn/A 28732-2024 tillsynsbegäran.docx", "A 28732-2024")</f>
        <v/>
      </c>
      <c r="Y3012">
        <f>HYPERLINK("https://klasma.github.io/Logging_2404/tillsynsmail/A 28732-2024 tillsynsbegäran mail.docx", "A 28732-2024")</f>
        <v/>
      </c>
    </row>
    <row r="3013" ht="15" customHeight="1">
      <c r="A3013" t="inlineStr">
        <is>
          <t>A 38212-2025</t>
        </is>
      </c>
      <c r="B3013" s="1" t="n">
        <v>45882.95137731481</v>
      </c>
      <c r="C3013" s="1" t="n">
        <v>45971</v>
      </c>
      <c r="D3013" t="inlineStr">
        <is>
          <t>VÄSTERBOTTENS LÄN</t>
        </is>
      </c>
      <c r="E3013" t="inlineStr">
        <is>
          <t>VILHELMINA</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38214-2025</t>
        </is>
      </c>
      <c r="B3014" s="1" t="n">
        <v>45883.27512731482</v>
      </c>
      <c r="C3014" s="1" t="n">
        <v>45971</v>
      </c>
      <c r="D3014" t="inlineStr">
        <is>
          <t>VÄSTERBOTTENS LÄN</t>
        </is>
      </c>
      <c r="E3014" t="inlineStr">
        <is>
          <t>SKELLEFTEÅ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38236-2025</t>
        </is>
      </c>
      <c r="B3015" s="1" t="n">
        <v>45883.36202546296</v>
      </c>
      <c r="C3015" s="1" t="n">
        <v>45971</v>
      </c>
      <c r="D3015" t="inlineStr">
        <is>
          <t>VÄSTERBOTTENS LÄN</t>
        </is>
      </c>
      <c r="E3015" t="inlineStr">
        <is>
          <t>UMEÅ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38243-2025</t>
        </is>
      </c>
      <c r="B3016" s="1" t="n">
        <v>45883.36553240741</v>
      </c>
      <c r="C3016" s="1" t="n">
        <v>45971</v>
      </c>
      <c r="D3016" t="inlineStr">
        <is>
          <t>VÄSTERBOTTENS LÄN</t>
        </is>
      </c>
      <c r="E3016" t="inlineStr">
        <is>
          <t>VILHELMINA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38211-2025</t>
        </is>
      </c>
      <c r="B3017" s="1" t="n">
        <v>45882.93524305556</v>
      </c>
      <c r="C3017" s="1" t="n">
        <v>45971</v>
      </c>
      <c r="D3017" t="inlineStr">
        <is>
          <t>VÄSTERBOTTENS LÄN</t>
        </is>
      </c>
      <c r="E3017" t="inlineStr">
        <is>
          <t>VILHELMINA</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58611-2020</t>
        </is>
      </c>
      <c r="B3018" s="1" t="n">
        <v>44145</v>
      </c>
      <c r="C3018" s="1" t="n">
        <v>45971</v>
      </c>
      <c r="D3018" t="inlineStr">
        <is>
          <t>VÄSTERBOTTENS LÄN</t>
        </is>
      </c>
      <c r="E3018" t="inlineStr">
        <is>
          <t>SORSELE</t>
        </is>
      </c>
      <c r="G3018" t="n">
        <v>47.9</v>
      </c>
      <c r="H3018" t="n">
        <v>0</v>
      </c>
      <c r="I3018" t="n">
        <v>0</v>
      </c>
      <c r="J3018" t="n">
        <v>0</v>
      </c>
      <c r="K3018" t="n">
        <v>0</v>
      </c>
      <c r="L3018" t="n">
        <v>0</v>
      </c>
      <c r="M3018" t="n">
        <v>0</v>
      </c>
      <c r="N3018" t="n">
        <v>0</v>
      </c>
      <c r="O3018" t="n">
        <v>0</v>
      </c>
      <c r="P3018" t="n">
        <v>0</v>
      </c>
      <c r="Q3018" t="n">
        <v>0</v>
      </c>
      <c r="R3018" s="2" t="inlineStr"/>
    </row>
    <row r="3019" ht="15" customHeight="1">
      <c r="A3019" t="inlineStr">
        <is>
          <t>A 50520-2023</t>
        </is>
      </c>
      <c r="B3019" s="1" t="n">
        <v>45216</v>
      </c>
      <c r="C3019" s="1" t="n">
        <v>45971</v>
      </c>
      <c r="D3019" t="inlineStr">
        <is>
          <t>VÄSTERBOTTENS LÄN</t>
        </is>
      </c>
      <c r="E3019" t="inlineStr">
        <is>
          <t>NORDMALING</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17444-2023</t>
        </is>
      </c>
      <c r="B3020" s="1" t="n">
        <v>45035.94489583333</v>
      </c>
      <c r="C3020" s="1" t="n">
        <v>45971</v>
      </c>
      <c r="D3020" t="inlineStr">
        <is>
          <t>VÄSTERBOTTENS LÄN</t>
        </is>
      </c>
      <c r="E3020" t="inlineStr">
        <is>
          <t>SKELLEFTEÅ</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17462-2023</t>
        </is>
      </c>
      <c r="B3021" s="1" t="n">
        <v>45034</v>
      </c>
      <c r="C3021" s="1" t="n">
        <v>45971</v>
      </c>
      <c r="D3021" t="inlineStr">
        <is>
          <t>VÄSTERBOTTENS LÄN</t>
        </is>
      </c>
      <c r="E3021" t="inlineStr">
        <is>
          <t>NORDMALING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52103-2023</t>
        </is>
      </c>
      <c r="B3022" s="1" t="n">
        <v>45223</v>
      </c>
      <c r="C3022" s="1" t="n">
        <v>45971</v>
      </c>
      <c r="D3022" t="inlineStr">
        <is>
          <t>VÄSTERBOTTENS LÄN</t>
        </is>
      </c>
      <c r="E3022" t="inlineStr">
        <is>
          <t>ÅSELE</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61198-2024</t>
        </is>
      </c>
      <c r="B3023" s="1" t="n">
        <v>45645.63362268519</v>
      </c>
      <c r="C3023" s="1" t="n">
        <v>45971</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42015-2023</t>
        </is>
      </c>
      <c r="B3024" s="1" t="n">
        <v>45174</v>
      </c>
      <c r="C3024" s="1" t="n">
        <v>45971</v>
      </c>
      <c r="D3024" t="inlineStr">
        <is>
          <t>VÄSTERBOTTENS LÄN</t>
        </is>
      </c>
      <c r="E3024" t="inlineStr">
        <is>
          <t>VINDELN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67032-2020</t>
        </is>
      </c>
      <c r="B3025" s="1" t="n">
        <v>44180</v>
      </c>
      <c r="C3025" s="1" t="n">
        <v>45971</v>
      </c>
      <c r="D3025" t="inlineStr">
        <is>
          <t>VÄSTERBOTTENS LÄN</t>
        </is>
      </c>
      <c r="E3025" t="inlineStr">
        <is>
          <t>VINDELN</t>
        </is>
      </c>
      <c r="G3025" t="n">
        <v>18.8</v>
      </c>
      <c r="H3025" t="n">
        <v>0</v>
      </c>
      <c r="I3025" t="n">
        <v>0</v>
      </c>
      <c r="J3025" t="n">
        <v>0</v>
      </c>
      <c r="K3025" t="n">
        <v>0</v>
      </c>
      <c r="L3025" t="n">
        <v>0</v>
      </c>
      <c r="M3025" t="n">
        <v>0</v>
      </c>
      <c r="N3025" t="n">
        <v>0</v>
      </c>
      <c r="O3025" t="n">
        <v>0</v>
      </c>
      <c r="P3025" t="n">
        <v>0</v>
      </c>
      <c r="Q3025" t="n">
        <v>0</v>
      </c>
      <c r="R3025" s="2" t="inlineStr"/>
    </row>
    <row r="3026" ht="15" customHeight="1">
      <c r="A3026" t="inlineStr">
        <is>
          <t>A 55907-2024</t>
        </is>
      </c>
      <c r="B3026" s="1" t="n">
        <v>45623.58414351852</v>
      </c>
      <c r="C3026" s="1" t="n">
        <v>45971</v>
      </c>
      <c r="D3026" t="inlineStr">
        <is>
          <t>VÄSTERBOTTENS LÄN</t>
        </is>
      </c>
      <c r="E3026" t="inlineStr">
        <is>
          <t>SKELLEFTEÅ</t>
        </is>
      </c>
      <c r="F3026" t="inlineStr">
        <is>
          <t>Holmen skog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10636-2021</t>
        </is>
      </c>
      <c r="B3027" s="1" t="n">
        <v>44258</v>
      </c>
      <c r="C3027" s="1" t="n">
        <v>45971</v>
      </c>
      <c r="D3027" t="inlineStr">
        <is>
          <t>VÄSTERBOTTENS LÄN</t>
        </is>
      </c>
      <c r="E3027" t="inlineStr">
        <is>
          <t>STORUMAN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41792-2023</t>
        </is>
      </c>
      <c r="B3028" s="1" t="n">
        <v>45176</v>
      </c>
      <c r="C3028" s="1" t="n">
        <v>45971</v>
      </c>
      <c r="D3028" t="inlineStr">
        <is>
          <t>VÄSTERBOTTENS LÄN</t>
        </is>
      </c>
      <c r="E3028" t="inlineStr">
        <is>
          <t>MALÅ</t>
        </is>
      </c>
      <c r="F3028" t="inlineStr">
        <is>
          <t>Sveaskog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10167-2021</t>
        </is>
      </c>
      <c r="B3029" s="1" t="n">
        <v>44256</v>
      </c>
      <c r="C3029" s="1" t="n">
        <v>45971</v>
      </c>
      <c r="D3029" t="inlineStr">
        <is>
          <t>VÄSTERBOTTENS LÄN</t>
        </is>
      </c>
      <c r="E3029" t="inlineStr">
        <is>
          <t>VINDELN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22107-2024</t>
        </is>
      </c>
      <c r="B3030" s="1" t="n">
        <v>45443</v>
      </c>
      <c r="C3030" s="1" t="n">
        <v>45971</v>
      </c>
      <c r="D3030" t="inlineStr">
        <is>
          <t>VÄSTERBOTTENS LÄN</t>
        </is>
      </c>
      <c r="E3030" t="inlineStr">
        <is>
          <t>VILHELMINA</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40053-2021</t>
        </is>
      </c>
      <c r="B3031" s="1" t="n">
        <v>44418</v>
      </c>
      <c r="C3031" s="1" t="n">
        <v>45971</v>
      </c>
      <c r="D3031" t="inlineStr">
        <is>
          <t>VÄSTERBOTTENS LÄN</t>
        </is>
      </c>
      <c r="E3031" t="inlineStr">
        <is>
          <t>NORDMALING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11956-2025</t>
        </is>
      </c>
      <c r="B3032" s="1" t="n">
        <v>45728.56809027777</v>
      </c>
      <c r="C3032" s="1" t="n">
        <v>45971</v>
      </c>
      <c r="D3032" t="inlineStr">
        <is>
          <t>VÄSTERBOTTENS LÄN</t>
        </is>
      </c>
      <c r="E3032" t="inlineStr">
        <is>
          <t>SKELLEFTEÅ</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52453-2021</t>
        </is>
      </c>
      <c r="B3033" s="1" t="n">
        <v>44463</v>
      </c>
      <c r="C3033" s="1" t="n">
        <v>45971</v>
      </c>
      <c r="D3033" t="inlineStr">
        <is>
          <t>VÄSTERBOTTENS LÄN</t>
        </is>
      </c>
      <c r="E3033" t="inlineStr">
        <is>
          <t>SKELLEFTEÅ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38012-2025</t>
        </is>
      </c>
      <c r="B3034" s="1" t="n">
        <v>45882.30746527778</v>
      </c>
      <c r="C3034" s="1" t="n">
        <v>45971</v>
      </c>
      <c r="D3034" t="inlineStr">
        <is>
          <t>VÄSTERBOTTENS LÄN</t>
        </is>
      </c>
      <c r="E3034" t="inlineStr">
        <is>
          <t>LYCKSELE</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38120-2025</t>
        </is>
      </c>
      <c r="B3035" s="1" t="n">
        <v>45882.55125</v>
      </c>
      <c r="C3035" s="1" t="n">
        <v>45971</v>
      </c>
      <c r="D3035" t="inlineStr">
        <is>
          <t>VÄSTERBOTTENS LÄN</t>
        </is>
      </c>
      <c r="E3035" t="inlineStr">
        <is>
          <t>BJURHOLM</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14016-2025</t>
        </is>
      </c>
      <c r="B3036" s="1" t="n">
        <v>45740.31862268518</v>
      </c>
      <c r="C3036" s="1" t="n">
        <v>45971</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39553-2021</t>
        </is>
      </c>
      <c r="B3037" s="1" t="n">
        <v>44416</v>
      </c>
      <c r="C3037" s="1" t="n">
        <v>45971</v>
      </c>
      <c r="D3037" t="inlineStr">
        <is>
          <t>VÄSTERBOTTENS LÄN</t>
        </is>
      </c>
      <c r="E3037" t="inlineStr">
        <is>
          <t>SKELLEFTEÅ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21079-2024</t>
        </is>
      </c>
      <c r="B3038" s="1" t="n">
        <v>45439</v>
      </c>
      <c r="C3038" s="1" t="n">
        <v>45971</v>
      </c>
      <c r="D3038" t="inlineStr">
        <is>
          <t>VÄSTERBOTTENS LÄN</t>
        </is>
      </c>
      <c r="E3038" t="inlineStr">
        <is>
          <t>NORDMALING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61992-2024</t>
        </is>
      </c>
      <c r="B3039" s="1" t="n">
        <v>45646</v>
      </c>
      <c r="C3039" s="1" t="n">
        <v>45971</v>
      </c>
      <c r="D3039" t="inlineStr">
        <is>
          <t>VÄSTERBOTTENS LÄN</t>
        </is>
      </c>
      <c r="E3039" t="inlineStr">
        <is>
          <t>MALÅ</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43566-2024</t>
        </is>
      </c>
      <c r="B3040" s="1" t="n">
        <v>45569.40431712963</v>
      </c>
      <c r="C3040" s="1" t="n">
        <v>45971</v>
      </c>
      <c r="D3040" t="inlineStr">
        <is>
          <t>VÄSTERBOTTENS LÄN</t>
        </is>
      </c>
      <c r="E3040" t="inlineStr">
        <is>
          <t>LYCKSELE</t>
        </is>
      </c>
      <c r="F3040" t="inlineStr">
        <is>
          <t>Sveaskog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68765-2020</t>
        </is>
      </c>
      <c r="B3041" s="1" t="n">
        <v>44186</v>
      </c>
      <c r="C3041" s="1" t="n">
        <v>45971</v>
      </c>
      <c r="D3041" t="inlineStr">
        <is>
          <t>VÄSTERBOTTENS LÄN</t>
        </is>
      </c>
      <c r="E3041" t="inlineStr">
        <is>
          <t>ROBERTSFORS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2439-2023</t>
        </is>
      </c>
      <c r="B3042" s="1" t="n">
        <v>44942</v>
      </c>
      <c r="C3042" s="1" t="n">
        <v>45971</v>
      </c>
      <c r="D3042" t="inlineStr">
        <is>
          <t>VÄSTERBOTTENS LÄN</t>
        </is>
      </c>
      <c r="E3042" t="inlineStr">
        <is>
          <t>SKELLEFTEÅ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10823-2025</t>
        </is>
      </c>
      <c r="B3043" s="1" t="n">
        <v>45722.55241898148</v>
      </c>
      <c r="C3043" s="1" t="n">
        <v>45971</v>
      </c>
      <c r="D3043" t="inlineStr">
        <is>
          <t>VÄSTERBOTTENS LÄN</t>
        </is>
      </c>
      <c r="E3043" t="inlineStr">
        <is>
          <t>SORSELE</t>
        </is>
      </c>
      <c r="F3043" t="inlineStr">
        <is>
          <t>SCA</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45924-2024</t>
        </is>
      </c>
      <c r="B3044" s="1" t="n">
        <v>45580.47027777778</v>
      </c>
      <c r="C3044" s="1" t="n">
        <v>45971</v>
      </c>
      <c r="D3044" t="inlineStr">
        <is>
          <t>VÄSTERBOTTENS LÄN</t>
        </is>
      </c>
      <c r="E3044" t="inlineStr">
        <is>
          <t>ROBERTSFORS</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10841-2025</t>
        </is>
      </c>
      <c r="B3045" s="1" t="n">
        <v>45722.57315972223</v>
      </c>
      <c r="C3045" s="1" t="n">
        <v>45971</v>
      </c>
      <c r="D3045" t="inlineStr">
        <is>
          <t>VÄSTERBOTTENS LÄN</t>
        </is>
      </c>
      <c r="E3045" t="inlineStr">
        <is>
          <t>SKELLEFTEÅ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53345-2023</t>
        </is>
      </c>
      <c r="B3046" s="1" t="n">
        <v>45229.64980324074</v>
      </c>
      <c r="C3046" s="1" t="n">
        <v>45971</v>
      </c>
      <c r="D3046" t="inlineStr">
        <is>
          <t>VÄSTERBOTTENS LÄN</t>
        </is>
      </c>
      <c r="E3046" t="inlineStr">
        <is>
          <t>NORSJÖ</t>
        </is>
      </c>
      <c r="F3046" t="inlineStr">
        <is>
          <t>Holmen skog AB</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23454-2024</t>
        </is>
      </c>
      <c r="B3047" s="1" t="n">
        <v>45453</v>
      </c>
      <c r="C3047" s="1" t="n">
        <v>45971</v>
      </c>
      <c r="D3047" t="inlineStr">
        <is>
          <t>VÄSTERBOTTENS LÄN</t>
        </is>
      </c>
      <c r="E3047" t="inlineStr">
        <is>
          <t>STORUMAN</t>
        </is>
      </c>
      <c r="F3047" t="inlineStr">
        <is>
          <t>Sveaskog</t>
        </is>
      </c>
      <c r="G3047" t="n">
        <v>26.6</v>
      </c>
      <c r="H3047" t="n">
        <v>0</v>
      </c>
      <c r="I3047" t="n">
        <v>0</v>
      </c>
      <c r="J3047" t="n">
        <v>0</v>
      </c>
      <c r="K3047" t="n">
        <v>0</v>
      </c>
      <c r="L3047" t="n">
        <v>0</v>
      </c>
      <c r="M3047" t="n">
        <v>0</v>
      </c>
      <c r="N3047" t="n">
        <v>0</v>
      </c>
      <c r="O3047" t="n">
        <v>0</v>
      </c>
      <c r="P3047" t="n">
        <v>0</v>
      </c>
      <c r="Q3047" t="n">
        <v>0</v>
      </c>
      <c r="R3047" s="2" t="inlineStr"/>
    </row>
    <row r="3048" ht="15" customHeight="1">
      <c r="A3048" t="inlineStr">
        <is>
          <t>A 36124-2023</t>
        </is>
      </c>
      <c r="B3048" s="1" t="n">
        <v>45149</v>
      </c>
      <c r="C3048" s="1" t="n">
        <v>45971</v>
      </c>
      <c r="D3048" t="inlineStr">
        <is>
          <t>VÄSTERBOTTENS LÄN</t>
        </is>
      </c>
      <c r="E3048" t="inlineStr">
        <is>
          <t>MALÅ</t>
        </is>
      </c>
      <c r="G3048" t="n">
        <v>26.9</v>
      </c>
      <c r="H3048" t="n">
        <v>0</v>
      </c>
      <c r="I3048" t="n">
        <v>0</v>
      </c>
      <c r="J3048" t="n">
        <v>0</v>
      </c>
      <c r="K3048" t="n">
        <v>0</v>
      </c>
      <c r="L3048" t="n">
        <v>0</v>
      </c>
      <c r="M3048" t="n">
        <v>0</v>
      </c>
      <c r="N3048" t="n">
        <v>0</v>
      </c>
      <c r="O3048" t="n">
        <v>0</v>
      </c>
      <c r="P3048" t="n">
        <v>0</v>
      </c>
      <c r="Q3048" t="n">
        <v>0</v>
      </c>
      <c r="R3048" s="2" t="inlineStr"/>
    </row>
    <row r="3049" ht="15" customHeight="1">
      <c r="A3049" t="inlineStr">
        <is>
          <t>A 36132-2023</t>
        </is>
      </c>
      <c r="B3049" s="1" t="n">
        <v>45149</v>
      </c>
      <c r="C3049" s="1" t="n">
        <v>45971</v>
      </c>
      <c r="D3049" t="inlineStr">
        <is>
          <t>VÄSTERBOTTENS LÄN</t>
        </is>
      </c>
      <c r="E3049" t="inlineStr">
        <is>
          <t>LYCKSELE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36137-2023</t>
        </is>
      </c>
      <c r="B3050" s="1" t="n">
        <v>45149</v>
      </c>
      <c r="C3050" s="1" t="n">
        <v>45971</v>
      </c>
      <c r="D3050" t="inlineStr">
        <is>
          <t>VÄSTERBOTTENS LÄN</t>
        </is>
      </c>
      <c r="E3050" t="inlineStr">
        <is>
          <t>DOROTEA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38237-2025</t>
        </is>
      </c>
      <c r="B3051" s="1" t="n">
        <v>45883.36371527778</v>
      </c>
      <c r="C3051" s="1" t="n">
        <v>45971</v>
      </c>
      <c r="D3051" t="inlineStr">
        <is>
          <t>VÄSTERBOTTENS LÄN</t>
        </is>
      </c>
      <c r="E3051" t="inlineStr">
        <is>
          <t>UMEÅ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38242-2025</t>
        </is>
      </c>
      <c r="B3052" s="1" t="n">
        <v>45883.36547453704</v>
      </c>
      <c r="C3052" s="1" t="n">
        <v>45971</v>
      </c>
      <c r="D3052" t="inlineStr">
        <is>
          <t>VÄSTERBOTTENS LÄN</t>
        </is>
      </c>
      <c r="E3052" t="inlineStr">
        <is>
          <t>VILHELMINA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11246-2025</t>
        </is>
      </c>
      <c r="B3053" s="1" t="n">
        <v>45726.38585648148</v>
      </c>
      <c r="C3053" s="1" t="n">
        <v>45971</v>
      </c>
      <c r="D3053" t="inlineStr">
        <is>
          <t>VÄSTERBOTTENS LÄN</t>
        </is>
      </c>
      <c r="E3053" t="inlineStr">
        <is>
          <t>STORUMAN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36882-2025</t>
        </is>
      </c>
      <c r="B3054" s="1" t="n">
        <v>45874</v>
      </c>
      <c r="C3054" s="1" t="n">
        <v>45971</v>
      </c>
      <c r="D3054" t="inlineStr">
        <is>
          <t>VÄSTERBOTTENS LÄN</t>
        </is>
      </c>
      <c r="E3054" t="inlineStr">
        <is>
          <t>SKELLEFTEÅ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23463-2024</t>
        </is>
      </c>
      <c r="B3055" s="1" t="n">
        <v>45453</v>
      </c>
      <c r="C3055" s="1" t="n">
        <v>45971</v>
      </c>
      <c r="D3055" t="inlineStr">
        <is>
          <t>VÄSTERBOTTENS LÄN</t>
        </is>
      </c>
      <c r="E3055" t="inlineStr">
        <is>
          <t>VINDELN</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32989-2022</t>
        </is>
      </c>
      <c r="B3056" s="1" t="n">
        <v>44784.94172453704</v>
      </c>
      <c r="C3056" s="1" t="n">
        <v>45971</v>
      </c>
      <c r="D3056" t="inlineStr">
        <is>
          <t>VÄSTERBOTTENS LÄN</t>
        </is>
      </c>
      <c r="E3056" t="inlineStr">
        <is>
          <t>BJURHOLM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15235-2024</t>
        </is>
      </c>
      <c r="B3057" s="1" t="n">
        <v>45400</v>
      </c>
      <c r="C3057" s="1" t="n">
        <v>45971</v>
      </c>
      <c r="D3057" t="inlineStr">
        <is>
          <t>VÄSTERBOTTENS LÄN</t>
        </is>
      </c>
      <c r="E3057" t="inlineStr">
        <is>
          <t>SORSELE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32200-2022</t>
        </is>
      </c>
      <c r="B3058" s="1" t="n">
        <v>44781</v>
      </c>
      <c r="C3058" s="1" t="n">
        <v>45971</v>
      </c>
      <c r="D3058" t="inlineStr">
        <is>
          <t>VÄSTERBOTTENS LÄN</t>
        </is>
      </c>
      <c r="E3058" t="inlineStr">
        <is>
          <t>SKELLEFTEÅ</t>
        </is>
      </c>
      <c r="F3058" t="inlineStr">
        <is>
          <t>Kommuner</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38616-2025</t>
        </is>
      </c>
      <c r="B3059" s="1" t="n">
        <v>45884.54922453704</v>
      </c>
      <c r="C3059" s="1" t="n">
        <v>45971</v>
      </c>
      <c r="D3059" t="inlineStr">
        <is>
          <t>VÄSTERBOTTENS LÄN</t>
        </is>
      </c>
      <c r="E3059" t="inlineStr">
        <is>
          <t>ÅSELE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52393-2023</t>
        </is>
      </c>
      <c r="B3060" s="1" t="n">
        <v>45224.96391203703</v>
      </c>
      <c r="C3060" s="1" t="n">
        <v>45971</v>
      </c>
      <c r="D3060" t="inlineStr">
        <is>
          <t>VÄSTERBOTTENS LÄN</t>
        </is>
      </c>
      <c r="E3060" t="inlineStr">
        <is>
          <t>DOROTEA</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61630-2020</t>
        </is>
      </c>
      <c r="B3061" s="1" t="n">
        <v>44158</v>
      </c>
      <c r="C3061" s="1" t="n">
        <v>45971</v>
      </c>
      <c r="D3061" t="inlineStr">
        <is>
          <t>VÄSTERBOTTENS LÄN</t>
        </is>
      </c>
      <c r="E3061" t="inlineStr">
        <is>
          <t>LYCKSELE</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955-2024</t>
        </is>
      </c>
      <c r="B3062" s="1" t="n">
        <v>45301</v>
      </c>
      <c r="C3062" s="1" t="n">
        <v>45971</v>
      </c>
      <c r="D3062" t="inlineStr">
        <is>
          <t>VÄSTERBOTTENS LÄN</t>
        </is>
      </c>
      <c r="E3062" t="inlineStr">
        <is>
          <t>UMEÅ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38360-2025</t>
        </is>
      </c>
      <c r="B3063" s="1" t="n">
        <v>45883.53290509259</v>
      </c>
      <c r="C3063" s="1" t="n">
        <v>45971</v>
      </c>
      <c r="D3063" t="inlineStr">
        <is>
          <t>VÄSTERBOTTENS LÄN</t>
        </is>
      </c>
      <c r="E3063" t="inlineStr">
        <is>
          <t>VILHELMINA</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57107-2023</t>
        </is>
      </c>
      <c r="B3064" s="1" t="n">
        <v>45239</v>
      </c>
      <c r="C3064" s="1" t="n">
        <v>45971</v>
      </c>
      <c r="D3064" t="inlineStr">
        <is>
          <t>VÄSTERBOTTENS LÄN</t>
        </is>
      </c>
      <c r="E3064" t="inlineStr">
        <is>
          <t>STORUMAN</t>
        </is>
      </c>
      <c r="G3064" t="n">
        <v>29.9</v>
      </c>
      <c r="H3064" t="n">
        <v>0</v>
      </c>
      <c r="I3064" t="n">
        <v>0</v>
      </c>
      <c r="J3064" t="n">
        <v>0</v>
      </c>
      <c r="K3064" t="n">
        <v>0</v>
      </c>
      <c r="L3064" t="n">
        <v>0</v>
      </c>
      <c r="M3064" t="n">
        <v>0</v>
      </c>
      <c r="N3064" t="n">
        <v>0</v>
      </c>
      <c r="O3064" t="n">
        <v>0</v>
      </c>
      <c r="P3064" t="n">
        <v>0</v>
      </c>
      <c r="Q3064" t="n">
        <v>0</v>
      </c>
      <c r="R3064" s="2" t="inlineStr"/>
    </row>
    <row r="3065" ht="15" customHeight="1">
      <c r="A3065" t="inlineStr">
        <is>
          <t>A 38367-2025</t>
        </is>
      </c>
      <c r="B3065" s="1" t="n">
        <v>45883.55422453704</v>
      </c>
      <c r="C3065" s="1" t="n">
        <v>45971</v>
      </c>
      <c r="D3065" t="inlineStr">
        <is>
          <t>VÄSTERBOTTENS LÄN</t>
        </is>
      </c>
      <c r="E3065" t="inlineStr">
        <is>
          <t>NORDMALING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38384-2025</t>
        </is>
      </c>
      <c r="B3066" s="1" t="n">
        <v>45883</v>
      </c>
      <c r="C3066" s="1" t="n">
        <v>45971</v>
      </c>
      <c r="D3066" t="inlineStr">
        <is>
          <t>VÄSTERBOTTENS LÄN</t>
        </is>
      </c>
      <c r="E3066" t="inlineStr">
        <is>
          <t>VILHELMINA</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38387-2025</t>
        </is>
      </c>
      <c r="B3067" s="1" t="n">
        <v>45883.57451388889</v>
      </c>
      <c r="C3067" s="1" t="n">
        <v>45971</v>
      </c>
      <c r="D3067" t="inlineStr">
        <is>
          <t>VÄSTERBOTTENS LÄN</t>
        </is>
      </c>
      <c r="E3067" t="inlineStr">
        <is>
          <t>VILHELMINA</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38418-2025</t>
        </is>
      </c>
      <c r="B3068" s="1" t="n">
        <v>45883.61994212963</v>
      </c>
      <c r="C3068" s="1" t="n">
        <v>45971</v>
      </c>
      <c r="D3068" t="inlineStr">
        <is>
          <t>VÄSTERBOTTENS LÄN</t>
        </is>
      </c>
      <c r="E3068" t="inlineStr">
        <is>
          <t>ÅSELE</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38424-2025</t>
        </is>
      </c>
      <c r="B3069" s="1" t="n">
        <v>45883.63340277778</v>
      </c>
      <c r="C3069" s="1" t="n">
        <v>45971</v>
      </c>
      <c r="D3069" t="inlineStr">
        <is>
          <t>VÄSTERBOTTENS LÄN</t>
        </is>
      </c>
      <c r="E3069" t="inlineStr">
        <is>
          <t>UMEÅ</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38445-2025</t>
        </is>
      </c>
      <c r="B3070" s="1" t="n">
        <v>45883.65679398148</v>
      </c>
      <c r="C3070" s="1" t="n">
        <v>45971</v>
      </c>
      <c r="D3070" t="inlineStr">
        <is>
          <t>VÄSTERBOTTENS LÄN</t>
        </is>
      </c>
      <c r="E3070" t="inlineStr">
        <is>
          <t>NORDMALING</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38451-2025</t>
        </is>
      </c>
      <c r="B3071" s="1" t="n">
        <v>45883.67800925926</v>
      </c>
      <c r="C3071" s="1" t="n">
        <v>45971</v>
      </c>
      <c r="D3071" t="inlineStr">
        <is>
          <t>VÄSTERBOTTENS LÄN</t>
        </is>
      </c>
      <c r="E3071" t="inlineStr">
        <is>
          <t>ÅSELE</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38452-2025</t>
        </is>
      </c>
      <c r="B3072" s="1" t="n">
        <v>45883.67813657408</v>
      </c>
      <c r="C3072" s="1" t="n">
        <v>45971</v>
      </c>
      <c r="D3072" t="inlineStr">
        <is>
          <t>VÄSTERBOTTENS LÄN</t>
        </is>
      </c>
      <c r="E3072" t="inlineStr">
        <is>
          <t>ÅSELE</t>
        </is>
      </c>
      <c r="F3072" t="inlineStr">
        <is>
          <t>SCA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38454-2025</t>
        </is>
      </c>
      <c r="B3073" s="1" t="n">
        <v>45883.67839120371</v>
      </c>
      <c r="C3073" s="1" t="n">
        <v>45971</v>
      </c>
      <c r="D3073" t="inlineStr">
        <is>
          <t>VÄSTERBOTTENS LÄN</t>
        </is>
      </c>
      <c r="E3073" t="inlineStr">
        <is>
          <t>VILHELMINA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15607-2025</t>
        </is>
      </c>
      <c r="B3074" s="1" t="n">
        <v>45747</v>
      </c>
      <c r="C3074" s="1" t="n">
        <v>45971</v>
      </c>
      <c r="D3074" t="inlineStr">
        <is>
          <t>VÄSTERBOTTENS LÄN</t>
        </is>
      </c>
      <c r="E3074" t="inlineStr">
        <is>
          <t>SORSELE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15620-2025</t>
        </is>
      </c>
      <c r="B3075" s="1" t="n">
        <v>45747</v>
      </c>
      <c r="C3075" s="1" t="n">
        <v>45971</v>
      </c>
      <c r="D3075" t="inlineStr">
        <is>
          <t>VÄSTERBOTTENS LÄN</t>
        </is>
      </c>
      <c r="E3075" t="inlineStr">
        <is>
          <t>STORUMAN</t>
        </is>
      </c>
      <c r="G3075" t="n">
        <v>15.2</v>
      </c>
      <c r="H3075" t="n">
        <v>0</v>
      </c>
      <c r="I3075" t="n">
        <v>0</v>
      </c>
      <c r="J3075" t="n">
        <v>0</v>
      </c>
      <c r="K3075" t="n">
        <v>0</v>
      </c>
      <c r="L3075" t="n">
        <v>0</v>
      </c>
      <c r="M3075" t="n">
        <v>0</v>
      </c>
      <c r="N3075" t="n">
        <v>0</v>
      </c>
      <c r="O3075" t="n">
        <v>0</v>
      </c>
      <c r="P3075" t="n">
        <v>0</v>
      </c>
      <c r="Q3075" t="n">
        <v>0</v>
      </c>
      <c r="R3075" s="2" t="inlineStr"/>
    </row>
    <row r="3076" ht="15" customHeight="1">
      <c r="A3076" t="inlineStr">
        <is>
          <t>A 15674-2025</t>
        </is>
      </c>
      <c r="B3076" s="1" t="n">
        <v>45748.44657407407</v>
      </c>
      <c r="C3076" s="1" t="n">
        <v>45971</v>
      </c>
      <c r="D3076" t="inlineStr">
        <is>
          <t>VÄSTERBOTTENS LÄN</t>
        </is>
      </c>
      <c r="E3076" t="inlineStr">
        <is>
          <t>VÄNNÄS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24586-2022</t>
        </is>
      </c>
      <c r="B3077" s="1" t="n">
        <v>44727.45271990741</v>
      </c>
      <c r="C3077" s="1" t="n">
        <v>45971</v>
      </c>
      <c r="D3077" t="inlineStr">
        <is>
          <t>VÄSTERBOTTENS LÄN</t>
        </is>
      </c>
      <c r="E3077" t="inlineStr">
        <is>
          <t>UMEÅ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27477-2023</t>
        </is>
      </c>
      <c r="B3078" s="1" t="n">
        <v>45097</v>
      </c>
      <c r="C3078" s="1" t="n">
        <v>45971</v>
      </c>
      <c r="D3078" t="inlineStr">
        <is>
          <t>VÄSTERBOTTENS LÄN</t>
        </is>
      </c>
      <c r="E3078" t="inlineStr">
        <is>
          <t>DOROTEA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53986-2022</t>
        </is>
      </c>
      <c r="B3079" s="1" t="n">
        <v>44881.35148148148</v>
      </c>
      <c r="C3079" s="1" t="n">
        <v>45971</v>
      </c>
      <c r="D3079" t="inlineStr">
        <is>
          <t>VÄSTERBOTTENS LÄN</t>
        </is>
      </c>
      <c r="E3079" t="inlineStr">
        <is>
          <t>NORDMALING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711-2023</t>
        </is>
      </c>
      <c r="B3080" s="1" t="n">
        <v>44930.92725694444</v>
      </c>
      <c r="C3080" s="1" t="n">
        <v>45971</v>
      </c>
      <c r="D3080" t="inlineStr">
        <is>
          <t>VÄSTERBOTTENS LÄN</t>
        </is>
      </c>
      <c r="E3080" t="inlineStr">
        <is>
          <t>DOROTEA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3947-2023</t>
        </is>
      </c>
      <c r="B3081" s="1" t="n">
        <v>44952</v>
      </c>
      <c r="C3081" s="1" t="n">
        <v>45971</v>
      </c>
      <c r="D3081" t="inlineStr">
        <is>
          <t>VÄSTERBOTTENS LÄN</t>
        </is>
      </c>
      <c r="E3081" t="inlineStr">
        <is>
          <t>LYCKSELE</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569-2025</t>
        </is>
      </c>
      <c r="B3082" s="1" t="n">
        <v>45660</v>
      </c>
      <c r="C3082" s="1" t="n">
        <v>45971</v>
      </c>
      <c r="D3082" t="inlineStr">
        <is>
          <t>VÄSTERBOTTENS LÄN</t>
        </is>
      </c>
      <c r="E3082" t="inlineStr">
        <is>
          <t>SORSELE</t>
        </is>
      </c>
      <c r="G3082" t="n">
        <v>20.6</v>
      </c>
      <c r="H3082" t="n">
        <v>0</v>
      </c>
      <c r="I3082" t="n">
        <v>0</v>
      </c>
      <c r="J3082" t="n">
        <v>0</v>
      </c>
      <c r="K3082" t="n">
        <v>0</v>
      </c>
      <c r="L3082" t="n">
        <v>0</v>
      </c>
      <c r="M3082" t="n">
        <v>0</v>
      </c>
      <c r="N3082" t="n">
        <v>0</v>
      </c>
      <c r="O3082" t="n">
        <v>0</v>
      </c>
      <c r="P3082" t="n">
        <v>0</v>
      </c>
      <c r="Q3082" t="n">
        <v>0</v>
      </c>
      <c r="R3082" s="2" t="inlineStr"/>
    </row>
    <row r="3083" ht="15" customHeight="1">
      <c r="A3083" t="inlineStr">
        <is>
          <t>A 31183-2023</t>
        </is>
      </c>
      <c r="B3083" s="1" t="n">
        <v>45113.94913194444</v>
      </c>
      <c r="C3083" s="1" t="n">
        <v>45971</v>
      </c>
      <c r="D3083" t="inlineStr">
        <is>
          <t>VÄSTERBOTTENS LÄN</t>
        </is>
      </c>
      <c r="E3083" t="inlineStr">
        <is>
          <t>ÅSELE</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31205-2023</t>
        </is>
      </c>
      <c r="B3084" s="1" t="n">
        <v>45113</v>
      </c>
      <c r="C3084" s="1" t="n">
        <v>45971</v>
      </c>
      <c r="D3084" t="inlineStr">
        <is>
          <t>VÄSTERBOTTENS LÄN</t>
        </is>
      </c>
      <c r="E3084" t="inlineStr">
        <is>
          <t>BJURHOLM</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27698-2021</t>
        </is>
      </c>
      <c r="B3085" s="1" t="n">
        <v>44354.44306712963</v>
      </c>
      <c r="C3085" s="1" t="n">
        <v>45971</v>
      </c>
      <c r="D3085" t="inlineStr">
        <is>
          <t>VÄSTERBOTTENS LÄN</t>
        </is>
      </c>
      <c r="E3085" t="inlineStr">
        <is>
          <t>SKELLEFTEÅ</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47799-2023</t>
        </is>
      </c>
      <c r="B3086" s="1" t="n">
        <v>45203</v>
      </c>
      <c r="C3086" s="1" t="n">
        <v>45971</v>
      </c>
      <c r="D3086" t="inlineStr">
        <is>
          <t>VÄSTERBOTTENS LÄN</t>
        </is>
      </c>
      <c r="E3086" t="inlineStr">
        <is>
          <t>MALÅ</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38449-2025</t>
        </is>
      </c>
      <c r="B3087" s="1" t="n">
        <v>45883.67765046296</v>
      </c>
      <c r="C3087" s="1" t="n">
        <v>45971</v>
      </c>
      <c r="D3087" t="inlineStr">
        <is>
          <t>VÄSTERBOTTENS LÄN</t>
        </is>
      </c>
      <c r="E3087" t="inlineStr">
        <is>
          <t>ÅSELE</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38458-2025</t>
        </is>
      </c>
      <c r="B3088" s="1" t="n">
        <v>45883.71289351852</v>
      </c>
      <c r="C3088" s="1" t="n">
        <v>45971</v>
      </c>
      <c r="D3088" t="inlineStr">
        <is>
          <t>VÄSTERBOTTENS LÄN</t>
        </is>
      </c>
      <c r="E3088" t="inlineStr">
        <is>
          <t>SKELLEFTEÅ</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58581-2022</t>
        </is>
      </c>
      <c r="B3089" s="1" t="n">
        <v>44902</v>
      </c>
      <c r="C3089" s="1" t="n">
        <v>45971</v>
      </c>
      <c r="D3089" t="inlineStr">
        <is>
          <t>VÄSTERBOTTENS LÄN</t>
        </is>
      </c>
      <c r="E3089" t="inlineStr">
        <is>
          <t>VINDELN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42109-2022</t>
        </is>
      </c>
      <c r="B3090" s="1" t="n">
        <v>44827</v>
      </c>
      <c r="C3090" s="1" t="n">
        <v>45971</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23823-2024</t>
        </is>
      </c>
      <c r="B3091" s="1" t="n">
        <v>45455</v>
      </c>
      <c r="C3091" s="1" t="n">
        <v>45971</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33753-2021</t>
        </is>
      </c>
      <c r="B3092" s="1" t="n">
        <v>44378.49517361111</v>
      </c>
      <c r="C3092" s="1" t="n">
        <v>45971</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12043-2025</t>
        </is>
      </c>
      <c r="B3093" s="1" t="n">
        <v>45728.65733796296</v>
      </c>
      <c r="C3093" s="1" t="n">
        <v>45971</v>
      </c>
      <c r="D3093" t="inlineStr">
        <is>
          <t>VÄSTERBOTTENS LÄN</t>
        </is>
      </c>
      <c r="E3093" t="inlineStr">
        <is>
          <t>SORSELE</t>
        </is>
      </c>
      <c r="F3093" t="inlineStr">
        <is>
          <t>SCA</t>
        </is>
      </c>
      <c r="G3093" t="n">
        <v>13.2</v>
      </c>
      <c r="H3093" t="n">
        <v>0</v>
      </c>
      <c r="I3093" t="n">
        <v>0</v>
      </c>
      <c r="J3093" t="n">
        <v>0</v>
      </c>
      <c r="K3093" t="n">
        <v>0</v>
      </c>
      <c r="L3093" t="n">
        <v>0</v>
      </c>
      <c r="M3093" t="n">
        <v>0</v>
      </c>
      <c r="N3093" t="n">
        <v>0</v>
      </c>
      <c r="O3093" t="n">
        <v>0</v>
      </c>
      <c r="P3093" t="n">
        <v>0</v>
      </c>
      <c r="Q3093" t="n">
        <v>0</v>
      </c>
      <c r="R3093" s="2" t="inlineStr"/>
    </row>
    <row r="3094" ht="15" customHeight="1">
      <c r="A3094" t="inlineStr">
        <is>
          <t>A 12090-2025</t>
        </is>
      </c>
      <c r="B3094" s="1" t="n">
        <v>45729.30722222223</v>
      </c>
      <c r="C3094" s="1" t="n">
        <v>45971</v>
      </c>
      <c r="D3094" t="inlineStr">
        <is>
          <t>VÄSTERBOTTENS LÄN</t>
        </is>
      </c>
      <c r="E3094" t="inlineStr">
        <is>
          <t>SKELLEFTEÅ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23126-2022</t>
        </is>
      </c>
      <c r="B3095" s="1" t="n">
        <v>44719</v>
      </c>
      <c r="C3095" s="1" t="n">
        <v>45971</v>
      </c>
      <c r="D3095" t="inlineStr">
        <is>
          <t>VÄSTERBOTTENS LÄN</t>
        </is>
      </c>
      <c r="E3095" t="inlineStr">
        <is>
          <t>SORSELE</t>
        </is>
      </c>
      <c r="G3095" t="n">
        <v>20.7</v>
      </c>
      <c r="H3095" t="n">
        <v>0</v>
      </c>
      <c r="I3095" t="n">
        <v>0</v>
      </c>
      <c r="J3095" t="n">
        <v>0</v>
      </c>
      <c r="K3095" t="n">
        <v>0</v>
      </c>
      <c r="L3095" t="n">
        <v>0</v>
      </c>
      <c r="M3095" t="n">
        <v>0</v>
      </c>
      <c r="N3095" t="n">
        <v>0</v>
      </c>
      <c r="O3095" t="n">
        <v>0</v>
      </c>
      <c r="P3095" t="n">
        <v>0</v>
      </c>
      <c r="Q3095" t="n">
        <v>0</v>
      </c>
      <c r="R3095" s="2" t="inlineStr"/>
    </row>
    <row r="3096" ht="15" customHeight="1">
      <c r="A3096" t="inlineStr">
        <is>
          <t>A 9827-2023</t>
        </is>
      </c>
      <c r="B3096" s="1" t="n">
        <v>44978</v>
      </c>
      <c r="C3096" s="1" t="n">
        <v>45971</v>
      </c>
      <c r="D3096" t="inlineStr">
        <is>
          <t>VÄSTERBOTTENS LÄN</t>
        </is>
      </c>
      <c r="E3096" t="inlineStr">
        <is>
          <t>SORSELE</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1498-2024</t>
        </is>
      </c>
      <c r="B3097" s="1" t="n">
        <v>45306</v>
      </c>
      <c r="C3097" s="1" t="n">
        <v>45971</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9531-2023</t>
        </is>
      </c>
      <c r="B3098" s="1" t="n">
        <v>44981</v>
      </c>
      <c r="C3098" s="1" t="n">
        <v>45971</v>
      </c>
      <c r="D3098" t="inlineStr">
        <is>
          <t>VÄSTERBOTTENS LÄN</t>
        </is>
      </c>
      <c r="E3098" t="inlineStr">
        <is>
          <t>UMEÅ</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45114-2021</t>
        </is>
      </c>
      <c r="B3099" s="1" t="n">
        <v>44439</v>
      </c>
      <c r="C3099" s="1" t="n">
        <v>45971</v>
      </c>
      <c r="D3099" t="inlineStr">
        <is>
          <t>VÄSTERBOTTENS LÄN</t>
        </is>
      </c>
      <c r="E3099" t="inlineStr">
        <is>
          <t>MALÅ</t>
        </is>
      </c>
      <c r="F3099" t="inlineStr">
        <is>
          <t>Sveaskog</t>
        </is>
      </c>
      <c r="G3099" t="n">
        <v>48.3</v>
      </c>
      <c r="H3099" t="n">
        <v>0</v>
      </c>
      <c r="I3099" t="n">
        <v>0</v>
      </c>
      <c r="J3099" t="n">
        <v>0</v>
      </c>
      <c r="K3099" t="n">
        <v>0</v>
      </c>
      <c r="L3099" t="n">
        <v>0</v>
      </c>
      <c r="M3099" t="n">
        <v>0</v>
      </c>
      <c r="N3099" t="n">
        <v>0</v>
      </c>
      <c r="O3099" t="n">
        <v>0</v>
      </c>
      <c r="P3099" t="n">
        <v>0</v>
      </c>
      <c r="Q3099" t="n">
        <v>0</v>
      </c>
      <c r="R3099" s="2" t="inlineStr"/>
    </row>
    <row r="3100" ht="15" customHeight="1">
      <c r="A3100" t="inlineStr">
        <is>
          <t>A 2632-2023</t>
        </is>
      </c>
      <c r="B3100" s="1" t="n">
        <v>44944</v>
      </c>
      <c r="C3100" s="1" t="n">
        <v>45971</v>
      </c>
      <c r="D3100" t="inlineStr">
        <is>
          <t>VÄSTERBOTTENS LÄN</t>
        </is>
      </c>
      <c r="E3100" t="inlineStr">
        <is>
          <t>UMEÅ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2634-2023</t>
        </is>
      </c>
      <c r="B3101" s="1" t="n">
        <v>44944.4013425926</v>
      </c>
      <c r="C3101" s="1" t="n">
        <v>45971</v>
      </c>
      <c r="D3101" t="inlineStr">
        <is>
          <t>VÄSTERBOTTENS LÄN</t>
        </is>
      </c>
      <c r="E3101" t="inlineStr">
        <is>
          <t>UMEÅ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72692-2021</t>
        </is>
      </c>
      <c r="B3102" s="1" t="n">
        <v>44545</v>
      </c>
      <c r="C3102" s="1" t="n">
        <v>45971</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38222-2025</t>
        </is>
      </c>
      <c r="B3103" s="1" t="n">
        <v>45883.34452546296</v>
      </c>
      <c r="C3103" s="1" t="n">
        <v>45971</v>
      </c>
      <c r="D3103" t="inlineStr">
        <is>
          <t>VÄSTERBOTTENS LÄN</t>
        </is>
      </c>
      <c r="E3103" t="inlineStr">
        <is>
          <t>ÅSELE</t>
        </is>
      </c>
      <c r="F3103" t="inlineStr">
        <is>
          <t>SCA</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5678-2025</t>
        </is>
      </c>
      <c r="B3104" s="1" t="n">
        <v>45694</v>
      </c>
      <c r="C3104" s="1" t="n">
        <v>45971</v>
      </c>
      <c r="D3104" t="inlineStr">
        <is>
          <t>VÄSTERBOTTENS LÄN</t>
        </is>
      </c>
      <c r="E3104" t="inlineStr">
        <is>
          <t>UMEÅ</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37819-2022</t>
        </is>
      </c>
      <c r="B3105" s="1" t="n">
        <v>44810</v>
      </c>
      <c r="C3105" s="1" t="n">
        <v>45971</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37822-2025</t>
        </is>
      </c>
      <c r="B3106" s="1" t="n">
        <v>45881.40665509259</v>
      </c>
      <c r="C3106" s="1" t="n">
        <v>45971</v>
      </c>
      <c r="D3106" t="inlineStr">
        <is>
          <t>VÄSTERBOTTENS LÄN</t>
        </is>
      </c>
      <c r="E3106" t="inlineStr">
        <is>
          <t>ÅSELE</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37849-2025</t>
        </is>
      </c>
      <c r="B3107" s="1" t="n">
        <v>45881.44828703703</v>
      </c>
      <c r="C3107" s="1" t="n">
        <v>45971</v>
      </c>
      <c r="D3107" t="inlineStr">
        <is>
          <t>VÄSTERBOTTENS LÄN</t>
        </is>
      </c>
      <c r="E3107" t="inlineStr">
        <is>
          <t>ÅSELE</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41441-2024</t>
        </is>
      </c>
      <c r="B3108" s="1" t="n">
        <v>45560.38535879629</v>
      </c>
      <c r="C3108" s="1" t="n">
        <v>45971</v>
      </c>
      <c r="D3108" t="inlineStr">
        <is>
          <t>VÄSTERBOTTENS LÄN</t>
        </is>
      </c>
      <c r="E3108" t="inlineStr">
        <is>
          <t>VINDELN</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41242-2024</t>
        </is>
      </c>
      <c r="B3109" s="1" t="n">
        <v>45559.57296296296</v>
      </c>
      <c r="C3109" s="1" t="n">
        <v>45971</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8887-2025</t>
        </is>
      </c>
      <c r="B3110" s="1" t="n">
        <v>45713.39284722223</v>
      </c>
      <c r="C3110" s="1" t="n">
        <v>45971</v>
      </c>
      <c r="D3110" t="inlineStr">
        <is>
          <t>VÄSTERBOTTENS LÄN</t>
        </is>
      </c>
      <c r="E3110" t="inlineStr">
        <is>
          <t>SKELLEFTEÅ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38325-2025</t>
        </is>
      </c>
      <c r="B3111" s="1" t="n">
        <v>45883.49055555555</v>
      </c>
      <c r="C3111" s="1" t="n">
        <v>45971</v>
      </c>
      <c r="D3111" t="inlineStr">
        <is>
          <t>VÄSTERBOTTENS LÄN</t>
        </is>
      </c>
      <c r="E3111" t="inlineStr">
        <is>
          <t>LYCKSELE</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33521-2021</t>
        </is>
      </c>
      <c r="B3112" s="1" t="n">
        <v>44377</v>
      </c>
      <c r="C3112" s="1" t="n">
        <v>45971</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34488-2021</t>
        </is>
      </c>
      <c r="B3113" s="1" t="n">
        <v>44382.3005787037</v>
      </c>
      <c r="C3113" s="1" t="n">
        <v>45971</v>
      </c>
      <c r="D3113" t="inlineStr">
        <is>
          <t>VÄSTERBOTTENS LÄN</t>
        </is>
      </c>
      <c r="E3113" t="inlineStr">
        <is>
          <t>UMEÅ</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38556-2025</t>
        </is>
      </c>
      <c r="B3114" s="1" t="n">
        <v>45884.44443287037</v>
      </c>
      <c r="C3114" s="1" t="n">
        <v>45971</v>
      </c>
      <c r="D3114" t="inlineStr">
        <is>
          <t>VÄSTERBOTTENS LÄN</t>
        </is>
      </c>
      <c r="E3114" t="inlineStr">
        <is>
          <t>NORSJÖ</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8927-2025</t>
        </is>
      </c>
      <c r="B3115" s="1" t="n">
        <v>45713.44215277778</v>
      </c>
      <c r="C3115" s="1" t="n">
        <v>45971</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8935-2025</t>
        </is>
      </c>
      <c r="B3116" s="1" t="n">
        <v>45713.44832175926</v>
      </c>
      <c r="C3116" s="1" t="n">
        <v>45971</v>
      </c>
      <c r="D3116" t="inlineStr">
        <is>
          <t>VÄSTERBOTTENS LÄN</t>
        </is>
      </c>
      <c r="E3116" t="inlineStr">
        <is>
          <t>VÄNNÄS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60757-2024</t>
        </is>
      </c>
      <c r="B3117" s="1" t="n">
        <v>45642</v>
      </c>
      <c r="C3117" s="1" t="n">
        <v>45971</v>
      </c>
      <c r="D3117" t="inlineStr">
        <is>
          <t>VÄSTERBOTTENS LÄN</t>
        </is>
      </c>
      <c r="E3117" t="inlineStr">
        <is>
          <t>DOROTEA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21066-2021</t>
        </is>
      </c>
      <c r="B3118" s="1" t="n">
        <v>44319</v>
      </c>
      <c r="C3118" s="1" t="n">
        <v>45971</v>
      </c>
      <c r="D3118" t="inlineStr">
        <is>
          <t>VÄSTERBOTTENS LÄN</t>
        </is>
      </c>
      <c r="E3118" t="inlineStr">
        <is>
          <t>SKELLEFTEÅ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59793-2023</t>
        </is>
      </c>
      <c r="B3119" s="1" t="n">
        <v>45257.4577199074</v>
      </c>
      <c r="C3119" s="1" t="n">
        <v>45971</v>
      </c>
      <c r="D3119" t="inlineStr">
        <is>
          <t>VÄSTERBOTTENS LÄN</t>
        </is>
      </c>
      <c r="E3119" t="inlineStr">
        <is>
          <t>SKELLEFTEÅ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59272-2022</t>
        </is>
      </c>
      <c r="B3120" s="1" t="n">
        <v>44904.59792824074</v>
      </c>
      <c r="C3120" s="1" t="n">
        <v>45971</v>
      </c>
      <c r="D3120" t="inlineStr">
        <is>
          <t>VÄSTERBOTTENS LÄN</t>
        </is>
      </c>
      <c r="E3120" t="inlineStr">
        <is>
          <t>LYCKSELE</t>
        </is>
      </c>
      <c r="F3120" t="inlineStr">
        <is>
          <t>Sveaskog</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12763-2024</t>
        </is>
      </c>
      <c r="B3121" s="1" t="n">
        <v>45384</v>
      </c>
      <c r="C3121" s="1" t="n">
        <v>45971</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57471-2024</t>
        </is>
      </c>
      <c r="B3122" s="1" t="n">
        <v>45630.34428240741</v>
      </c>
      <c r="C3122" s="1" t="n">
        <v>45971</v>
      </c>
      <c r="D3122" t="inlineStr">
        <is>
          <t>VÄSTERBOTTENS LÄN</t>
        </is>
      </c>
      <c r="E3122" t="inlineStr">
        <is>
          <t>LYCKSELE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51478-2023</t>
        </is>
      </c>
      <c r="B3123" s="1" t="n">
        <v>45221.89737268518</v>
      </c>
      <c r="C3123" s="1" t="n">
        <v>45971</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19233-2023</t>
        </is>
      </c>
      <c r="B3124" s="1" t="n">
        <v>45048.92655092593</v>
      </c>
      <c r="C3124" s="1" t="n">
        <v>45971</v>
      </c>
      <c r="D3124" t="inlineStr">
        <is>
          <t>VÄSTERBOTTENS LÄN</t>
        </is>
      </c>
      <c r="E3124" t="inlineStr">
        <is>
          <t>LYCKSELE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38430-2025</t>
        </is>
      </c>
      <c r="B3125" s="1" t="n">
        <v>45883.6364699074</v>
      </c>
      <c r="C3125" s="1" t="n">
        <v>45971</v>
      </c>
      <c r="D3125" t="inlineStr">
        <is>
          <t>VÄSTERBOTTENS LÄN</t>
        </is>
      </c>
      <c r="E3125" t="inlineStr">
        <is>
          <t>VILHELMINA</t>
        </is>
      </c>
      <c r="G3125" t="n">
        <v>36.7</v>
      </c>
      <c r="H3125" t="n">
        <v>0</v>
      </c>
      <c r="I3125" t="n">
        <v>0</v>
      </c>
      <c r="J3125" t="n">
        <v>0</v>
      </c>
      <c r="K3125" t="n">
        <v>0</v>
      </c>
      <c r="L3125" t="n">
        <v>0</v>
      </c>
      <c r="M3125" t="n">
        <v>0</v>
      </c>
      <c r="N3125" t="n">
        <v>0</v>
      </c>
      <c r="O3125" t="n">
        <v>0</v>
      </c>
      <c r="P3125" t="n">
        <v>0</v>
      </c>
      <c r="Q3125" t="n">
        <v>0</v>
      </c>
      <c r="R3125" s="2" t="inlineStr"/>
    </row>
    <row r="3126" ht="15" customHeight="1">
      <c r="A3126" t="inlineStr">
        <is>
          <t>A 40434-2023</t>
        </is>
      </c>
      <c r="B3126" s="1" t="n">
        <v>45169.94084490741</v>
      </c>
      <c r="C3126" s="1" t="n">
        <v>45971</v>
      </c>
      <c r="D3126" t="inlineStr">
        <is>
          <t>VÄSTERBOTTENS LÄN</t>
        </is>
      </c>
      <c r="E3126" t="inlineStr">
        <is>
          <t>DOROTEA</t>
        </is>
      </c>
      <c r="F3126" t="inlineStr">
        <is>
          <t>SCA</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12857-2024</t>
        </is>
      </c>
      <c r="B3127" s="1" t="n">
        <v>45384</v>
      </c>
      <c r="C3127" s="1" t="n">
        <v>45971</v>
      </c>
      <c r="D3127" t="inlineStr">
        <is>
          <t>VÄSTERBOTTENS LÄN</t>
        </is>
      </c>
      <c r="E3127" t="inlineStr">
        <is>
          <t>MALÅ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13330-2024</t>
        </is>
      </c>
      <c r="B3128" s="1" t="n">
        <v>45386.89378472222</v>
      </c>
      <c r="C3128" s="1" t="n">
        <v>45971</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24457-2024</t>
        </is>
      </c>
      <c r="B3129" s="1" t="n">
        <v>45457.96708333334</v>
      </c>
      <c r="C3129" s="1" t="n">
        <v>45971</v>
      </c>
      <c r="D3129" t="inlineStr">
        <is>
          <t>VÄSTERBOTTENS LÄN</t>
        </is>
      </c>
      <c r="E3129" t="inlineStr">
        <is>
          <t>VILHELMINA</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53505-2024</t>
        </is>
      </c>
      <c r="B3130" s="1" t="n">
        <v>45614.59049768518</v>
      </c>
      <c r="C3130" s="1" t="n">
        <v>45971</v>
      </c>
      <c r="D3130" t="inlineStr">
        <is>
          <t>VÄSTERBOTTENS LÄN</t>
        </is>
      </c>
      <c r="E3130" t="inlineStr">
        <is>
          <t>SKELLEFTEÅ</t>
        </is>
      </c>
      <c r="F3130" t="inlineStr">
        <is>
          <t>Holmen skog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38490-2025</t>
        </is>
      </c>
      <c r="B3131" s="1" t="n">
        <v>45884.34648148148</v>
      </c>
      <c r="C3131" s="1" t="n">
        <v>45971</v>
      </c>
      <c r="D3131" t="inlineStr">
        <is>
          <t>VÄSTERBOTTENS LÄN</t>
        </is>
      </c>
      <c r="E3131" t="inlineStr">
        <is>
          <t>NORDMALING</t>
        </is>
      </c>
      <c r="F3131" t="inlineStr">
        <is>
          <t>Naturvårdsverket</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40493-2023</t>
        </is>
      </c>
      <c r="B3132" s="1" t="n">
        <v>45170</v>
      </c>
      <c r="C3132" s="1" t="n">
        <v>45971</v>
      </c>
      <c r="D3132" t="inlineStr">
        <is>
          <t>VÄSTERBOTTENS LÄN</t>
        </is>
      </c>
      <c r="E3132" t="inlineStr">
        <is>
          <t>NORSJÖ</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24467-2024</t>
        </is>
      </c>
      <c r="B3133" s="1" t="n">
        <v>45458.29769675926</v>
      </c>
      <c r="C3133" s="1" t="n">
        <v>45971</v>
      </c>
      <c r="D3133" t="inlineStr">
        <is>
          <t>VÄSTERBOTTENS LÄN</t>
        </is>
      </c>
      <c r="E3133" t="inlineStr">
        <is>
          <t>ROBERTSFORS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13313-2023</t>
        </is>
      </c>
      <c r="B3134" s="1" t="n">
        <v>45005</v>
      </c>
      <c r="C3134" s="1" t="n">
        <v>45971</v>
      </c>
      <c r="D3134" t="inlineStr">
        <is>
          <t>VÄSTERBOTTENS LÄN</t>
        </is>
      </c>
      <c r="E3134" t="inlineStr">
        <is>
          <t>VINDELN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23544-2024</t>
        </is>
      </c>
      <c r="B3135" s="1" t="n">
        <v>45453.95314814815</v>
      </c>
      <c r="C3135" s="1" t="n">
        <v>45971</v>
      </c>
      <c r="D3135" t="inlineStr">
        <is>
          <t>VÄSTERBOTTENS LÄN</t>
        </is>
      </c>
      <c r="E3135" t="inlineStr">
        <is>
          <t>VILHELMINA</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23545-2024</t>
        </is>
      </c>
      <c r="B3136" s="1" t="n">
        <v>45453.95326388889</v>
      </c>
      <c r="C3136" s="1" t="n">
        <v>45971</v>
      </c>
      <c r="D3136" t="inlineStr">
        <is>
          <t>VÄSTERBOTTENS LÄN</t>
        </is>
      </c>
      <c r="E3136" t="inlineStr">
        <is>
          <t>VILHELMINA</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23562-2024</t>
        </is>
      </c>
      <c r="B3137" s="1" t="n">
        <v>45453</v>
      </c>
      <c r="C3137" s="1" t="n">
        <v>45971</v>
      </c>
      <c r="D3137" t="inlineStr">
        <is>
          <t>VÄSTERBOTTENS LÄN</t>
        </is>
      </c>
      <c r="E3137" t="inlineStr">
        <is>
          <t>VINDELN</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6706-2021</t>
        </is>
      </c>
      <c r="B3138" s="1" t="n">
        <v>44235</v>
      </c>
      <c r="C3138" s="1" t="n">
        <v>45971</v>
      </c>
      <c r="D3138" t="inlineStr">
        <is>
          <t>VÄSTERBOTTENS LÄN</t>
        </is>
      </c>
      <c r="E3138" t="inlineStr">
        <is>
          <t>VILHELMINA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53606-2024</t>
        </is>
      </c>
      <c r="B3139" s="1" t="n">
        <v>45614</v>
      </c>
      <c r="C3139" s="1" t="n">
        <v>45971</v>
      </c>
      <c r="D3139" t="inlineStr">
        <is>
          <t>VÄSTERBOTTENS LÄN</t>
        </is>
      </c>
      <c r="E3139" t="inlineStr">
        <is>
          <t>VILHELMINA</t>
        </is>
      </c>
      <c r="F3139" t="inlineStr">
        <is>
          <t>SCA</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10496-2025</t>
        </is>
      </c>
      <c r="B3140" s="1" t="n">
        <v>45721.36486111111</v>
      </c>
      <c r="C3140" s="1" t="n">
        <v>45971</v>
      </c>
      <c r="D3140" t="inlineStr">
        <is>
          <t>VÄSTERBOTTENS LÄN</t>
        </is>
      </c>
      <c r="E3140" t="inlineStr">
        <is>
          <t>DOROTEA</t>
        </is>
      </c>
      <c r="F3140" t="inlineStr">
        <is>
          <t>SCA</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38500-2025</t>
        </is>
      </c>
      <c r="B3141" s="1" t="n">
        <v>45884.37513888889</v>
      </c>
      <c r="C3141" s="1" t="n">
        <v>45971</v>
      </c>
      <c r="D3141" t="inlineStr">
        <is>
          <t>VÄSTERBOTTENS LÄN</t>
        </is>
      </c>
      <c r="E3141" t="inlineStr">
        <is>
          <t>SKELLEFTEÅ</t>
        </is>
      </c>
      <c r="F3141" t="inlineStr">
        <is>
          <t>Holmen skog AB</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22672-2021</t>
        </is>
      </c>
      <c r="B3142" s="1" t="n">
        <v>44322</v>
      </c>
      <c r="C3142" s="1" t="n">
        <v>45971</v>
      </c>
      <c r="D3142" t="inlineStr">
        <is>
          <t>VÄSTERBOTTENS LÄN</t>
        </is>
      </c>
      <c r="E3142" t="inlineStr">
        <is>
          <t>SORSELE</t>
        </is>
      </c>
      <c r="F3142" t="inlineStr">
        <is>
          <t>Allmännings- och besparingsskogar</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42331-2021</t>
        </is>
      </c>
      <c r="B3143" s="1" t="n">
        <v>44427</v>
      </c>
      <c r="C3143" s="1" t="n">
        <v>45971</v>
      </c>
      <c r="D3143" t="inlineStr">
        <is>
          <t>VÄSTERBOTTENS LÄN</t>
        </is>
      </c>
      <c r="E3143" t="inlineStr">
        <is>
          <t>STORUMAN</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42352-2021</t>
        </is>
      </c>
      <c r="B3144" s="1" t="n">
        <v>44427</v>
      </c>
      <c r="C3144" s="1" t="n">
        <v>45971</v>
      </c>
      <c r="D3144" t="inlineStr">
        <is>
          <t>VÄSTERBOTTENS LÄN</t>
        </is>
      </c>
      <c r="E3144" t="inlineStr">
        <is>
          <t>UMEÅ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2683-2023</t>
        </is>
      </c>
      <c r="B3145" s="1" t="n">
        <v>44942</v>
      </c>
      <c r="C3145" s="1" t="n">
        <v>45971</v>
      </c>
      <c r="D3145" t="inlineStr">
        <is>
          <t>VÄSTERBOTTENS LÄN</t>
        </is>
      </c>
      <c r="E3145" t="inlineStr">
        <is>
          <t>DOROTEA</t>
        </is>
      </c>
      <c r="G3145" t="n">
        <v>22.7</v>
      </c>
      <c r="H3145" t="n">
        <v>0</v>
      </c>
      <c r="I3145" t="n">
        <v>0</v>
      </c>
      <c r="J3145" t="n">
        <v>0</v>
      </c>
      <c r="K3145" t="n">
        <v>0</v>
      </c>
      <c r="L3145" t="n">
        <v>0</v>
      </c>
      <c r="M3145" t="n">
        <v>0</v>
      </c>
      <c r="N3145" t="n">
        <v>0</v>
      </c>
      <c r="O3145" t="n">
        <v>0</v>
      </c>
      <c r="P3145" t="n">
        <v>0</v>
      </c>
      <c r="Q3145" t="n">
        <v>0</v>
      </c>
      <c r="R3145" s="2" t="inlineStr"/>
    </row>
    <row r="3146" ht="15" customHeight="1">
      <c r="A3146" t="inlineStr">
        <is>
          <t>A 11437-2025</t>
        </is>
      </c>
      <c r="B3146" s="1" t="n">
        <v>45726.61538194444</v>
      </c>
      <c r="C3146" s="1" t="n">
        <v>45971</v>
      </c>
      <c r="D3146" t="inlineStr">
        <is>
          <t>VÄSTERBOTTENS LÄN</t>
        </is>
      </c>
      <c r="E3146" t="inlineStr">
        <is>
          <t>BJURHOLM</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5470-2023</t>
        </is>
      </c>
      <c r="B3147" s="1" t="n">
        <v>44960</v>
      </c>
      <c r="C3147" s="1" t="n">
        <v>45971</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61937-2020</t>
        </is>
      </c>
      <c r="B3148" s="1" t="n">
        <v>44155</v>
      </c>
      <c r="C3148" s="1" t="n">
        <v>45971</v>
      </c>
      <c r="D3148" t="inlineStr">
        <is>
          <t>VÄSTERBOTTENS LÄN</t>
        </is>
      </c>
      <c r="E3148" t="inlineStr">
        <is>
          <t>SKELLEFTEÅ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16570-2023</t>
        </is>
      </c>
      <c r="B3149" s="1" t="n">
        <v>45029.94212962963</v>
      </c>
      <c r="C3149" s="1" t="n">
        <v>45971</v>
      </c>
      <c r="D3149" t="inlineStr">
        <is>
          <t>VÄSTERBOTTENS LÄN</t>
        </is>
      </c>
      <c r="E3149" t="inlineStr">
        <is>
          <t>ÅSELE</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10568-2024</t>
        </is>
      </c>
      <c r="B3150" s="1" t="n">
        <v>45366</v>
      </c>
      <c r="C3150" s="1" t="n">
        <v>45971</v>
      </c>
      <c r="D3150" t="inlineStr">
        <is>
          <t>VÄSTERBOTTENS LÄN</t>
        </is>
      </c>
      <c r="E3150" t="inlineStr">
        <is>
          <t>UMEÅ</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33764-2024</t>
        </is>
      </c>
      <c r="B3151" s="1" t="n">
        <v>45520.57090277778</v>
      </c>
      <c r="C3151" s="1" t="n">
        <v>45971</v>
      </c>
      <c r="D3151" t="inlineStr">
        <is>
          <t>VÄSTERBOTTENS LÄN</t>
        </is>
      </c>
      <c r="E3151" t="inlineStr">
        <is>
          <t>VINDELN</t>
        </is>
      </c>
      <c r="F3151" t="inlineStr">
        <is>
          <t>Sveaskog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33786-2024</t>
        </is>
      </c>
      <c r="B3152" s="1" t="n">
        <v>45520.58966435185</v>
      </c>
      <c r="C3152" s="1" t="n">
        <v>45971</v>
      </c>
      <c r="D3152" t="inlineStr">
        <is>
          <t>VÄSTERBOTTENS LÄN</t>
        </is>
      </c>
      <c r="E3152" t="inlineStr">
        <is>
          <t>VILHELMINA</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33792-2024</t>
        </is>
      </c>
      <c r="B3153" s="1" t="n">
        <v>45520</v>
      </c>
      <c r="C3153" s="1" t="n">
        <v>45971</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9740-2023</t>
        </is>
      </c>
      <c r="B3154" s="1" t="n">
        <v>44978</v>
      </c>
      <c r="C3154" s="1" t="n">
        <v>45971</v>
      </c>
      <c r="D3154" t="inlineStr">
        <is>
          <t>VÄSTERBOTTENS LÄN</t>
        </is>
      </c>
      <c r="E3154" t="inlineStr">
        <is>
          <t>SKELLEFTEÅ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20011-2024</t>
        </is>
      </c>
      <c r="B3155" s="1" t="n">
        <v>45433.94342592593</v>
      </c>
      <c r="C3155" s="1" t="n">
        <v>45971</v>
      </c>
      <c r="D3155" t="inlineStr">
        <is>
          <t>VÄSTERBOTTENS LÄN</t>
        </is>
      </c>
      <c r="E3155" t="inlineStr">
        <is>
          <t>BJURHOLM</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22852-2023</t>
        </is>
      </c>
      <c r="B3156" s="1" t="n">
        <v>45072.47021990741</v>
      </c>
      <c r="C3156" s="1" t="n">
        <v>45971</v>
      </c>
      <c r="D3156" t="inlineStr">
        <is>
          <t>VÄSTERBOTTENS LÄN</t>
        </is>
      </c>
      <c r="E3156" t="inlineStr">
        <is>
          <t>BJURHOLM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38566-2025</t>
        </is>
      </c>
      <c r="B3157" s="1" t="n">
        <v>45884.45541666666</v>
      </c>
      <c r="C3157" s="1" t="n">
        <v>45971</v>
      </c>
      <c r="D3157" t="inlineStr">
        <is>
          <t>VÄSTERBOTTENS LÄN</t>
        </is>
      </c>
      <c r="E3157" t="inlineStr">
        <is>
          <t>VÄNNÄS</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38580-2025</t>
        </is>
      </c>
      <c r="B3158" s="1" t="n">
        <v>45884.46951388889</v>
      </c>
      <c r="C3158" s="1" t="n">
        <v>45971</v>
      </c>
      <c r="D3158" t="inlineStr">
        <is>
          <t>VÄSTERBOTTENS LÄN</t>
        </is>
      </c>
      <c r="E3158" t="inlineStr">
        <is>
          <t>VILHELMINA</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38586-2025</t>
        </is>
      </c>
      <c r="B3159" s="1" t="n">
        <v>45884.47202546296</v>
      </c>
      <c r="C3159" s="1" t="n">
        <v>45971</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43735-2021</t>
        </is>
      </c>
      <c r="B3160" s="1" t="n">
        <v>44433</v>
      </c>
      <c r="C3160" s="1" t="n">
        <v>45971</v>
      </c>
      <c r="D3160" t="inlineStr">
        <is>
          <t>VÄSTERBOTTENS LÄN</t>
        </is>
      </c>
      <c r="E3160" t="inlineStr">
        <is>
          <t>NORDMALING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15183-2024</t>
        </is>
      </c>
      <c r="B3161" s="1" t="n">
        <v>45400</v>
      </c>
      <c r="C3161" s="1" t="n">
        <v>45971</v>
      </c>
      <c r="D3161" t="inlineStr">
        <is>
          <t>VÄSTERBOTTENS LÄN</t>
        </is>
      </c>
      <c r="E3161" t="inlineStr">
        <is>
          <t>SORSELE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27504-2022</t>
        </is>
      </c>
      <c r="B3162" s="1" t="n">
        <v>44742</v>
      </c>
      <c r="C3162" s="1" t="n">
        <v>45971</v>
      </c>
      <c r="D3162" t="inlineStr">
        <is>
          <t>VÄSTERBOTTENS LÄN</t>
        </is>
      </c>
      <c r="E3162" t="inlineStr">
        <is>
          <t>NORDMALING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50582-2024</t>
        </is>
      </c>
      <c r="B3163" s="1" t="n">
        <v>45600</v>
      </c>
      <c r="C3163" s="1" t="n">
        <v>45971</v>
      </c>
      <c r="D3163" t="inlineStr">
        <is>
          <t>VÄSTERBOTTENS LÄN</t>
        </is>
      </c>
      <c r="E3163" t="inlineStr">
        <is>
          <t>DOROTEA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14407-2024</t>
        </is>
      </c>
      <c r="B3164" s="1" t="n">
        <v>45394</v>
      </c>
      <c r="C3164" s="1" t="n">
        <v>45971</v>
      </c>
      <c r="D3164" t="inlineStr">
        <is>
          <t>VÄSTERBOTTENS LÄN</t>
        </is>
      </c>
      <c r="E3164" t="inlineStr">
        <is>
          <t>BJURHOLM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14431-2024</t>
        </is>
      </c>
      <c r="B3165" s="1" t="n">
        <v>45394</v>
      </c>
      <c r="C3165" s="1" t="n">
        <v>45971</v>
      </c>
      <c r="D3165" t="inlineStr">
        <is>
          <t>VÄSTERBOTTENS LÄN</t>
        </is>
      </c>
      <c r="E3165" t="inlineStr">
        <is>
          <t>NORDMALING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13758-2024</t>
        </is>
      </c>
      <c r="B3166" s="1" t="n">
        <v>45390.92747685185</v>
      </c>
      <c r="C3166" s="1" t="n">
        <v>45971</v>
      </c>
      <c r="D3166" t="inlineStr">
        <is>
          <t>VÄSTERBOTTENS LÄN</t>
        </is>
      </c>
      <c r="E3166" t="inlineStr">
        <is>
          <t>VÄNNÄS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27555-2022</t>
        </is>
      </c>
      <c r="B3167" s="1" t="n">
        <v>44742.92666666667</v>
      </c>
      <c r="C3167" s="1" t="n">
        <v>45971</v>
      </c>
      <c r="D3167" t="inlineStr">
        <is>
          <t>VÄSTERBOTTENS LÄN</t>
        </is>
      </c>
      <c r="E3167" t="inlineStr">
        <is>
          <t>SKELLEFTEÅ</t>
        </is>
      </c>
      <c r="F3167" t="inlineStr">
        <is>
          <t>Kommuner</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60702-2024</t>
        </is>
      </c>
      <c r="B3168" s="1" t="n">
        <v>45642</v>
      </c>
      <c r="C3168" s="1" t="n">
        <v>45971</v>
      </c>
      <c r="D3168" t="inlineStr">
        <is>
          <t>VÄSTERBOTTENS LÄN</t>
        </is>
      </c>
      <c r="E3168" t="inlineStr">
        <is>
          <t>MALÅ</t>
        </is>
      </c>
      <c r="F3168" t="inlineStr">
        <is>
          <t>Sveaskog</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36214-2023</t>
        </is>
      </c>
      <c r="B3169" s="1" t="n">
        <v>45149.95256944445</v>
      </c>
      <c r="C3169" s="1" t="n">
        <v>45971</v>
      </c>
      <c r="D3169" t="inlineStr">
        <is>
          <t>VÄSTERBOTTENS LÄN</t>
        </is>
      </c>
      <c r="E3169" t="inlineStr">
        <is>
          <t>VILHELMINA</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48620-2024</t>
        </is>
      </c>
      <c r="B3170" s="1" t="n">
        <v>45593</v>
      </c>
      <c r="C3170" s="1" t="n">
        <v>45971</v>
      </c>
      <c r="D3170" t="inlineStr">
        <is>
          <t>VÄSTERBOTTENS LÄN</t>
        </is>
      </c>
      <c r="E3170" t="inlineStr">
        <is>
          <t>SKELLEFTEÅ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47434-2023</t>
        </is>
      </c>
      <c r="B3171" s="1" t="n">
        <v>45197</v>
      </c>
      <c r="C3171" s="1" t="n">
        <v>45971</v>
      </c>
      <c r="D3171" t="inlineStr">
        <is>
          <t>VÄSTERBOTTENS LÄN</t>
        </is>
      </c>
      <c r="E3171" t="inlineStr">
        <is>
          <t>MALÅ</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46818-2023</t>
        </is>
      </c>
      <c r="B3172" s="1" t="n">
        <v>45198</v>
      </c>
      <c r="C3172" s="1" t="n">
        <v>45971</v>
      </c>
      <c r="D3172" t="inlineStr">
        <is>
          <t>VÄSTERBOTTENS LÄN</t>
        </is>
      </c>
      <c r="E3172" t="inlineStr">
        <is>
          <t>DOROTEA</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46826-2023</t>
        </is>
      </c>
      <c r="B3173" s="1" t="n">
        <v>45198.93778935185</v>
      </c>
      <c r="C3173" s="1" t="n">
        <v>45971</v>
      </c>
      <c r="D3173" t="inlineStr">
        <is>
          <t>VÄSTERBOTTENS LÄN</t>
        </is>
      </c>
      <c r="E3173" t="inlineStr">
        <is>
          <t>LYCKSELE</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38347-2025</t>
        </is>
      </c>
      <c r="B3174" s="1" t="n">
        <v>45883.51207175926</v>
      </c>
      <c r="C3174" s="1" t="n">
        <v>45971</v>
      </c>
      <c r="D3174" t="inlineStr">
        <is>
          <t>VÄSTERBOTTENS LÄN</t>
        </is>
      </c>
      <c r="E3174" t="inlineStr">
        <is>
          <t>LYCKSELE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12314-2021</t>
        </is>
      </c>
      <c r="B3175" s="1" t="n">
        <v>44266</v>
      </c>
      <c r="C3175" s="1" t="n">
        <v>45971</v>
      </c>
      <c r="D3175" t="inlineStr">
        <is>
          <t>VÄSTERBOTTENS LÄN</t>
        </is>
      </c>
      <c r="E3175" t="inlineStr">
        <is>
          <t>STORUMAN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36706-2023</t>
        </is>
      </c>
      <c r="B3176" s="1" t="n">
        <v>45152</v>
      </c>
      <c r="C3176" s="1" t="n">
        <v>45971</v>
      </c>
      <c r="D3176" t="inlineStr">
        <is>
          <t>VÄSTERBOTTENS LÄN</t>
        </is>
      </c>
      <c r="E3176" t="inlineStr">
        <is>
          <t>MALÅ</t>
        </is>
      </c>
      <c r="G3176" t="n">
        <v>41.7</v>
      </c>
      <c r="H3176" t="n">
        <v>0</v>
      </c>
      <c r="I3176" t="n">
        <v>0</v>
      </c>
      <c r="J3176" t="n">
        <v>0</v>
      </c>
      <c r="K3176" t="n">
        <v>0</v>
      </c>
      <c r="L3176" t="n">
        <v>0</v>
      </c>
      <c r="M3176" t="n">
        <v>0</v>
      </c>
      <c r="N3176" t="n">
        <v>0</v>
      </c>
      <c r="O3176" t="n">
        <v>0</v>
      </c>
      <c r="P3176" t="n">
        <v>0</v>
      </c>
      <c r="Q3176" t="n">
        <v>0</v>
      </c>
      <c r="R3176" s="2" t="inlineStr"/>
    </row>
    <row r="3177" ht="15" customHeight="1">
      <c r="A3177" t="inlineStr">
        <is>
          <t>A 38679-2025</t>
        </is>
      </c>
      <c r="B3177" s="1" t="n">
        <v>45884.64471064815</v>
      </c>
      <c r="C3177" s="1" t="n">
        <v>45971</v>
      </c>
      <c r="D3177" t="inlineStr">
        <is>
          <t>VÄSTERBOTTENS LÄN</t>
        </is>
      </c>
      <c r="E3177" t="inlineStr">
        <is>
          <t>VINDELN</t>
        </is>
      </c>
      <c r="F3177" t="inlineStr">
        <is>
          <t>Naturvårdsverket</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55032-2021</t>
        </is>
      </c>
      <c r="B3178" s="1" t="n">
        <v>44474.5962037037</v>
      </c>
      <c r="C3178" s="1" t="n">
        <v>45971</v>
      </c>
      <c r="D3178" t="inlineStr">
        <is>
          <t>VÄSTERBOTTENS LÄN</t>
        </is>
      </c>
      <c r="E3178" t="inlineStr">
        <is>
          <t>SKELLEFTEÅ</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41749-2024</t>
        </is>
      </c>
      <c r="B3179" s="1" t="n">
        <v>45561.3359375</v>
      </c>
      <c r="C3179" s="1" t="n">
        <v>45971</v>
      </c>
      <c r="D3179" t="inlineStr">
        <is>
          <t>VÄSTERBOTTENS LÄN</t>
        </is>
      </c>
      <c r="E3179" t="inlineStr">
        <is>
          <t>LYCKSELE</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44217-2023</t>
        </is>
      </c>
      <c r="B3180" s="1" t="n">
        <v>45183</v>
      </c>
      <c r="C3180" s="1" t="n">
        <v>45971</v>
      </c>
      <c r="D3180" t="inlineStr">
        <is>
          <t>VÄSTERBOTTENS LÄN</t>
        </is>
      </c>
      <c r="E3180" t="inlineStr">
        <is>
          <t>STORUMAN</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13004-2023</t>
        </is>
      </c>
      <c r="B3181" s="1" t="n">
        <v>45002</v>
      </c>
      <c r="C3181" s="1" t="n">
        <v>45971</v>
      </c>
      <c r="D3181" t="inlineStr">
        <is>
          <t>VÄSTERBOTTENS LÄN</t>
        </is>
      </c>
      <c r="E3181" t="inlineStr">
        <is>
          <t>MALÅ</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15116-2025</t>
        </is>
      </c>
      <c r="B3182" s="1" t="n">
        <v>45744.36479166667</v>
      </c>
      <c r="C3182" s="1" t="n">
        <v>45971</v>
      </c>
      <c r="D3182" t="inlineStr">
        <is>
          <t>VÄSTERBOTTENS LÄN</t>
        </is>
      </c>
      <c r="E3182" t="inlineStr">
        <is>
          <t>SKELLEFTEÅ</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1006-2023</t>
        </is>
      </c>
      <c r="B3183" s="1" t="n">
        <v>44935</v>
      </c>
      <c r="C3183" s="1" t="n">
        <v>45971</v>
      </c>
      <c r="D3183" t="inlineStr">
        <is>
          <t>VÄSTERBOTTENS LÄN</t>
        </is>
      </c>
      <c r="E3183" t="inlineStr">
        <is>
          <t>VÄNNÄS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28869-2024</t>
        </is>
      </c>
      <c r="B3184" s="1" t="n">
        <v>45478.94722222222</v>
      </c>
      <c r="C3184" s="1" t="n">
        <v>45971</v>
      </c>
      <c r="D3184" t="inlineStr">
        <is>
          <t>VÄSTERBOTTENS LÄN</t>
        </is>
      </c>
      <c r="E3184" t="inlineStr">
        <is>
          <t>VILHELMINA</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31402-2023</t>
        </is>
      </c>
      <c r="B3185" s="1" t="n">
        <v>45114</v>
      </c>
      <c r="C3185" s="1" t="n">
        <v>45971</v>
      </c>
      <c r="D3185" t="inlineStr">
        <is>
          <t>VÄSTERBOTTENS LÄN</t>
        </is>
      </c>
      <c r="E3185" t="inlineStr">
        <is>
          <t>VINDELN</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31413-2023</t>
        </is>
      </c>
      <c r="B3186" s="1" t="n">
        <v>45114.58961805556</v>
      </c>
      <c r="C3186" s="1" t="n">
        <v>45971</v>
      </c>
      <c r="D3186" t="inlineStr">
        <is>
          <t>VÄSTERBOTTENS LÄN</t>
        </is>
      </c>
      <c r="E3186" t="inlineStr">
        <is>
          <t>LYCKSELE</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31421-2023</t>
        </is>
      </c>
      <c r="B3187" s="1" t="n">
        <v>45114.60027777778</v>
      </c>
      <c r="C3187" s="1" t="n">
        <v>45971</v>
      </c>
      <c r="D3187" t="inlineStr">
        <is>
          <t>VÄSTERBOTTENS LÄN</t>
        </is>
      </c>
      <c r="E3187" t="inlineStr">
        <is>
          <t>VÄNNÄS</t>
        </is>
      </c>
      <c r="F3187" t="inlineStr">
        <is>
          <t>Holmen skog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38935-2024</t>
        </is>
      </c>
      <c r="B3188" s="1" t="n">
        <v>45548.3350462963</v>
      </c>
      <c r="C3188" s="1" t="n">
        <v>45971</v>
      </c>
      <c r="D3188" t="inlineStr">
        <is>
          <t>VÄSTERBOTTENS LÄN</t>
        </is>
      </c>
      <c r="E3188" t="inlineStr">
        <is>
          <t>SKELLEFTEÅ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38948-2024</t>
        </is>
      </c>
      <c r="B3189" s="1" t="n">
        <v>45548.34556712963</v>
      </c>
      <c r="C3189" s="1" t="n">
        <v>45971</v>
      </c>
      <c r="D3189" t="inlineStr">
        <is>
          <t>VÄSTERBOTTENS LÄN</t>
        </is>
      </c>
      <c r="E3189" t="inlineStr">
        <is>
          <t>SORSELE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38426-2025</t>
        </is>
      </c>
      <c r="B3190" s="1" t="n">
        <v>45883.63590277778</v>
      </c>
      <c r="C3190" s="1" t="n">
        <v>45971</v>
      </c>
      <c r="D3190" t="inlineStr">
        <is>
          <t>VÄSTERBOTTENS LÄN</t>
        </is>
      </c>
      <c r="E3190" t="inlineStr">
        <is>
          <t>BJURHOLM</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38427-2025</t>
        </is>
      </c>
      <c r="B3191" s="1" t="n">
        <v>45883.63611111111</v>
      </c>
      <c r="C3191" s="1" t="n">
        <v>45971</v>
      </c>
      <c r="D3191" t="inlineStr">
        <is>
          <t>VÄSTERBOTTENS LÄN</t>
        </is>
      </c>
      <c r="E3191" t="inlineStr">
        <is>
          <t>VILHELMINA</t>
        </is>
      </c>
      <c r="F3191" t="inlineStr">
        <is>
          <t>SCA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38429-2025</t>
        </is>
      </c>
      <c r="B3192" s="1" t="n">
        <v>45883.63638888889</v>
      </c>
      <c r="C3192" s="1" t="n">
        <v>45971</v>
      </c>
      <c r="D3192" t="inlineStr">
        <is>
          <t>VÄSTERBOTTENS LÄN</t>
        </is>
      </c>
      <c r="E3192" t="inlineStr">
        <is>
          <t>VILHELMINA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38444-2025</t>
        </is>
      </c>
      <c r="B3193" s="1" t="n">
        <v>45883.65666666667</v>
      </c>
      <c r="C3193" s="1" t="n">
        <v>45971</v>
      </c>
      <c r="D3193" t="inlineStr">
        <is>
          <t>VÄSTERBOTTENS LÄN</t>
        </is>
      </c>
      <c r="E3193" t="inlineStr">
        <is>
          <t>BJURHOLM</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33120-2023</t>
        </is>
      </c>
      <c r="B3194" s="1" t="n">
        <v>45114</v>
      </c>
      <c r="C3194" s="1" t="n">
        <v>45971</v>
      </c>
      <c r="D3194" t="inlineStr">
        <is>
          <t>VÄSTERBOTTENS LÄN</t>
        </is>
      </c>
      <c r="E3194" t="inlineStr">
        <is>
          <t>VINDELN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45345-2024</t>
        </is>
      </c>
      <c r="B3195" s="1" t="n">
        <v>45576.4734375</v>
      </c>
      <c r="C3195" s="1" t="n">
        <v>45971</v>
      </c>
      <c r="D3195" t="inlineStr">
        <is>
          <t>VÄSTERBOTTENS LÄN</t>
        </is>
      </c>
      <c r="E3195" t="inlineStr">
        <is>
          <t>VINDELN</t>
        </is>
      </c>
      <c r="F3195" t="inlineStr">
        <is>
          <t>Holmen skog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45359-2024</t>
        </is>
      </c>
      <c r="B3196" s="1" t="n">
        <v>45576.48241898148</v>
      </c>
      <c r="C3196" s="1" t="n">
        <v>45971</v>
      </c>
      <c r="D3196" t="inlineStr">
        <is>
          <t>VÄSTERBOTTENS LÄN</t>
        </is>
      </c>
      <c r="E3196" t="inlineStr">
        <is>
          <t>UMEÅ</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3018-2023</t>
        </is>
      </c>
      <c r="B3197" s="1" t="n">
        <v>44945.92484953703</v>
      </c>
      <c r="C3197" s="1" t="n">
        <v>45971</v>
      </c>
      <c r="D3197" t="inlineStr">
        <is>
          <t>VÄSTERBOTTENS LÄN</t>
        </is>
      </c>
      <c r="E3197" t="inlineStr">
        <is>
          <t>ROBERTSFORS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38481-2025</t>
        </is>
      </c>
      <c r="B3198" s="1" t="n">
        <v>45884.33145833333</v>
      </c>
      <c r="C3198" s="1" t="n">
        <v>45971</v>
      </c>
      <c r="D3198" t="inlineStr">
        <is>
          <t>VÄSTERBOTTENS LÄN</t>
        </is>
      </c>
      <c r="E3198" t="inlineStr">
        <is>
          <t>SKELLEFTEÅ</t>
        </is>
      </c>
      <c r="F3198" t="inlineStr">
        <is>
          <t>Holmen skog AB</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4944-2023</t>
        </is>
      </c>
      <c r="B3199" s="1" t="n">
        <v>44958</v>
      </c>
      <c r="C3199" s="1" t="n">
        <v>45971</v>
      </c>
      <c r="D3199" t="inlineStr">
        <is>
          <t>VÄSTERBOTTENS LÄN</t>
        </is>
      </c>
      <c r="E3199" t="inlineStr">
        <is>
          <t>SORSELE</t>
        </is>
      </c>
      <c r="G3199" t="n">
        <v>29.8</v>
      </c>
      <c r="H3199" t="n">
        <v>0</v>
      </c>
      <c r="I3199" t="n">
        <v>0</v>
      </c>
      <c r="J3199" t="n">
        <v>0</v>
      </c>
      <c r="K3199" t="n">
        <v>0</v>
      </c>
      <c r="L3199" t="n">
        <v>0</v>
      </c>
      <c r="M3199" t="n">
        <v>0</v>
      </c>
      <c r="N3199" t="n">
        <v>0</v>
      </c>
      <c r="O3199" t="n">
        <v>0</v>
      </c>
      <c r="P3199" t="n">
        <v>0</v>
      </c>
      <c r="Q3199" t="n">
        <v>0</v>
      </c>
      <c r="R3199" s="2" t="inlineStr"/>
    </row>
    <row r="3200" ht="15" customHeight="1">
      <c r="A3200" t="inlineStr">
        <is>
          <t>A 73159-2021</t>
        </is>
      </c>
      <c r="B3200" s="1" t="n">
        <v>44550</v>
      </c>
      <c r="C3200" s="1" t="n">
        <v>45971</v>
      </c>
      <c r="D3200" t="inlineStr">
        <is>
          <t>VÄSTERBOTTENS LÄN</t>
        </is>
      </c>
      <c r="E3200" t="inlineStr">
        <is>
          <t>SKELLEFTEÅ</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5744-2023</t>
        </is>
      </c>
      <c r="B3201" s="1" t="n">
        <v>44962.86746527778</v>
      </c>
      <c r="C3201" s="1" t="n">
        <v>45971</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57379-2023</t>
        </is>
      </c>
      <c r="B3202" s="1" t="n">
        <v>45245.92914351852</v>
      </c>
      <c r="C3202" s="1" t="n">
        <v>45971</v>
      </c>
      <c r="D3202" t="inlineStr">
        <is>
          <t>VÄSTERBOTTENS LÄN</t>
        </is>
      </c>
      <c r="E3202" t="inlineStr">
        <is>
          <t>DOROTEA</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57388-2023</t>
        </is>
      </c>
      <c r="B3203" s="1" t="n">
        <v>45245</v>
      </c>
      <c r="C3203" s="1" t="n">
        <v>45971</v>
      </c>
      <c r="D3203" t="inlineStr">
        <is>
          <t>VÄSTERBOTTENS LÄN</t>
        </is>
      </c>
      <c r="E3203" t="inlineStr">
        <is>
          <t>NORDMALING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28113-2023</t>
        </is>
      </c>
      <c r="B3204" s="1" t="n">
        <v>45096</v>
      </c>
      <c r="C3204" s="1" t="n">
        <v>45971</v>
      </c>
      <c r="D3204" t="inlineStr">
        <is>
          <t>VÄSTERBOTTENS LÄN</t>
        </is>
      </c>
      <c r="E3204" t="inlineStr">
        <is>
          <t>SKELLEFTEÅ</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38690-2025</t>
        </is>
      </c>
      <c r="B3205" s="1" t="n">
        <v>45884.67143518518</v>
      </c>
      <c r="C3205" s="1" t="n">
        <v>45971</v>
      </c>
      <c r="D3205" t="inlineStr">
        <is>
          <t>VÄSTERBOTTENS LÄN</t>
        </is>
      </c>
      <c r="E3205" t="inlineStr">
        <is>
          <t>SKELLEFTEÅ</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37869-2025</t>
        </is>
      </c>
      <c r="B3206" s="1" t="n">
        <v>45881.47364583334</v>
      </c>
      <c r="C3206" s="1" t="n">
        <v>45971</v>
      </c>
      <c r="D3206" t="inlineStr">
        <is>
          <t>VÄSTERBOTTENS LÄN</t>
        </is>
      </c>
      <c r="E3206" t="inlineStr">
        <is>
          <t>ÅSELE</t>
        </is>
      </c>
      <c r="F3206" t="inlineStr">
        <is>
          <t>Kommuner</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45872-2024</t>
        </is>
      </c>
      <c r="B3207" s="1" t="n">
        <v>45580.37296296296</v>
      </c>
      <c r="C3207" s="1" t="n">
        <v>45971</v>
      </c>
      <c r="D3207" t="inlineStr">
        <is>
          <t>VÄSTERBOTTENS LÄN</t>
        </is>
      </c>
      <c r="E3207" t="inlineStr">
        <is>
          <t>UMEÅ</t>
        </is>
      </c>
      <c r="F3207" t="inlineStr">
        <is>
          <t>Holmen skog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61348-2022</t>
        </is>
      </c>
      <c r="B3208" s="1" t="n">
        <v>44915.69402777778</v>
      </c>
      <c r="C3208" s="1" t="n">
        <v>45971</v>
      </c>
      <c r="D3208" t="inlineStr">
        <is>
          <t>VÄSTERBOTTENS LÄN</t>
        </is>
      </c>
      <c r="E3208" t="inlineStr">
        <is>
          <t>SKELLEFTEÅ</t>
        </is>
      </c>
      <c r="F3208" t="inlineStr">
        <is>
          <t>Sveaskog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41353-2022</t>
        </is>
      </c>
      <c r="B3209" s="1" t="n">
        <v>44824</v>
      </c>
      <c r="C3209" s="1" t="n">
        <v>45971</v>
      </c>
      <c r="D3209" t="inlineStr">
        <is>
          <t>VÄSTERBOTTENS LÄN</t>
        </is>
      </c>
      <c r="E3209" t="inlineStr">
        <is>
          <t>DOROTEA</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25632-2023</t>
        </is>
      </c>
      <c r="B3210" s="1" t="n">
        <v>45084</v>
      </c>
      <c r="C3210" s="1" t="n">
        <v>45971</v>
      </c>
      <c r="D3210" t="inlineStr">
        <is>
          <t>VÄSTERBOTTENS LÄN</t>
        </is>
      </c>
      <c r="E3210" t="inlineStr">
        <is>
          <t>SKELLEFTEÅ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38530-2025</t>
        </is>
      </c>
      <c r="B3211" s="1" t="n">
        <v>45884.41150462963</v>
      </c>
      <c r="C3211" s="1" t="n">
        <v>45971</v>
      </c>
      <c r="D3211" t="inlineStr">
        <is>
          <t>VÄSTERBOTTENS LÄN</t>
        </is>
      </c>
      <c r="E3211" t="inlineStr">
        <is>
          <t>VINDELN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38540-2025</t>
        </is>
      </c>
      <c r="B3212" s="1" t="n">
        <v>45884.42768518518</v>
      </c>
      <c r="C3212" s="1" t="n">
        <v>45971</v>
      </c>
      <c r="D3212" t="inlineStr">
        <is>
          <t>VÄSTERBOTTENS LÄN</t>
        </is>
      </c>
      <c r="E3212" t="inlineStr">
        <is>
          <t>VILHELMINA</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38543-2025</t>
        </is>
      </c>
      <c r="B3213" s="1" t="n">
        <v>45884.42813657408</v>
      </c>
      <c r="C3213" s="1" t="n">
        <v>45971</v>
      </c>
      <c r="D3213" t="inlineStr">
        <is>
          <t>VÄSTERBOTTENS LÄN</t>
        </is>
      </c>
      <c r="E3213" t="inlineStr">
        <is>
          <t>VILHELMINA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58517-2023</t>
        </is>
      </c>
      <c r="B3214" s="1" t="n">
        <v>45251</v>
      </c>
      <c r="C3214" s="1" t="n">
        <v>45971</v>
      </c>
      <c r="D3214" t="inlineStr">
        <is>
          <t>VÄSTERBOTTENS LÄN</t>
        </is>
      </c>
      <c r="E3214" t="inlineStr">
        <is>
          <t>SKELLEFTEÅ</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58505-2024</t>
        </is>
      </c>
      <c r="B3215" s="1" t="n">
        <v>45635</v>
      </c>
      <c r="C3215" s="1" t="n">
        <v>45971</v>
      </c>
      <c r="D3215" t="inlineStr">
        <is>
          <t>VÄSTERBOTTENS LÄN</t>
        </is>
      </c>
      <c r="E3215" t="inlineStr">
        <is>
          <t>VILHELMINA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52679-2022</t>
        </is>
      </c>
      <c r="B3216" s="1" t="n">
        <v>44874</v>
      </c>
      <c r="C3216" s="1" t="n">
        <v>45971</v>
      </c>
      <c r="D3216" t="inlineStr">
        <is>
          <t>VÄSTERBOTTENS LÄN</t>
        </is>
      </c>
      <c r="E3216" t="inlineStr">
        <is>
          <t>UMEÅ</t>
        </is>
      </c>
      <c r="F3216" t="inlineStr">
        <is>
          <t>Sveaskog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38224-2025</t>
        </is>
      </c>
      <c r="B3217" s="1" t="n">
        <v>45883.34482638889</v>
      </c>
      <c r="C3217" s="1" t="n">
        <v>45971</v>
      </c>
      <c r="D3217" t="inlineStr">
        <is>
          <t>VÄSTERBOTTENS LÄN</t>
        </is>
      </c>
      <c r="E3217" t="inlineStr">
        <is>
          <t>ÅSELE</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38235-2025</t>
        </is>
      </c>
      <c r="B3218" s="1" t="n">
        <v>45883.36050925926</v>
      </c>
      <c r="C3218" s="1" t="n">
        <v>45971</v>
      </c>
      <c r="D3218" t="inlineStr">
        <is>
          <t>VÄSTERBOTTENS LÄN</t>
        </is>
      </c>
      <c r="E3218" t="inlineStr">
        <is>
          <t>UMEÅ</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38239-2025</t>
        </is>
      </c>
      <c r="B3219" s="1" t="n">
        <v>45883.36519675926</v>
      </c>
      <c r="C3219" s="1" t="n">
        <v>45971</v>
      </c>
      <c r="D3219" t="inlineStr">
        <is>
          <t>VÄSTERBOTTENS LÄN</t>
        </is>
      </c>
      <c r="E3219" t="inlineStr">
        <is>
          <t>DOROTEA</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38260-2025</t>
        </is>
      </c>
      <c r="B3220" s="1" t="n">
        <v>45883.39547453704</v>
      </c>
      <c r="C3220" s="1" t="n">
        <v>45971</v>
      </c>
      <c r="D3220" t="inlineStr">
        <is>
          <t>VÄSTERBOTTENS LÄN</t>
        </is>
      </c>
      <c r="E3220" t="inlineStr">
        <is>
          <t>NORDMALING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49433-2022</t>
        </is>
      </c>
      <c r="B3221" s="1" t="n">
        <v>44859</v>
      </c>
      <c r="C3221" s="1" t="n">
        <v>45971</v>
      </c>
      <c r="D3221" t="inlineStr">
        <is>
          <t>VÄSTERBOTTENS LÄN</t>
        </is>
      </c>
      <c r="E3221" t="inlineStr">
        <is>
          <t>SKELLEFTEÅ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4342-2023</t>
        </is>
      </c>
      <c r="B3222" s="1" t="n">
        <v>44953.97421296296</v>
      </c>
      <c r="C3222" s="1" t="n">
        <v>45971</v>
      </c>
      <c r="D3222" t="inlineStr">
        <is>
          <t>VÄSTERBOTTENS LÄN</t>
        </is>
      </c>
      <c r="E3222" t="inlineStr">
        <is>
          <t>ÅSELE</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23561-2024</t>
        </is>
      </c>
      <c r="B3223" s="1" t="n">
        <v>45453.95478009259</v>
      </c>
      <c r="C3223" s="1" t="n">
        <v>45971</v>
      </c>
      <c r="D3223" t="inlineStr">
        <is>
          <t>VÄSTERBOTTENS LÄN</t>
        </is>
      </c>
      <c r="E3223" t="inlineStr">
        <is>
          <t>VINDELN</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23566-2024</t>
        </is>
      </c>
      <c r="B3224" s="1" t="n">
        <v>45453.95530092593</v>
      </c>
      <c r="C3224" s="1" t="n">
        <v>45971</v>
      </c>
      <c r="D3224" t="inlineStr">
        <is>
          <t>VÄSTERBOTTENS LÄN</t>
        </is>
      </c>
      <c r="E3224" t="inlineStr">
        <is>
          <t>NORDMALING</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19765-2024</t>
        </is>
      </c>
      <c r="B3225" s="1" t="n">
        <v>45432.70289351852</v>
      </c>
      <c r="C3225" s="1" t="n">
        <v>45971</v>
      </c>
      <c r="D3225" t="inlineStr">
        <is>
          <t>VÄSTERBOTTENS LÄN</t>
        </is>
      </c>
      <c r="E3225" t="inlineStr">
        <is>
          <t>LYCKSELE</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19782-2024</t>
        </is>
      </c>
      <c r="B3226" s="1" t="n">
        <v>45432</v>
      </c>
      <c r="C3226" s="1" t="n">
        <v>45971</v>
      </c>
      <c r="D3226" t="inlineStr">
        <is>
          <t>VÄSTERBOTTENS LÄN</t>
        </is>
      </c>
      <c r="E3226" t="inlineStr">
        <is>
          <t>SKELLEFTEÅ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4490-2021</t>
        </is>
      </c>
      <c r="B3227" s="1" t="n">
        <v>44222</v>
      </c>
      <c r="C3227" s="1" t="n">
        <v>45971</v>
      </c>
      <c r="D3227" t="inlineStr">
        <is>
          <t>VÄSTERBOTTENS LÄN</t>
        </is>
      </c>
      <c r="E3227" t="inlineStr">
        <is>
          <t>SORSELE</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35839-2024</t>
        </is>
      </c>
      <c r="B3228" s="1" t="n">
        <v>45532.74556712963</v>
      </c>
      <c r="C3228" s="1" t="n">
        <v>45971</v>
      </c>
      <c r="D3228" t="inlineStr">
        <is>
          <t>VÄSTERBOTTENS LÄN</t>
        </is>
      </c>
      <c r="E3228" t="inlineStr">
        <is>
          <t>VINDELN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53320-2021</t>
        </is>
      </c>
      <c r="B3229" s="1" t="n">
        <v>44468.55635416666</v>
      </c>
      <c r="C3229" s="1" t="n">
        <v>45971</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37823-2025</t>
        </is>
      </c>
      <c r="B3230" s="1" t="n">
        <v>45881.40667824074</v>
      </c>
      <c r="C3230" s="1" t="n">
        <v>45971</v>
      </c>
      <c r="D3230" t="inlineStr">
        <is>
          <t>VÄSTERBOTTENS LÄN</t>
        </is>
      </c>
      <c r="E3230" t="inlineStr">
        <is>
          <t>LYCKSELE</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38216-2025</t>
        </is>
      </c>
      <c r="B3231" s="1" t="n">
        <v>45883.29847222222</v>
      </c>
      <c r="C3231" s="1" t="n">
        <v>45971</v>
      </c>
      <c r="D3231" t="inlineStr">
        <is>
          <t>VÄSTERBOTTENS LÄN</t>
        </is>
      </c>
      <c r="E3231" t="inlineStr">
        <is>
          <t>SKELLEFTEÅ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38227-2025</t>
        </is>
      </c>
      <c r="B3232" s="1" t="n">
        <v>45883.34537037037</v>
      </c>
      <c r="C3232" s="1" t="n">
        <v>45971</v>
      </c>
      <c r="D3232" t="inlineStr">
        <is>
          <t>VÄSTERBOTTENS LÄN</t>
        </is>
      </c>
      <c r="E3232" t="inlineStr">
        <is>
          <t>DOROTEA</t>
        </is>
      </c>
      <c r="F3232" t="inlineStr">
        <is>
          <t>SCA</t>
        </is>
      </c>
      <c r="G3232" t="n">
        <v>10.6</v>
      </c>
      <c r="H3232" t="n">
        <v>0</v>
      </c>
      <c r="I3232" t="n">
        <v>0</v>
      </c>
      <c r="J3232" t="n">
        <v>0</v>
      </c>
      <c r="K3232" t="n">
        <v>0</v>
      </c>
      <c r="L3232" t="n">
        <v>0</v>
      </c>
      <c r="M3232" t="n">
        <v>0</v>
      </c>
      <c r="N3232" t="n">
        <v>0</v>
      </c>
      <c r="O3232" t="n">
        <v>0</v>
      </c>
      <c r="P3232" t="n">
        <v>0</v>
      </c>
      <c r="Q3232" t="n">
        <v>0</v>
      </c>
      <c r="R3232" s="2" t="inlineStr"/>
    </row>
    <row r="3233" ht="15" customHeight="1">
      <c r="A3233" t="inlineStr">
        <is>
          <t>A 41100-2023</t>
        </is>
      </c>
      <c r="B3233" s="1" t="n">
        <v>45173.69394675926</v>
      </c>
      <c r="C3233" s="1" t="n">
        <v>45971</v>
      </c>
      <c r="D3233" t="inlineStr">
        <is>
          <t>VÄSTERBOTTENS LÄN</t>
        </is>
      </c>
      <c r="E3233" t="inlineStr">
        <is>
          <t>NORSJÖ</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41104-2023</t>
        </is>
      </c>
      <c r="B3234" s="1" t="n">
        <v>45170</v>
      </c>
      <c r="C3234" s="1" t="n">
        <v>45971</v>
      </c>
      <c r="D3234" t="inlineStr">
        <is>
          <t>VÄSTERBOTTENS LÄN</t>
        </is>
      </c>
      <c r="E3234" t="inlineStr">
        <is>
          <t>DOROTEA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41108-2023</t>
        </is>
      </c>
      <c r="B3235" s="1" t="n">
        <v>45170</v>
      </c>
      <c r="C3235" s="1" t="n">
        <v>45971</v>
      </c>
      <c r="D3235" t="inlineStr">
        <is>
          <t>VÄSTERBOTTENS LÄN</t>
        </is>
      </c>
      <c r="E3235" t="inlineStr">
        <is>
          <t>STORUMAN</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34768-2024</t>
        </is>
      </c>
      <c r="B3236" s="1" t="n">
        <v>45526</v>
      </c>
      <c r="C3236" s="1" t="n">
        <v>45971</v>
      </c>
      <c r="D3236" t="inlineStr">
        <is>
          <t>VÄSTERBOTTENS LÄN</t>
        </is>
      </c>
      <c r="E3236" t="inlineStr">
        <is>
          <t>DOROTEA</t>
        </is>
      </c>
      <c r="F3236" t="inlineStr">
        <is>
          <t>SCA</t>
        </is>
      </c>
      <c r="G3236" t="n">
        <v>28.1</v>
      </c>
      <c r="H3236" t="n">
        <v>0</v>
      </c>
      <c r="I3236" t="n">
        <v>0</v>
      </c>
      <c r="J3236" t="n">
        <v>0</v>
      </c>
      <c r="K3236" t="n">
        <v>0</v>
      </c>
      <c r="L3236" t="n">
        <v>0</v>
      </c>
      <c r="M3236" t="n">
        <v>0</v>
      </c>
      <c r="N3236" t="n">
        <v>0</v>
      </c>
      <c r="O3236" t="n">
        <v>0</v>
      </c>
      <c r="P3236" t="n">
        <v>0</v>
      </c>
      <c r="Q3236" t="n">
        <v>0</v>
      </c>
      <c r="R3236" s="2" t="inlineStr"/>
    </row>
    <row r="3237" ht="15" customHeight="1">
      <c r="A3237" t="inlineStr">
        <is>
          <t>A 34771-2024</t>
        </is>
      </c>
      <c r="B3237" s="1" t="n">
        <v>45526.62267361111</v>
      </c>
      <c r="C3237" s="1" t="n">
        <v>45971</v>
      </c>
      <c r="D3237" t="inlineStr">
        <is>
          <t>VÄSTERBOTTENS LÄN</t>
        </is>
      </c>
      <c r="E3237" t="inlineStr">
        <is>
          <t>ROBERTSFORS</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56563-2021</t>
        </is>
      </c>
      <c r="B3238" s="1" t="n">
        <v>44480</v>
      </c>
      <c r="C3238" s="1" t="n">
        <v>45971</v>
      </c>
      <c r="D3238" t="inlineStr">
        <is>
          <t>VÄSTERBOTTENS LÄN</t>
        </is>
      </c>
      <c r="E3238" t="inlineStr">
        <is>
          <t>UMEÅ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53363-2021</t>
        </is>
      </c>
      <c r="B3239" s="1" t="n">
        <v>44468</v>
      </c>
      <c r="C3239" s="1" t="n">
        <v>45971</v>
      </c>
      <c r="D3239" t="inlineStr">
        <is>
          <t>VÄSTERBOTTENS LÄN</t>
        </is>
      </c>
      <c r="E3239" t="inlineStr">
        <is>
          <t>SORSELE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62257-2023</t>
        </is>
      </c>
      <c r="B3240" s="1" t="n">
        <v>45267</v>
      </c>
      <c r="C3240" s="1" t="n">
        <v>45971</v>
      </c>
      <c r="D3240" t="inlineStr">
        <is>
          <t>VÄSTERBOTTENS LÄN</t>
        </is>
      </c>
      <c r="E3240" t="inlineStr">
        <is>
          <t>MALÅ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36164-2024</t>
        </is>
      </c>
      <c r="B3241" s="1" t="n">
        <v>45534.3956712963</v>
      </c>
      <c r="C3241" s="1" t="n">
        <v>45971</v>
      </c>
      <c r="D3241" t="inlineStr">
        <is>
          <t>VÄSTERBOTTENS LÄN</t>
        </is>
      </c>
      <c r="E3241" t="inlineStr">
        <is>
          <t>ÅSELE</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36168-2024</t>
        </is>
      </c>
      <c r="B3242" s="1" t="n">
        <v>45534.40083333333</v>
      </c>
      <c r="C3242" s="1" t="n">
        <v>45971</v>
      </c>
      <c r="D3242" t="inlineStr">
        <is>
          <t>VÄSTERBOTTENS LÄN</t>
        </is>
      </c>
      <c r="E3242" t="inlineStr">
        <is>
          <t>VINDELN</t>
        </is>
      </c>
      <c r="F3242" t="inlineStr">
        <is>
          <t>Holmen skog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47437-2025</t>
        </is>
      </c>
      <c r="B3243" s="1" t="n">
        <v>45930.63690972222</v>
      </c>
      <c r="C3243" s="1" t="n">
        <v>45971</v>
      </c>
      <c r="D3243" t="inlineStr">
        <is>
          <t>VÄSTERBOTTENS LÄN</t>
        </is>
      </c>
      <c r="E3243" t="inlineStr">
        <is>
          <t>ROBERTSFORS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8917-2022</t>
        </is>
      </c>
      <c r="B3244" s="1" t="n">
        <v>44615</v>
      </c>
      <c r="C3244" s="1" t="n">
        <v>45971</v>
      </c>
      <c r="D3244" t="inlineStr">
        <is>
          <t>VÄSTERBOTTENS LÄN</t>
        </is>
      </c>
      <c r="E3244" t="inlineStr">
        <is>
          <t>NORSJÖ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24361-2024</t>
        </is>
      </c>
      <c r="B3245" s="1" t="n">
        <v>45457.60049768518</v>
      </c>
      <c r="C3245" s="1" t="n">
        <v>45971</v>
      </c>
      <c r="D3245" t="inlineStr">
        <is>
          <t>VÄSTERBOTTENS LÄN</t>
        </is>
      </c>
      <c r="E3245" t="inlineStr">
        <is>
          <t>LYCKSELE</t>
        </is>
      </c>
      <c r="F3245" t="inlineStr">
        <is>
          <t>Sveaskog</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47456-2025</t>
        </is>
      </c>
      <c r="B3246" s="1" t="n">
        <v>45930.65547453704</v>
      </c>
      <c r="C3246" s="1" t="n">
        <v>45971</v>
      </c>
      <c r="D3246" t="inlineStr">
        <is>
          <t>VÄSTERBOTTENS LÄN</t>
        </is>
      </c>
      <c r="E3246" t="inlineStr">
        <is>
          <t>LYCKSELE</t>
        </is>
      </c>
      <c r="F3246" t="inlineStr">
        <is>
          <t>Sveaskog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47459-2025</t>
        </is>
      </c>
      <c r="B3247" s="1" t="n">
        <v>45930.65832175926</v>
      </c>
      <c r="C3247" s="1" t="n">
        <v>45971</v>
      </c>
      <c r="D3247" t="inlineStr">
        <is>
          <t>VÄSTERBOTTENS LÄN</t>
        </is>
      </c>
      <c r="E3247" t="inlineStr">
        <is>
          <t>LYCKSELE</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24445-2024</t>
        </is>
      </c>
      <c r="B3248" s="1" t="n">
        <v>45457.96494212963</v>
      </c>
      <c r="C3248" s="1" t="n">
        <v>45971</v>
      </c>
      <c r="D3248" t="inlineStr">
        <is>
          <t>VÄSTERBOTTENS LÄN</t>
        </is>
      </c>
      <c r="E3248" t="inlineStr">
        <is>
          <t>DOROTEA</t>
        </is>
      </c>
      <c r="F3248" t="inlineStr">
        <is>
          <t>SCA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14432-2022</t>
        </is>
      </c>
      <c r="B3249" s="1" t="n">
        <v>44652.92743055556</v>
      </c>
      <c r="C3249" s="1" t="n">
        <v>45971</v>
      </c>
      <c r="D3249" t="inlineStr">
        <is>
          <t>VÄSTERBOTTENS LÄN</t>
        </is>
      </c>
      <c r="E3249" t="inlineStr">
        <is>
          <t>UMEÅ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60145-2021</t>
        </is>
      </c>
      <c r="B3250" s="1" t="n">
        <v>44494</v>
      </c>
      <c r="C3250" s="1" t="n">
        <v>45971</v>
      </c>
      <c r="D3250" t="inlineStr">
        <is>
          <t>VÄSTERBOTTENS LÄN</t>
        </is>
      </c>
      <c r="E3250" t="inlineStr">
        <is>
          <t>DOROTEA</t>
        </is>
      </c>
      <c r="G3250" t="n">
        <v>13.3</v>
      </c>
      <c r="H3250" t="n">
        <v>0</v>
      </c>
      <c r="I3250" t="n">
        <v>0</v>
      </c>
      <c r="J3250" t="n">
        <v>0</v>
      </c>
      <c r="K3250" t="n">
        <v>0</v>
      </c>
      <c r="L3250" t="n">
        <v>0</v>
      </c>
      <c r="M3250" t="n">
        <v>0</v>
      </c>
      <c r="N3250" t="n">
        <v>0</v>
      </c>
      <c r="O3250" t="n">
        <v>0</v>
      </c>
      <c r="P3250" t="n">
        <v>0</v>
      </c>
      <c r="Q3250" t="n">
        <v>0</v>
      </c>
      <c r="R3250" s="2" t="inlineStr"/>
    </row>
    <row r="3251" ht="15" customHeight="1">
      <c r="A3251" t="inlineStr">
        <is>
          <t>A 34684-2023</t>
        </is>
      </c>
      <c r="B3251" s="1" t="n">
        <v>45140</v>
      </c>
      <c r="C3251" s="1" t="n">
        <v>45971</v>
      </c>
      <c r="D3251" t="inlineStr">
        <is>
          <t>VÄSTERBOTTENS LÄN</t>
        </is>
      </c>
      <c r="E3251" t="inlineStr">
        <is>
          <t>ÅSELE</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17059-2025</t>
        </is>
      </c>
      <c r="B3252" s="1" t="n">
        <v>45755.60673611111</v>
      </c>
      <c r="C3252" s="1" t="n">
        <v>45971</v>
      </c>
      <c r="D3252" t="inlineStr">
        <is>
          <t>VÄSTERBOTTENS LÄN</t>
        </is>
      </c>
      <c r="E3252" t="inlineStr">
        <is>
          <t>VINDELN</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47447-2025</t>
        </is>
      </c>
      <c r="B3253" s="1" t="n">
        <v>45930.64424768519</v>
      </c>
      <c r="C3253" s="1" t="n">
        <v>45971</v>
      </c>
      <c r="D3253" t="inlineStr">
        <is>
          <t>VÄSTERBOTTENS LÄN</t>
        </is>
      </c>
      <c r="E3253" t="inlineStr">
        <is>
          <t>SKELLEFTEÅ</t>
        </is>
      </c>
      <c r="F3253" t="inlineStr">
        <is>
          <t>Holmen skog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47341-2025</t>
        </is>
      </c>
      <c r="B3254" s="1" t="n">
        <v>45930.56827546296</v>
      </c>
      <c r="C3254" s="1" t="n">
        <v>45971</v>
      </c>
      <c r="D3254" t="inlineStr">
        <is>
          <t>VÄSTERBOTTENS LÄN</t>
        </is>
      </c>
      <c r="E3254" t="inlineStr">
        <is>
          <t>ÅSELE</t>
        </is>
      </c>
      <c r="F3254" t="inlineStr">
        <is>
          <t>Holmen skog AB</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24899-2024</t>
        </is>
      </c>
      <c r="B3255" s="1" t="n">
        <v>45461.58384259259</v>
      </c>
      <c r="C3255" s="1" t="n">
        <v>45971</v>
      </c>
      <c r="D3255" t="inlineStr">
        <is>
          <t>VÄSTERBOTTENS LÄN</t>
        </is>
      </c>
      <c r="E3255" t="inlineStr">
        <is>
          <t>ROBERTSFORS</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39123-2025</t>
        </is>
      </c>
      <c r="B3256" s="1" t="n">
        <v>45888.57267361111</v>
      </c>
      <c r="C3256" s="1" t="n">
        <v>45971</v>
      </c>
      <c r="D3256" t="inlineStr">
        <is>
          <t>VÄSTERBOTTENS LÄN</t>
        </is>
      </c>
      <c r="E3256" t="inlineStr">
        <is>
          <t>SKELLEFTEÅ</t>
        </is>
      </c>
      <c r="F3256" t="inlineStr">
        <is>
          <t>Holmen skog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43435-2023</t>
        </is>
      </c>
      <c r="B3257" s="1" t="n">
        <v>45184.32165509259</v>
      </c>
      <c r="C3257" s="1" t="n">
        <v>45971</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39136-2025</t>
        </is>
      </c>
      <c r="B3258" s="1" t="n">
        <v>45888.59417824074</v>
      </c>
      <c r="C3258" s="1" t="n">
        <v>45971</v>
      </c>
      <c r="D3258" t="inlineStr">
        <is>
          <t>VÄSTERBOTTENS LÄN</t>
        </is>
      </c>
      <c r="E3258" t="inlineStr">
        <is>
          <t>BJURHOLM</t>
        </is>
      </c>
      <c r="F3258" t="inlineStr">
        <is>
          <t>SCA</t>
        </is>
      </c>
      <c r="G3258" t="n">
        <v>17.8</v>
      </c>
      <c r="H3258" t="n">
        <v>0</v>
      </c>
      <c r="I3258" t="n">
        <v>0</v>
      </c>
      <c r="J3258" t="n">
        <v>0</v>
      </c>
      <c r="K3258" t="n">
        <v>0</v>
      </c>
      <c r="L3258" t="n">
        <v>0</v>
      </c>
      <c r="M3258" t="n">
        <v>0</v>
      </c>
      <c r="N3258" t="n">
        <v>0</v>
      </c>
      <c r="O3258" t="n">
        <v>0</v>
      </c>
      <c r="P3258" t="n">
        <v>0</v>
      </c>
      <c r="Q3258" t="n">
        <v>0</v>
      </c>
      <c r="R3258" s="2" t="inlineStr"/>
    </row>
    <row r="3259" ht="15" customHeight="1">
      <c r="A3259" t="inlineStr">
        <is>
          <t>A 39138-2025</t>
        </is>
      </c>
      <c r="B3259" s="1" t="n">
        <v>45888.59435185185</v>
      </c>
      <c r="C3259" s="1" t="n">
        <v>45971</v>
      </c>
      <c r="D3259" t="inlineStr">
        <is>
          <t>VÄSTERBOTTENS LÄN</t>
        </is>
      </c>
      <c r="E3259" t="inlineStr">
        <is>
          <t>VILHELMINA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7991-2025</t>
        </is>
      </c>
      <c r="B3260" s="1" t="n">
        <v>45707.48981481481</v>
      </c>
      <c r="C3260" s="1" t="n">
        <v>45971</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32655-2021</t>
        </is>
      </c>
      <c r="B3261" s="1" t="n">
        <v>44371</v>
      </c>
      <c r="C3261" s="1" t="n">
        <v>45971</v>
      </c>
      <c r="D3261" t="inlineStr">
        <is>
          <t>VÄSTERBOTTENS LÄN</t>
        </is>
      </c>
      <c r="E3261" t="inlineStr">
        <is>
          <t>VILHELMINA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39135-2025</t>
        </is>
      </c>
      <c r="B3262" s="1" t="n">
        <v>45888.59356481482</v>
      </c>
      <c r="C3262" s="1" t="n">
        <v>45971</v>
      </c>
      <c r="D3262" t="inlineStr">
        <is>
          <t>VÄSTERBOTTENS LÄN</t>
        </is>
      </c>
      <c r="E3262" t="inlineStr">
        <is>
          <t>LYCKSELE</t>
        </is>
      </c>
      <c r="F3262" t="inlineStr">
        <is>
          <t>Sveaskog</t>
        </is>
      </c>
      <c r="G3262" t="n">
        <v>12.7</v>
      </c>
      <c r="H3262" t="n">
        <v>0</v>
      </c>
      <c r="I3262" t="n">
        <v>0</v>
      </c>
      <c r="J3262" t="n">
        <v>0</v>
      </c>
      <c r="K3262" t="n">
        <v>0</v>
      </c>
      <c r="L3262" t="n">
        <v>0</v>
      </c>
      <c r="M3262" t="n">
        <v>0</v>
      </c>
      <c r="N3262" t="n">
        <v>0</v>
      </c>
      <c r="O3262" t="n">
        <v>0</v>
      </c>
      <c r="P3262" t="n">
        <v>0</v>
      </c>
      <c r="Q3262" t="n">
        <v>0</v>
      </c>
      <c r="R3262" s="2" t="inlineStr"/>
    </row>
    <row r="3263" ht="15" customHeight="1">
      <c r="A3263" t="inlineStr">
        <is>
          <t>A 39143-2025</t>
        </is>
      </c>
      <c r="B3263" s="1" t="n">
        <v>45888.59829861111</v>
      </c>
      <c r="C3263" s="1" t="n">
        <v>45971</v>
      </c>
      <c r="D3263" t="inlineStr">
        <is>
          <t>VÄSTERBOTTENS LÄN</t>
        </is>
      </c>
      <c r="E3263" t="inlineStr">
        <is>
          <t>LYCKSELE</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32289-2024</t>
        </is>
      </c>
      <c r="B3264" s="1" t="n">
        <v>45512</v>
      </c>
      <c r="C3264" s="1" t="n">
        <v>45971</v>
      </c>
      <c r="D3264" t="inlineStr">
        <is>
          <t>VÄSTERBOTTENS LÄN</t>
        </is>
      </c>
      <c r="E3264" t="inlineStr">
        <is>
          <t>BJURHOLM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42798-2022</t>
        </is>
      </c>
      <c r="B3265" s="1" t="n">
        <v>44832</v>
      </c>
      <c r="C3265" s="1" t="n">
        <v>45971</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39162-2025</t>
        </is>
      </c>
      <c r="B3266" s="1" t="n">
        <v>45888.63608796296</v>
      </c>
      <c r="C3266" s="1" t="n">
        <v>45971</v>
      </c>
      <c r="D3266" t="inlineStr">
        <is>
          <t>VÄSTERBOTTENS LÄN</t>
        </is>
      </c>
      <c r="E3266" t="inlineStr">
        <is>
          <t>LYCKSELE</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39163-2025</t>
        </is>
      </c>
      <c r="B3267" s="1" t="n">
        <v>45888.63672453703</v>
      </c>
      <c r="C3267" s="1" t="n">
        <v>45971</v>
      </c>
      <c r="D3267" t="inlineStr">
        <is>
          <t>VÄSTERBOTTENS LÄN</t>
        </is>
      </c>
      <c r="E3267" t="inlineStr">
        <is>
          <t>NORSJÖ</t>
        </is>
      </c>
      <c r="F3267" t="inlineStr">
        <is>
          <t>SCA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47238-2025</t>
        </is>
      </c>
      <c r="B3268" s="1" t="n">
        <v>45930.41980324074</v>
      </c>
      <c r="C3268" s="1" t="n">
        <v>45971</v>
      </c>
      <c r="D3268" t="inlineStr">
        <is>
          <t>VÄSTERBOTTENS LÄN</t>
        </is>
      </c>
      <c r="E3268" t="inlineStr">
        <is>
          <t>SKELLEFTEÅ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30636-2024</t>
        </is>
      </c>
      <c r="B3269" s="1" t="n">
        <v>45495.56212962963</v>
      </c>
      <c r="C3269" s="1" t="n">
        <v>45971</v>
      </c>
      <c r="D3269" t="inlineStr">
        <is>
          <t>VÄSTERBOTTENS LÄN</t>
        </is>
      </c>
      <c r="E3269" t="inlineStr">
        <is>
          <t>LYCKSELE</t>
        </is>
      </c>
      <c r="F3269" t="inlineStr">
        <is>
          <t>Sveaskog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11090-2025</t>
        </is>
      </c>
      <c r="B3270" s="1" t="n">
        <v>45723.57395833333</v>
      </c>
      <c r="C3270" s="1" t="n">
        <v>45971</v>
      </c>
      <c r="D3270" t="inlineStr">
        <is>
          <t>VÄSTERBOTTENS LÄN</t>
        </is>
      </c>
      <c r="E3270" t="inlineStr">
        <is>
          <t>LYCKSELE</t>
        </is>
      </c>
      <c r="F3270" t="inlineStr">
        <is>
          <t>SCA</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48252-2023</t>
        </is>
      </c>
      <c r="B3271" s="1" t="n">
        <v>45205.5255787037</v>
      </c>
      <c r="C3271" s="1" t="n">
        <v>45971</v>
      </c>
      <c r="D3271" t="inlineStr">
        <is>
          <t>VÄSTERBOTTENS LÄN</t>
        </is>
      </c>
      <c r="E3271" t="inlineStr">
        <is>
          <t>ROBERTSFORS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18781-2021</t>
        </is>
      </c>
      <c r="B3272" s="1" t="n">
        <v>44307</v>
      </c>
      <c r="C3272" s="1" t="n">
        <v>45971</v>
      </c>
      <c r="D3272" t="inlineStr">
        <is>
          <t>VÄSTERBOTTENS LÄN</t>
        </is>
      </c>
      <c r="E3272" t="inlineStr">
        <is>
          <t>VILHELMINA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47150-2025</t>
        </is>
      </c>
      <c r="B3273" s="1" t="n">
        <v>45929.71940972222</v>
      </c>
      <c r="C3273" s="1" t="n">
        <v>45971</v>
      </c>
      <c r="D3273" t="inlineStr">
        <is>
          <t>VÄSTERBOTTENS LÄN</t>
        </is>
      </c>
      <c r="E3273" t="inlineStr">
        <is>
          <t>BJURHOLM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24195-2024</t>
        </is>
      </c>
      <c r="B3274" s="1" t="n">
        <v>45456</v>
      </c>
      <c r="C3274" s="1" t="n">
        <v>45971</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21107-2023</t>
        </is>
      </c>
      <c r="B3275" s="1" t="n">
        <v>45061</v>
      </c>
      <c r="C3275" s="1" t="n">
        <v>45971</v>
      </c>
      <c r="D3275" t="inlineStr">
        <is>
          <t>VÄSTERBOTTENS LÄN</t>
        </is>
      </c>
      <c r="E3275" t="inlineStr">
        <is>
          <t>ÅSELE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48322-2023</t>
        </is>
      </c>
      <c r="B3276" s="1" t="n">
        <v>45201</v>
      </c>
      <c r="C3276" s="1" t="n">
        <v>45971</v>
      </c>
      <c r="D3276" t="inlineStr">
        <is>
          <t>VÄSTERBOTTENS LÄN</t>
        </is>
      </c>
      <c r="E3276" t="inlineStr">
        <is>
          <t>MALÅ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29454-2023</t>
        </is>
      </c>
      <c r="B3277" s="1" t="n">
        <v>45098</v>
      </c>
      <c r="C3277" s="1" t="n">
        <v>45971</v>
      </c>
      <c r="D3277" t="inlineStr">
        <is>
          <t>VÄSTERBOTTENS LÄN</t>
        </is>
      </c>
      <c r="E3277" t="inlineStr">
        <is>
          <t>UMEÅ</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42889-2024</t>
        </is>
      </c>
      <c r="B3278" s="1" t="n">
        <v>45566</v>
      </c>
      <c r="C3278" s="1" t="n">
        <v>45971</v>
      </c>
      <c r="D3278" t="inlineStr">
        <is>
          <t>VÄSTERBOTTENS LÄN</t>
        </is>
      </c>
      <c r="E3278" t="inlineStr">
        <is>
          <t>DOROTEA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60175-2022</t>
        </is>
      </c>
      <c r="B3279" s="1" t="n">
        <v>44909</v>
      </c>
      <c r="C3279" s="1" t="n">
        <v>45971</v>
      </c>
      <c r="D3279" t="inlineStr">
        <is>
          <t>VÄSTERBOTTENS LÄN</t>
        </is>
      </c>
      <c r="E3279" t="inlineStr">
        <is>
          <t>NORDMALING</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31869-2023</t>
        </is>
      </c>
      <c r="B3280" s="1" t="n">
        <v>45118.62401620371</v>
      </c>
      <c r="C3280" s="1" t="n">
        <v>45971</v>
      </c>
      <c r="D3280" t="inlineStr">
        <is>
          <t>VÄSTERBOTTENS LÄN</t>
        </is>
      </c>
      <c r="E3280" t="inlineStr">
        <is>
          <t>VÄNNÄS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33132-2023</t>
        </is>
      </c>
      <c r="B3281" s="1" t="n">
        <v>45114</v>
      </c>
      <c r="C3281" s="1" t="n">
        <v>45971</v>
      </c>
      <c r="D3281" t="inlineStr">
        <is>
          <t>VÄSTERBOTTENS LÄN</t>
        </is>
      </c>
      <c r="E3281" t="inlineStr">
        <is>
          <t>VINDELN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25968-2024</t>
        </is>
      </c>
      <c r="B3282" s="1" t="n">
        <v>45467.68030092592</v>
      </c>
      <c r="C3282" s="1" t="n">
        <v>45971</v>
      </c>
      <c r="D3282" t="inlineStr">
        <is>
          <t>VÄSTERBOTTENS LÄN</t>
        </is>
      </c>
      <c r="E3282" t="inlineStr">
        <is>
          <t>STORUMAN</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29095-2024</t>
        </is>
      </c>
      <c r="B3283" s="1" t="n">
        <v>45481</v>
      </c>
      <c r="C3283" s="1" t="n">
        <v>45971</v>
      </c>
      <c r="D3283" t="inlineStr">
        <is>
          <t>VÄSTERBOTTENS LÄN</t>
        </is>
      </c>
      <c r="E3283" t="inlineStr">
        <is>
          <t>BJURHOLM</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6769-2025</t>
        </is>
      </c>
      <c r="B3284" s="1" t="n">
        <v>45700.63939814815</v>
      </c>
      <c r="C3284" s="1" t="n">
        <v>45971</v>
      </c>
      <c r="D3284" t="inlineStr">
        <is>
          <t>VÄSTERBOTTENS LÄN</t>
        </is>
      </c>
      <c r="E3284" t="inlineStr">
        <is>
          <t>LYCKSELE</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29121-2024</t>
        </is>
      </c>
      <c r="B3285" s="1" t="n">
        <v>45482.30600694445</v>
      </c>
      <c r="C3285" s="1" t="n">
        <v>45971</v>
      </c>
      <c r="D3285" t="inlineStr">
        <is>
          <t>VÄSTERBOTTENS LÄN</t>
        </is>
      </c>
      <c r="E3285" t="inlineStr">
        <is>
          <t>NORSJÖ</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58920-2022</t>
        </is>
      </c>
      <c r="B3286" s="1" t="n">
        <v>44896</v>
      </c>
      <c r="C3286" s="1" t="n">
        <v>45971</v>
      </c>
      <c r="D3286" t="inlineStr">
        <is>
          <t>VÄSTERBOTTENS LÄN</t>
        </is>
      </c>
      <c r="E3286" t="inlineStr">
        <is>
          <t>LYCKSELE</t>
        </is>
      </c>
      <c r="G3286" t="n">
        <v>20.5</v>
      </c>
      <c r="H3286" t="n">
        <v>0</v>
      </c>
      <c r="I3286" t="n">
        <v>0</v>
      </c>
      <c r="J3286" t="n">
        <v>0</v>
      </c>
      <c r="K3286" t="n">
        <v>0</v>
      </c>
      <c r="L3286" t="n">
        <v>0</v>
      </c>
      <c r="M3286" t="n">
        <v>0</v>
      </c>
      <c r="N3286" t="n">
        <v>0</v>
      </c>
      <c r="O3286" t="n">
        <v>0</v>
      </c>
      <c r="P3286" t="n">
        <v>0</v>
      </c>
      <c r="Q3286" t="n">
        <v>0</v>
      </c>
      <c r="R3286" s="2" t="inlineStr"/>
    </row>
    <row r="3287" ht="15" customHeight="1">
      <c r="A3287" t="inlineStr">
        <is>
          <t>A 58114-2022</t>
        </is>
      </c>
      <c r="B3287" s="1" t="n">
        <v>44893</v>
      </c>
      <c r="C3287" s="1" t="n">
        <v>45971</v>
      </c>
      <c r="D3287" t="inlineStr">
        <is>
          <t>VÄSTERBOTTENS LÄN</t>
        </is>
      </c>
      <c r="E3287" t="inlineStr">
        <is>
          <t>SKELLEFTEÅ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57021-2024</t>
        </is>
      </c>
      <c r="B3288" s="1" t="n">
        <v>45626</v>
      </c>
      <c r="C3288" s="1" t="n">
        <v>45971</v>
      </c>
      <c r="D3288" t="inlineStr">
        <is>
          <t>VÄSTERBOTTENS LÄN</t>
        </is>
      </c>
      <c r="E3288" t="inlineStr">
        <is>
          <t>SORSELE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57022-2024</t>
        </is>
      </c>
      <c r="B3289" s="1" t="n">
        <v>45626</v>
      </c>
      <c r="C3289" s="1" t="n">
        <v>45971</v>
      </c>
      <c r="D3289" t="inlineStr">
        <is>
          <t>VÄSTERBOTTENS LÄN</t>
        </is>
      </c>
      <c r="E3289" t="inlineStr">
        <is>
          <t>SORSELE</t>
        </is>
      </c>
      <c r="G3289" t="n">
        <v>14.2</v>
      </c>
      <c r="H3289" t="n">
        <v>0</v>
      </c>
      <c r="I3289" t="n">
        <v>0</v>
      </c>
      <c r="J3289" t="n">
        <v>0</v>
      </c>
      <c r="K3289" t="n">
        <v>0</v>
      </c>
      <c r="L3289" t="n">
        <v>0</v>
      </c>
      <c r="M3289" t="n">
        <v>0</v>
      </c>
      <c r="N3289" t="n">
        <v>0</v>
      </c>
      <c r="O3289" t="n">
        <v>0</v>
      </c>
      <c r="P3289" t="n">
        <v>0</v>
      </c>
      <c r="Q3289" t="n">
        <v>0</v>
      </c>
      <c r="R3289" s="2" t="inlineStr"/>
    </row>
    <row r="3290" ht="15" customHeight="1">
      <c r="A3290" t="inlineStr">
        <is>
          <t>A 25794-2024</t>
        </is>
      </c>
      <c r="B3290" s="1" t="n">
        <v>45467</v>
      </c>
      <c r="C3290" s="1" t="n">
        <v>45971</v>
      </c>
      <c r="D3290" t="inlineStr">
        <is>
          <t>VÄSTERBOTTENS LÄN</t>
        </is>
      </c>
      <c r="E3290" t="inlineStr">
        <is>
          <t>BJURHOLM</t>
        </is>
      </c>
      <c r="F3290" t="inlineStr">
        <is>
          <t>Holmen skog AB</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39196-2025</t>
        </is>
      </c>
      <c r="B3291" s="1" t="n">
        <v>45888.69388888889</v>
      </c>
      <c r="C3291" s="1" t="n">
        <v>45971</v>
      </c>
      <c r="D3291" t="inlineStr">
        <is>
          <t>VÄSTERBOTTENS LÄN</t>
        </is>
      </c>
      <c r="E3291" t="inlineStr">
        <is>
          <t>ÅSELE</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47254-2025</t>
        </is>
      </c>
      <c r="B3292" s="1" t="n">
        <v>45930.44105324074</v>
      </c>
      <c r="C3292" s="1" t="n">
        <v>45971</v>
      </c>
      <c r="D3292" t="inlineStr">
        <is>
          <t>VÄSTERBOTTENS LÄN</t>
        </is>
      </c>
      <c r="E3292" t="inlineStr">
        <is>
          <t>NORSJÖ</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14167-2024</t>
        </is>
      </c>
      <c r="B3293" s="1" t="n">
        <v>45392</v>
      </c>
      <c r="C3293" s="1" t="n">
        <v>45971</v>
      </c>
      <c r="D3293" t="inlineStr">
        <is>
          <t>VÄSTERBOTTENS LÄN</t>
        </is>
      </c>
      <c r="E3293" t="inlineStr">
        <is>
          <t>ÅSELE</t>
        </is>
      </c>
      <c r="F3293" t="inlineStr">
        <is>
          <t>SCA</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61792-2023</t>
        </is>
      </c>
      <c r="B3294" s="1" t="n">
        <v>45265</v>
      </c>
      <c r="C3294" s="1" t="n">
        <v>45971</v>
      </c>
      <c r="D3294" t="inlineStr">
        <is>
          <t>VÄSTERBOTTENS LÄN</t>
        </is>
      </c>
      <c r="E3294" t="inlineStr">
        <is>
          <t>NORDMALING</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61793-2023</t>
        </is>
      </c>
      <c r="B3295" s="1" t="n">
        <v>45265.958125</v>
      </c>
      <c r="C3295" s="1" t="n">
        <v>45971</v>
      </c>
      <c r="D3295" t="inlineStr">
        <is>
          <t>VÄSTERBOTTENS LÄN</t>
        </is>
      </c>
      <c r="E3295" t="inlineStr">
        <is>
          <t>NORDMALING</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13439-2024</t>
        </is>
      </c>
      <c r="B3296" s="1" t="n">
        <v>45387</v>
      </c>
      <c r="C3296" s="1" t="n">
        <v>45971</v>
      </c>
      <c r="D3296" t="inlineStr">
        <is>
          <t>VÄSTERBOTTENS LÄN</t>
        </is>
      </c>
      <c r="E3296" t="inlineStr">
        <is>
          <t>VINDELN</t>
        </is>
      </c>
      <c r="F3296" t="inlineStr">
        <is>
          <t>Holmen skog AB</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2352-2025</t>
        </is>
      </c>
      <c r="B3297" s="1" t="n">
        <v>45673.67935185185</v>
      </c>
      <c r="C3297" s="1" t="n">
        <v>45971</v>
      </c>
      <c r="D3297" t="inlineStr">
        <is>
          <t>VÄSTERBOTTENS LÄN</t>
        </is>
      </c>
      <c r="E3297" t="inlineStr">
        <is>
          <t>LYCKSELE</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47461-2025</t>
        </is>
      </c>
      <c r="B3298" s="1" t="n">
        <v>45930.66153935185</v>
      </c>
      <c r="C3298" s="1" t="n">
        <v>45971</v>
      </c>
      <c r="D3298" t="inlineStr">
        <is>
          <t>VÄSTERBOTTENS LÄN</t>
        </is>
      </c>
      <c r="E3298" t="inlineStr">
        <is>
          <t>LYCKSELE</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2331-2025</t>
        </is>
      </c>
      <c r="B3299" s="1" t="n">
        <v>45673.64859953704</v>
      </c>
      <c r="C3299" s="1" t="n">
        <v>45971</v>
      </c>
      <c r="D3299" t="inlineStr">
        <is>
          <t>VÄSTERBOTTENS LÄN</t>
        </is>
      </c>
      <c r="E3299" t="inlineStr">
        <is>
          <t>NORSJÖ</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2354-2025</t>
        </is>
      </c>
      <c r="B3300" s="1" t="n">
        <v>45673</v>
      </c>
      <c r="C3300" s="1" t="n">
        <v>45971</v>
      </c>
      <c r="D3300" t="inlineStr">
        <is>
          <t>VÄSTERBOTTENS LÄN</t>
        </is>
      </c>
      <c r="E3300" t="inlineStr">
        <is>
          <t>SKELLEFTEÅ</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32969-2021</t>
        </is>
      </c>
      <c r="B3301" s="1" t="n">
        <v>44376</v>
      </c>
      <c r="C3301" s="1" t="n">
        <v>45971</v>
      </c>
      <c r="D3301" t="inlineStr">
        <is>
          <t>VÄSTERBOTTENS LÄN</t>
        </is>
      </c>
      <c r="E3301" t="inlineStr">
        <is>
          <t>VINDELN</t>
        </is>
      </c>
      <c r="G3301" t="n">
        <v>14.4</v>
      </c>
      <c r="H3301" t="n">
        <v>0</v>
      </c>
      <c r="I3301" t="n">
        <v>0</v>
      </c>
      <c r="J3301" t="n">
        <v>0</v>
      </c>
      <c r="K3301" t="n">
        <v>0</v>
      </c>
      <c r="L3301" t="n">
        <v>0</v>
      </c>
      <c r="M3301" t="n">
        <v>0</v>
      </c>
      <c r="N3301" t="n">
        <v>0</v>
      </c>
      <c r="O3301" t="n">
        <v>0</v>
      </c>
      <c r="P3301" t="n">
        <v>0</v>
      </c>
      <c r="Q3301" t="n">
        <v>0</v>
      </c>
      <c r="R3301" s="2" t="inlineStr"/>
    </row>
    <row r="3302" ht="15" customHeight="1">
      <c r="A3302" t="inlineStr">
        <is>
          <t>A 7816-2025</t>
        </is>
      </c>
      <c r="B3302" s="1" t="n">
        <v>45706.63597222222</v>
      </c>
      <c r="C3302" s="1" t="n">
        <v>45971</v>
      </c>
      <c r="D3302" t="inlineStr">
        <is>
          <t>VÄSTERBOTTENS LÄN</t>
        </is>
      </c>
      <c r="E3302" t="inlineStr">
        <is>
          <t>SKELLEFTEÅ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60612-2023</t>
        </is>
      </c>
      <c r="B3303" s="1" t="n">
        <v>45260</v>
      </c>
      <c r="C3303" s="1" t="n">
        <v>45971</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32739-2021</t>
        </is>
      </c>
      <c r="B3304" s="1" t="n">
        <v>44375</v>
      </c>
      <c r="C3304" s="1" t="n">
        <v>45971</v>
      </c>
      <c r="D3304" t="inlineStr">
        <is>
          <t>VÄSTERBOTTENS LÄN</t>
        </is>
      </c>
      <c r="E3304" t="inlineStr">
        <is>
          <t>VÄNNÄS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43973-2023</t>
        </is>
      </c>
      <c r="B3305" s="1" t="n">
        <v>45187</v>
      </c>
      <c r="C3305" s="1" t="n">
        <v>45971</v>
      </c>
      <c r="D3305" t="inlineStr">
        <is>
          <t>VÄSTERBOTTENS LÄN</t>
        </is>
      </c>
      <c r="E3305" t="inlineStr">
        <is>
          <t>LYCKSELE</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23448-2024</t>
        </is>
      </c>
      <c r="B3306" s="1" t="n">
        <v>45453</v>
      </c>
      <c r="C3306" s="1" t="n">
        <v>45971</v>
      </c>
      <c r="D3306" t="inlineStr">
        <is>
          <t>VÄSTERBOTTENS LÄN</t>
        </is>
      </c>
      <c r="E3306" t="inlineStr">
        <is>
          <t>VINDELN</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39089-2025</t>
        </is>
      </c>
      <c r="B3307" s="1" t="n">
        <v>45887</v>
      </c>
      <c r="C3307" s="1" t="n">
        <v>45971</v>
      </c>
      <c r="D3307" t="inlineStr">
        <is>
          <t>VÄSTERBOTTENS LÄN</t>
        </is>
      </c>
      <c r="E3307" t="inlineStr">
        <is>
          <t>SKELLEFTEÅ</t>
        </is>
      </c>
      <c r="G3307" t="n">
        <v>31.5</v>
      </c>
      <c r="H3307" t="n">
        <v>0</v>
      </c>
      <c r="I3307" t="n">
        <v>0</v>
      </c>
      <c r="J3307" t="n">
        <v>0</v>
      </c>
      <c r="K3307" t="n">
        <v>0</v>
      </c>
      <c r="L3307" t="n">
        <v>0</v>
      </c>
      <c r="M3307" t="n">
        <v>0</v>
      </c>
      <c r="N3307" t="n">
        <v>0</v>
      </c>
      <c r="O3307" t="n">
        <v>0</v>
      </c>
      <c r="P3307" t="n">
        <v>0</v>
      </c>
      <c r="Q3307" t="n">
        <v>0</v>
      </c>
      <c r="R3307" s="2" t="inlineStr"/>
    </row>
    <row r="3308" ht="15" customHeight="1">
      <c r="A3308" t="inlineStr">
        <is>
          <t>A 39104-2025</t>
        </is>
      </c>
      <c r="B3308" s="1" t="n">
        <v>45888.52721064815</v>
      </c>
      <c r="C3308" s="1" t="n">
        <v>45971</v>
      </c>
      <c r="D3308" t="inlineStr">
        <is>
          <t>VÄSTERBOTTENS LÄN</t>
        </is>
      </c>
      <c r="E3308" t="inlineStr">
        <is>
          <t>STORUMAN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25943-2024</t>
        </is>
      </c>
      <c r="B3309" s="1" t="n">
        <v>45467</v>
      </c>
      <c r="C3309" s="1" t="n">
        <v>45971</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46105-2022</t>
        </is>
      </c>
      <c r="B3310" s="1" t="n">
        <v>44845</v>
      </c>
      <c r="C3310" s="1" t="n">
        <v>45971</v>
      </c>
      <c r="D3310" t="inlineStr">
        <is>
          <t>VÄSTERBOTTENS LÄN</t>
        </is>
      </c>
      <c r="E3310" t="inlineStr">
        <is>
          <t>VINDELN</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45366-2024</t>
        </is>
      </c>
      <c r="B3311" s="1" t="n">
        <v>45576.48979166667</v>
      </c>
      <c r="C3311" s="1" t="n">
        <v>45971</v>
      </c>
      <c r="D3311" t="inlineStr">
        <is>
          <t>VÄSTERBOTTENS LÄN</t>
        </is>
      </c>
      <c r="E3311" t="inlineStr">
        <is>
          <t>LYCKSELE</t>
        </is>
      </c>
      <c r="F3311" t="inlineStr">
        <is>
          <t>Sveaskog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30023-2024</t>
        </is>
      </c>
      <c r="B3312" s="1" t="n">
        <v>45485</v>
      </c>
      <c r="C3312" s="1" t="n">
        <v>45971</v>
      </c>
      <c r="D3312" t="inlineStr">
        <is>
          <t>VÄSTERBOTTENS LÄN</t>
        </is>
      </c>
      <c r="E3312" t="inlineStr">
        <is>
          <t>NORSJÖ</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42946-2022</t>
        </is>
      </c>
      <c r="B3313" s="1" t="n">
        <v>44833.38583333333</v>
      </c>
      <c r="C3313" s="1" t="n">
        <v>45971</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26991-2025</t>
        </is>
      </c>
      <c r="B3314" s="1" t="n">
        <v>45811.52162037037</v>
      </c>
      <c r="C3314" s="1" t="n">
        <v>45971</v>
      </c>
      <c r="D3314" t="inlineStr">
        <is>
          <t>VÄSTERBOTTENS LÄN</t>
        </is>
      </c>
      <c r="E3314" t="inlineStr">
        <is>
          <t>ROBERTSFORS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27558-2025</t>
        </is>
      </c>
      <c r="B3315" s="1" t="n">
        <v>45813</v>
      </c>
      <c r="C3315" s="1" t="n">
        <v>45971</v>
      </c>
      <c r="D3315" t="inlineStr">
        <is>
          <t>VÄSTERBOTTENS LÄN</t>
        </is>
      </c>
      <c r="E3315" t="inlineStr">
        <is>
          <t>DOROTEA</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38818-2025</t>
        </is>
      </c>
      <c r="B3316" s="1" t="n">
        <v>45887.49842592593</v>
      </c>
      <c r="C3316" s="1" t="n">
        <v>45971</v>
      </c>
      <c r="D3316" t="inlineStr">
        <is>
          <t>VÄSTERBOTTENS LÄN</t>
        </is>
      </c>
      <c r="E3316" t="inlineStr">
        <is>
          <t>BJURHOLM</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47984-2022</t>
        </is>
      </c>
      <c r="B3317" s="1" t="n">
        <v>44853</v>
      </c>
      <c r="C3317" s="1" t="n">
        <v>45971</v>
      </c>
      <c r="D3317" t="inlineStr">
        <is>
          <t>VÄSTERBOTTENS LÄN</t>
        </is>
      </c>
      <c r="E3317" t="inlineStr">
        <is>
          <t>SKELLEFTEÅ</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38887-2025</t>
        </is>
      </c>
      <c r="B3318" s="1" t="n">
        <v>45887.58591435185</v>
      </c>
      <c r="C3318" s="1" t="n">
        <v>45971</v>
      </c>
      <c r="D3318" t="inlineStr">
        <is>
          <t>VÄSTERBOTTENS LÄN</t>
        </is>
      </c>
      <c r="E3318" t="inlineStr">
        <is>
          <t>UMEÅ</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38909-2025</t>
        </is>
      </c>
      <c r="B3319" s="1" t="n">
        <v>45887.61462962963</v>
      </c>
      <c r="C3319" s="1" t="n">
        <v>45971</v>
      </c>
      <c r="D3319" t="inlineStr">
        <is>
          <t>VÄSTERBOTTENS LÄN</t>
        </is>
      </c>
      <c r="E3319" t="inlineStr">
        <is>
          <t>ROBERTSFORS</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46877-2025</t>
        </is>
      </c>
      <c r="B3320" s="1" t="n">
        <v>45929.34471064815</v>
      </c>
      <c r="C3320" s="1" t="n">
        <v>45971</v>
      </c>
      <c r="D3320" t="inlineStr">
        <is>
          <t>VÄSTERBOTTENS LÄN</t>
        </is>
      </c>
      <c r="E3320" t="inlineStr">
        <is>
          <t>NORDMALING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46885-2025</t>
        </is>
      </c>
      <c r="B3321" s="1" t="n">
        <v>45929.36496527777</v>
      </c>
      <c r="C3321" s="1" t="n">
        <v>45971</v>
      </c>
      <c r="D3321" t="inlineStr">
        <is>
          <t>VÄSTERBOTTENS LÄN</t>
        </is>
      </c>
      <c r="E3321" t="inlineStr">
        <is>
          <t>BJURHOLM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46888-2025</t>
        </is>
      </c>
      <c r="B3322" s="1" t="n">
        <v>45929.3687037037</v>
      </c>
      <c r="C3322" s="1" t="n">
        <v>45971</v>
      </c>
      <c r="D3322" t="inlineStr">
        <is>
          <t>VÄSTERBOTTENS LÄN</t>
        </is>
      </c>
      <c r="E3322" t="inlineStr">
        <is>
          <t>STORUMAN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46896-2025</t>
        </is>
      </c>
      <c r="B3323" s="1" t="n">
        <v>45929.38594907407</v>
      </c>
      <c r="C3323" s="1" t="n">
        <v>45971</v>
      </c>
      <c r="D3323" t="inlineStr">
        <is>
          <t>VÄSTERBOTTENS LÄN</t>
        </is>
      </c>
      <c r="E3323" t="inlineStr">
        <is>
          <t>MALÅ</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47988-2022</t>
        </is>
      </c>
      <c r="B3324" s="1" t="n">
        <v>44853</v>
      </c>
      <c r="C3324" s="1" t="n">
        <v>45971</v>
      </c>
      <c r="D3324" t="inlineStr">
        <is>
          <t>VÄSTERBOTTENS LÄN</t>
        </is>
      </c>
      <c r="E3324" t="inlineStr">
        <is>
          <t>SKELLEFTEÅ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47409-2025</t>
        </is>
      </c>
      <c r="B3325" s="1" t="n">
        <v>45930.61439814815</v>
      </c>
      <c r="C3325" s="1" t="n">
        <v>45971</v>
      </c>
      <c r="D3325" t="inlineStr">
        <is>
          <t>VÄSTERBOTTENS LÄN</t>
        </is>
      </c>
      <c r="E3325" t="inlineStr">
        <is>
          <t>ROBERTSFORS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47413-2025</t>
        </is>
      </c>
      <c r="B3326" s="1" t="n">
        <v>45930.61894675926</v>
      </c>
      <c r="C3326" s="1" t="n">
        <v>45971</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38836-2025</t>
        </is>
      </c>
      <c r="B3327" s="1" t="n">
        <v>45887.53207175926</v>
      </c>
      <c r="C3327" s="1" t="n">
        <v>45971</v>
      </c>
      <c r="D3327" t="inlineStr">
        <is>
          <t>VÄSTERBOTTENS LÄN</t>
        </is>
      </c>
      <c r="E3327" t="inlineStr">
        <is>
          <t>MALÅ</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39064-2025</t>
        </is>
      </c>
      <c r="B3328" s="1" t="n">
        <v>45888.46336805556</v>
      </c>
      <c r="C3328" s="1" t="n">
        <v>45971</v>
      </c>
      <c r="D3328" t="inlineStr">
        <is>
          <t>VÄSTERBOTTENS LÄN</t>
        </is>
      </c>
      <c r="E3328" t="inlineStr">
        <is>
          <t>SKELLEFTEÅ</t>
        </is>
      </c>
      <c r="F3328" t="inlineStr">
        <is>
          <t>Holmen skog AB</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33636-2024</t>
        </is>
      </c>
      <c r="B3329" s="1" t="n">
        <v>45520.43614583334</v>
      </c>
      <c r="C3329" s="1" t="n">
        <v>45971</v>
      </c>
      <c r="D3329" t="inlineStr">
        <is>
          <t>VÄSTERBOTTENS LÄN</t>
        </is>
      </c>
      <c r="E3329" t="inlineStr">
        <is>
          <t>SORSELE</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38837-2025</t>
        </is>
      </c>
      <c r="B3330" s="1" t="n">
        <v>45887.53356481482</v>
      </c>
      <c r="C3330" s="1" t="n">
        <v>45971</v>
      </c>
      <c r="D3330" t="inlineStr">
        <is>
          <t>VÄSTERBOTTENS LÄN</t>
        </is>
      </c>
      <c r="E3330" t="inlineStr">
        <is>
          <t>VINDELN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46953-2025</t>
        </is>
      </c>
      <c r="B3331" s="1" t="n">
        <v>45929.47361111111</v>
      </c>
      <c r="C3331" s="1" t="n">
        <v>45971</v>
      </c>
      <c r="D3331" t="inlineStr">
        <is>
          <t>VÄSTERBOTTENS LÄN</t>
        </is>
      </c>
      <c r="E3331" t="inlineStr">
        <is>
          <t>BJURHOLM</t>
        </is>
      </c>
      <c r="F3331" t="inlineStr">
        <is>
          <t>Holmen skog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46962-2025</t>
        </is>
      </c>
      <c r="B3332" s="1" t="n">
        <v>45929.48913194444</v>
      </c>
      <c r="C3332" s="1" t="n">
        <v>45971</v>
      </c>
      <c r="D3332" t="inlineStr">
        <is>
          <t>VÄSTERBOTTENS LÄN</t>
        </is>
      </c>
      <c r="E3332" t="inlineStr">
        <is>
          <t>UMEÅ</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39105-2025</t>
        </is>
      </c>
      <c r="B3333" s="1" t="n">
        <v>45888.52792824074</v>
      </c>
      <c r="C3333" s="1" t="n">
        <v>45971</v>
      </c>
      <c r="D3333" t="inlineStr">
        <is>
          <t>VÄSTERBOTTENS LÄN</t>
        </is>
      </c>
      <c r="E3333" t="inlineStr">
        <is>
          <t>SKELLEFTEÅ</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47253-2025</t>
        </is>
      </c>
      <c r="B3334" s="1" t="n">
        <v>45930</v>
      </c>
      <c r="C3334" s="1" t="n">
        <v>45971</v>
      </c>
      <c r="D3334" t="inlineStr">
        <is>
          <t>VÄSTERBOTTENS LÄN</t>
        </is>
      </c>
      <c r="E3334" t="inlineStr">
        <is>
          <t>VINDELN</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38925-2025</t>
        </is>
      </c>
      <c r="B3335" s="1" t="n">
        <v>45887.6322337963</v>
      </c>
      <c r="C3335" s="1" t="n">
        <v>45971</v>
      </c>
      <c r="D3335" t="inlineStr">
        <is>
          <t>VÄSTERBOTTENS LÄN</t>
        </is>
      </c>
      <c r="E3335" t="inlineStr">
        <is>
          <t>LYCKSELE</t>
        </is>
      </c>
      <c r="F3335" t="inlineStr">
        <is>
          <t>Sveaskog</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38988-2025</t>
        </is>
      </c>
      <c r="B3336" s="1" t="n">
        <v>45888.31405092592</v>
      </c>
      <c r="C3336" s="1" t="n">
        <v>45971</v>
      </c>
      <c r="D3336" t="inlineStr">
        <is>
          <t>VÄSTERBOTTENS LÄN</t>
        </is>
      </c>
      <c r="E3336" t="inlineStr">
        <is>
          <t>LYCKSELE</t>
        </is>
      </c>
      <c r="F3336" t="inlineStr">
        <is>
          <t>Sveaskog</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47188-2025</t>
        </is>
      </c>
      <c r="B3337" s="1" t="n">
        <v>45930.32789351852</v>
      </c>
      <c r="C3337" s="1" t="n">
        <v>45971</v>
      </c>
      <c r="D3337" t="inlineStr">
        <is>
          <t>VÄSTERBOTTENS LÄN</t>
        </is>
      </c>
      <c r="E3337" t="inlineStr">
        <is>
          <t>UMEÅ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47309-2025</t>
        </is>
      </c>
      <c r="B3338" s="1" t="n">
        <v>45930.53519675926</v>
      </c>
      <c r="C3338" s="1" t="n">
        <v>45971</v>
      </c>
      <c r="D3338" t="inlineStr">
        <is>
          <t>VÄSTERBOTTENS LÄN</t>
        </is>
      </c>
      <c r="E3338" t="inlineStr">
        <is>
          <t>SKELLEFTEÅ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27943-2024</t>
        </is>
      </c>
      <c r="B3339" s="1" t="n">
        <v>45476.31515046296</v>
      </c>
      <c r="C3339" s="1" t="n">
        <v>45971</v>
      </c>
      <c r="D3339" t="inlineStr">
        <is>
          <t>VÄSTERBOTTENS LÄN</t>
        </is>
      </c>
      <c r="E3339" t="inlineStr">
        <is>
          <t>ÅSELE</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27946-2024</t>
        </is>
      </c>
      <c r="B3340" s="1" t="n">
        <v>45476.31981481481</v>
      </c>
      <c r="C3340" s="1" t="n">
        <v>45971</v>
      </c>
      <c r="D3340" t="inlineStr">
        <is>
          <t>VÄSTERBOTTENS LÄN</t>
        </is>
      </c>
      <c r="E3340" t="inlineStr">
        <is>
          <t>ÅSELE</t>
        </is>
      </c>
      <c r="F3340" t="inlineStr">
        <is>
          <t>Sveaskog</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38777-2025</t>
        </is>
      </c>
      <c r="B3341" s="1" t="n">
        <v>45887.43675925926</v>
      </c>
      <c r="C3341" s="1" t="n">
        <v>45971</v>
      </c>
      <c r="D3341" t="inlineStr">
        <is>
          <t>VÄSTERBOTTENS LÄN</t>
        </is>
      </c>
      <c r="E3341" t="inlineStr">
        <is>
          <t>LYCKSELE</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38778-2025</t>
        </is>
      </c>
      <c r="B3342" s="1" t="n">
        <v>45887.43694444445</v>
      </c>
      <c r="C3342" s="1" t="n">
        <v>45971</v>
      </c>
      <c r="D3342" t="inlineStr">
        <is>
          <t>VÄSTERBOTTENS LÄN</t>
        </is>
      </c>
      <c r="E3342" t="inlineStr">
        <is>
          <t>SKELLEFTEÅ</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39151-2025</t>
        </is>
      </c>
      <c r="B3343" s="1" t="n">
        <v>45888.60806712963</v>
      </c>
      <c r="C3343" s="1" t="n">
        <v>45971</v>
      </c>
      <c r="D3343" t="inlineStr">
        <is>
          <t>VÄSTERBOTTENS LÄN</t>
        </is>
      </c>
      <c r="E3343" t="inlineStr">
        <is>
          <t>LYCKSELE</t>
        </is>
      </c>
      <c r="F3343" t="inlineStr">
        <is>
          <t>Sveaskog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47179-2025</t>
        </is>
      </c>
      <c r="B3344" s="1" t="n">
        <v>45930.30091435185</v>
      </c>
      <c r="C3344" s="1" t="n">
        <v>45971</v>
      </c>
      <c r="D3344" t="inlineStr">
        <is>
          <t>VÄSTERBOTTENS LÄN</t>
        </is>
      </c>
      <c r="E3344" t="inlineStr">
        <is>
          <t>UMEÅ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46878-2025</t>
        </is>
      </c>
      <c r="B3345" s="1" t="n">
        <v>45929.34473379629</v>
      </c>
      <c r="C3345" s="1" t="n">
        <v>45971</v>
      </c>
      <c r="D3345" t="inlineStr">
        <is>
          <t>VÄSTERBOTTENS LÄN</t>
        </is>
      </c>
      <c r="E3345" t="inlineStr">
        <is>
          <t>NORDMALING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8801-2025</t>
        </is>
      </c>
      <c r="B3346" s="1" t="n">
        <v>45712.65678240741</v>
      </c>
      <c r="C3346" s="1" t="n">
        <v>45971</v>
      </c>
      <c r="D3346" t="inlineStr">
        <is>
          <t>VÄSTERBOTTENS LÄN</t>
        </is>
      </c>
      <c r="E3346" t="inlineStr">
        <is>
          <t>SKELLEFTEÅ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8821-2025</t>
        </is>
      </c>
      <c r="B3347" s="1" t="n">
        <v>45712.77956018518</v>
      </c>
      <c r="C3347" s="1" t="n">
        <v>45971</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40618-2023</t>
        </is>
      </c>
      <c r="B3348" s="1" t="n">
        <v>45170</v>
      </c>
      <c r="C3348" s="1" t="n">
        <v>45971</v>
      </c>
      <c r="D3348" t="inlineStr">
        <is>
          <t>VÄSTERBOTTENS LÄN</t>
        </is>
      </c>
      <c r="E3348" t="inlineStr">
        <is>
          <t>MALÅ</t>
        </is>
      </c>
      <c r="F3348" t="inlineStr">
        <is>
          <t>Sveaskog</t>
        </is>
      </c>
      <c r="G3348" t="n">
        <v>23.4</v>
      </c>
      <c r="H3348" t="n">
        <v>0</v>
      </c>
      <c r="I3348" t="n">
        <v>0</v>
      </c>
      <c r="J3348" t="n">
        <v>0</v>
      </c>
      <c r="K3348" t="n">
        <v>0</v>
      </c>
      <c r="L3348" t="n">
        <v>0</v>
      </c>
      <c r="M3348" t="n">
        <v>0</v>
      </c>
      <c r="N3348" t="n">
        <v>0</v>
      </c>
      <c r="O3348" t="n">
        <v>0</v>
      </c>
      <c r="P3348" t="n">
        <v>0</v>
      </c>
      <c r="Q3348" t="n">
        <v>0</v>
      </c>
      <c r="R3348" s="2" t="inlineStr"/>
    </row>
    <row r="3349" ht="15" customHeight="1">
      <c r="A3349" t="inlineStr">
        <is>
          <t>A 46864-2025</t>
        </is>
      </c>
      <c r="B3349" s="1" t="n">
        <v>45929.32023148148</v>
      </c>
      <c r="C3349" s="1" t="n">
        <v>45971</v>
      </c>
      <c r="D3349" t="inlineStr">
        <is>
          <t>VÄSTERBOTTENS LÄN</t>
        </is>
      </c>
      <c r="E3349" t="inlineStr">
        <is>
          <t>UMEÅ</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46871-2025</t>
        </is>
      </c>
      <c r="B3350" s="1" t="n">
        <v>45929.34304398148</v>
      </c>
      <c r="C3350" s="1" t="n">
        <v>45971</v>
      </c>
      <c r="D3350" t="inlineStr">
        <is>
          <t>VÄSTERBOTTENS LÄN</t>
        </is>
      </c>
      <c r="E3350" t="inlineStr">
        <is>
          <t>BJURHOLM</t>
        </is>
      </c>
      <c r="F3350" t="inlineStr">
        <is>
          <t>Holmen skog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9551-2025</t>
        </is>
      </c>
      <c r="B3351" s="1" t="n">
        <v>45715.59438657408</v>
      </c>
      <c r="C3351" s="1" t="n">
        <v>45971</v>
      </c>
      <c r="D3351" t="inlineStr">
        <is>
          <t>VÄSTERBOTTENS LÄN</t>
        </is>
      </c>
      <c r="E3351" t="inlineStr">
        <is>
          <t>LYCKSELE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54968-2024</t>
        </is>
      </c>
      <c r="B3352" s="1" t="n">
        <v>45620.4262962963</v>
      </c>
      <c r="C3352" s="1" t="n">
        <v>45971</v>
      </c>
      <c r="D3352" t="inlineStr">
        <is>
          <t>VÄSTERBOTTENS LÄN</t>
        </is>
      </c>
      <c r="E3352" t="inlineStr">
        <is>
          <t>ROBERTSFORS</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38862-2025</t>
        </is>
      </c>
      <c r="B3353" s="1" t="n">
        <v>45887.56513888889</v>
      </c>
      <c r="C3353" s="1" t="n">
        <v>45971</v>
      </c>
      <c r="D3353" t="inlineStr">
        <is>
          <t>VÄSTERBOTTENS LÄN</t>
        </is>
      </c>
      <c r="E3353" t="inlineStr">
        <is>
          <t>NORSJÖ</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15847-2023</t>
        </is>
      </c>
      <c r="B3354" s="1" t="n">
        <v>45022</v>
      </c>
      <c r="C3354" s="1" t="n">
        <v>45971</v>
      </c>
      <c r="D3354" t="inlineStr">
        <is>
          <t>VÄSTERBOTTENS LÄN</t>
        </is>
      </c>
      <c r="E3354" t="inlineStr">
        <is>
          <t>MALÅ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15850-2023</t>
        </is>
      </c>
      <c r="B3355" s="1" t="n">
        <v>45022</v>
      </c>
      <c r="C3355" s="1" t="n">
        <v>45971</v>
      </c>
      <c r="D3355" t="inlineStr">
        <is>
          <t>VÄSTERBOTTENS LÄN</t>
        </is>
      </c>
      <c r="E3355" t="inlineStr">
        <is>
          <t>MALÅ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47125-2025</t>
        </is>
      </c>
      <c r="B3356" s="1" t="n">
        <v>45929.68402777778</v>
      </c>
      <c r="C3356" s="1" t="n">
        <v>45971</v>
      </c>
      <c r="D3356" t="inlineStr">
        <is>
          <t>VÄSTERBOTTENS LÄN</t>
        </is>
      </c>
      <c r="E3356" t="inlineStr">
        <is>
          <t>STORUMAN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35189-2022</t>
        </is>
      </c>
      <c r="B3357" s="1" t="n">
        <v>44797</v>
      </c>
      <c r="C3357" s="1" t="n">
        <v>45971</v>
      </c>
      <c r="D3357" t="inlineStr">
        <is>
          <t>VÄSTERBOTTENS LÄN</t>
        </is>
      </c>
      <c r="E3357" t="inlineStr">
        <is>
          <t>SKELLEFTEÅ</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47419-2025</t>
        </is>
      </c>
      <c r="B3358" s="1" t="n">
        <v>45930.62128472222</v>
      </c>
      <c r="C3358" s="1" t="n">
        <v>45971</v>
      </c>
      <c r="D3358" t="inlineStr">
        <is>
          <t>VÄSTERBOTTENS LÄN</t>
        </is>
      </c>
      <c r="E3358" t="inlineStr">
        <is>
          <t>NORSJÖ</t>
        </is>
      </c>
      <c r="F3358" t="inlineStr">
        <is>
          <t>Holmen skog AB</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47421-2025</t>
        </is>
      </c>
      <c r="B3359" s="1" t="n">
        <v>45930.62444444445</v>
      </c>
      <c r="C3359" s="1" t="n">
        <v>45971</v>
      </c>
      <c r="D3359" t="inlineStr">
        <is>
          <t>VÄSTERBOTTENS LÄN</t>
        </is>
      </c>
      <c r="E3359" t="inlineStr">
        <is>
          <t>UMEÅ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47433-2025</t>
        </is>
      </c>
      <c r="B3360" s="1" t="n">
        <v>45930.63641203703</v>
      </c>
      <c r="C3360" s="1" t="n">
        <v>45971</v>
      </c>
      <c r="D3360" t="inlineStr">
        <is>
          <t>VÄSTERBOTTENS LÄN</t>
        </is>
      </c>
      <c r="E3360" t="inlineStr">
        <is>
          <t>ÅSELE</t>
        </is>
      </c>
      <c r="F3360" t="inlineStr">
        <is>
          <t>SCA</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46980-2025</t>
        </is>
      </c>
      <c r="B3361" s="1" t="n">
        <v>45929.52806712963</v>
      </c>
      <c r="C3361" s="1" t="n">
        <v>45971</v>
      </c>
      <c r="D3361" t="inlineStr">
        <is>
          <t>VÄSTERBOTTENS LÄN</t>
        </is>
      </c>
      <c r="E3361" t="inlineStr">
        <is>
          <t>ROBERTSFORS</t>
        </is>
      </c>
      <c r="F3361" t="inlineStr">
        <is>
          <t>Holmen skog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7001-2022</t>
        </is>
      </c>
      <c r="B3362" s="1" t="n">
        <v>44603</v>
      </c>
      <c r="C3362" s="1" t="n">
        <v>45971</v>
      </c>
      <c r="D3362" t="inlineStr">
        <is>
          <t>VÄSTERBOTTENS LÄN</t>
        </is>
      </c>
      <c r="E3362" t="inlineStr">
        <is>
          <t>LYCKSELE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61132-2022</t>
        </is>
      </c>
      <c r="B3363" s="1" t="n">
        <v>44915.44849537037</v>
      </c>
      <c r="C3363" s="1" t="n">
        <v>45971</v>
      </c>
      <c r="D3363" t="inlineStr">
        <is>
          <t>VÄSTERBOTTENS LÄN</t>
        </is>
      </c>
      <c r="E3363" t="inlineStr">
        <is>
          <t>SKELLEFTEÅ</t>
        </is>
      </c>
      <c r="F3363" t="inlineStr">
        <is>
          <t>Sveaskog</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47027-2025</t>
        </is>
      </c>
      <c r="B3364" s="1" t="n">
        <v>45929.58471064815</v>
      </c>
      <c r="C3364" s="1" t="n">
        <v>45971</v>
      </c>
      <c r="D3364" t="inlineStr">
        <is>
          <t>VÄSTERBOTTENS LÄN</t>
        </is>
      </c>
      <c r="E3364" t="inlineStr">
        <is>
          <t>ÅSELE</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62319-2022</t>
        </is>
      </c>
      <c r="B3365" s="1" t="n">
        <v>44923</v>
      </c>
      <c r="C3365" s="1" t="n">
        <v>45971</v>
      </c>
      <c r="D3365" t="inlineStr">
        <is>
          <t>VÄSTERBOTTENS LÄN</t>
        </is>
      </c>
      <c r="E3365" t="inlineStr">
        <is>
          <t>SKELLEFTEÅ</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38833-2025</t>
        </is>
      </c>
      <c r="B3366" s="1" t="n">
        <v>45887.53068287037</v>
      </c>
      <c r="C3366" s="1" t="n">
        <v>45971</v>
      </c>
      <c r="D3366" t="inlineStr">
        <is>
          <t>VÄSTERBOTTENS LÄN</t>
        </is>
      </c>
      <c r="E3366" t="inlineStr">
        <is>
          <t>VINDELN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8596-2025</t>
        </is>
      </c>
      <c r="B3367" s="1" t="n">
        <v>45709.73266203704</v>
      </c>
      <c r="C3367" s="1" t="n">
        <v>45971</v>
      </c>
      <c r="D3367" t="inlineStr">
        <is>
          <t>VÄSTERBOTTENS LÄN</t>
        </is>
      </c>
      <c r="E3367" t="inlineStr">
        <is>
          <t>LYCKSELE</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11963-2023</t>
        </is>
      </c>
      <c r="B3368" s="1" t="n">
        <v>44994</v>
      </c>
      <c r="C3368" s="1" t="n">
        <v>45971</v>
      </c>
      <c r="D3368" t="inlineStr">
        <is>
          <t>VÄSTERBOTTENS LÄN</t>
        </is>
      </c>
      <c r="E3368" t="inlineStr">
        <is>
          <t>SKELLEFTEÅ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58975-2022</t>
        </is>
      </c>
      <c r="B3369" s="1" t="n">
        <v>44903</v>
      </c>
      <c r="C3369" s="1" t="n">
        <v>45971</v>
      </c>
      <c r="D3369" t="inlineStr">
        <is>
          <t>VÄSTERBOTTENS LÄN</t>
        </is>
      </c>
      <c r="E3369" t="inlineStr">
        <is>
          <t>LYCKSELE</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47113-2025</t>
        </is>
      </c>
      <c r="B3370" s="1" t="n">
        <v>45929.67430555556</v>
      </c>
      <c r="C3370" s="1" t="n">
        <v>45971</v>
      </c>
      <c r="D3370" t="inlineStr">
        <is>
          <t>VÄSTERBOTTENS LÄN</t>
        </is>
      </c>
      <c r="E3370" t="inlineStr">
        <is>
          <t>LYCKSELE</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25102-2021</t>
        </is>
      </c>
      <c r="B3371" s="1" t="n">
        <v>44341</v>
      </c>
      <c r="C3371" s="1" t="n">
        <v>45971</v>
      </c>
      <c r="D3371" t="inlineStr">
        <is>
          <t>VÄSTERBOTTENS LÄN</t>
        </is>
      </c>
      <c r="E3371" t="inlineStr">
        <is>
          <t>VILHELMINA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24825-2025</t>
        </is>
      </c>
      <c r="B3372" s="1" t="n">
        <v>45799.45575231482</v>
      </c>
      <c r="C3372" s="1" t="n">
        <v>45971</v>
      </c>
      <c r="D3372" t="inlineStr">
        <is>
          <t>VÄSTERBOTTENS LÄN</t>
        </is>
      </c>
      <c r="E3372" t="inlineStr">
        <is>
          <t>SKELLEFTEÅ</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30167-2025</t>
        </is>
      </c>
      <c r="B3373" s="1" t="n">
        <v>45827</v>
      </c>
      <c r="C3373" s="1" t="n">
        <v>45971</v>
      </c>
      <c r="D3373" t="inlineStr">
        <is>
          <t>VÄSTERBOTTENS LÄN</t>
        </is>
      </c>
      <c r="E3373" t="inlineStr">
        <is>
          <t>ÅSELE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53092-2024</t>
        </is>
      </c>
      <c r="B3374" s="1" t="n">
        <v>45611</v>
      </c>
      <c r="C3374" s="1" t="n">
        <v>45971</v>
      </c>
      <c r="D3374" t="inlineStr">
        <is>
          <t>VÄSTERBOTTENS LÄN</t>
        </is>
      </c>
      <c r="E3374" t="inlineStr">
        <is>
          <t>DOROTEA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47182-2025</t>
        </is>
      </c>
      <c r="B3375" s="1" t="n">
        <v>45930.31474537037</v>
      </c>
      <c r="C3375" s="1" t="n">
        <v>45971</v>
      </c>
      <c r="D3375" t="inlineStr">
        <is>
          <t>VÄSTERBOTTENS LÄN</t>
        </is>
      </c>
      <c r="E3375" t="inlineStr">
        <is>
          <t>NORSJÖ</t>
        </is>
      </c>
      <c r="F3375" t="inlineStr">
        <is>
          <t>Holmen skog AB</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44368-2024</t>
        </is>
      </c>
      <c r="B3376" s="1" t="n">
        <v>45573</v>
      </c>
      <c r="C3376" s="1" t="n">
        <v>45971</v>
      </c>
      <c r="D3376" t="inlineStr">
        <is>
          <t>VÄSTERBOTTENS LÄN</t>
        </is>
      </c>
      <c r="E3376" t="inlineStr">
        <is>
          <t>VILHELMINA</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44973-2023</t>
        </is>
      </c>
      <c r="B3377" s="1" t="n">
        <v>45190.92554398148</v>
      </c>
      <c r="C3377" s="1" t="n">
        <v>45971</v>
      </c>
      <c r="D3377" t="inlineStr">
        <is>
          <t>VÄSTERBOTTENS LÄN</t>
        </is>
      </c>
      <c r="E3377" t="inlineStr">
        <is>
          <t>DOROTEA</t>
        </is>
      </c>
      <c r="G3377" t="n">
        <v>23.9</v>
      </c>
      <c r="H3377" t="n">
        <v>0</v>
      </c>
      <c r="I3377" t="n">
        <v>0</v>
      </c>
      <c r="J3377" t="n">
        <v>0</v>
      </c>
      <c r="K3377" t="n">
        <v>0</v>
      </c>
      <c r="L3377" t="n">
        <v>0</v>
      </c>
      <c r="M3377" t="n">
        <v>0</v>
      </c>
      <c r="N3377" t="n">
        <v>0</v>
      </c>
      <c r="O3377" t="n">
        <v>0</v>
      </c>
      <c r="P3377" t="n">
        <v>0</v>
      </c>
      <c r="Q3377" t="n">
        <v>0</v>
      </c>
      <c r="R3377" s="2" t="inlineStr"/>
    </row>
    <row r="3378" ht="15" customHeight="1">
      <c r="A3378" t="inlineStr">
        <is>
          <t>A 44976-2023</t>
        </is>
      </c>
      <c r="B3378" s="1" t="n">
        <v>45190</v>
      </c>
      <c r="C3378" s="1" t="n">
        <v>45971</v>
      </c>
      <c r="D3378" t="inlineStr">
        <is>
          <t>VÄSTERBOTTENS LÄN</t>
        </is>
      </c>
      <c r="E3378" t="inlineStr">
        <is>
          <t>NORSJÖ</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33711-2023</t>
        </is>
      </c>
      <c r="B3379" s="1" t="n">
        <v>45132</v>
      </c>
      <c r="C3379" s="1" t="n">
        <v>45971</v>
      </c>
      <c r="D3379" t="inlineStr">
        <is>
          <t>VÄSTERBOTTENS LÄN</t>
        </is>
      </c>
      <c r="E3379" t="inlineStr">
        <is>
          <t>BJURHOLM</t>
        </is>
      </c>
      <c r="F3379" t="inlineStr">
        <is>
          <t>SCA</t>
        </is>
      </c>
      <c r="G3379" t="n">
        <v>70.09999999999999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16494-2023</t>
        </is>
      </c>
      <c r="B3380" s="1" t="n">
        <v>45029.60325231482</v>
      </c>
      <c r="C3380" s="1" t="n">
        <v>45971</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1869-2023</t>
        </is>
      </c>
      <c r="B3381" s="1" t="n">
        <v>44938.93825231482</v>
      </c>
      <c r="C3381" s="1" t="n">
        <v>45971</v>
      </c>
      <c r="D3381" t="inlineStr">
        <is>
          <t>VÄSTERBOTTENS LÄN</t>
        </is>
      </c>
      <c r="E3381" t="inlineStr">
        <is>
          <t>VINDELN</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14697-2024</t>
        </is>
      </c>
      <c r="B3382" s="1" t="n">
        <v>45397.48680555556</v>
      </c>
      <c r="C3382" s="1" t="n">
        <v>45971</v>
      </c>
      <c r="D3382" t="inlineStr">
        <is>
          <t>VÄSTERBOTTENS LÄN</t>
        </is>
      </c>
      <c r="E3382" t="inlineStr">
        <is>
          <t>VINDELN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36268-2023</t>
        </is>
      </c>
      <c r="B3383" s="1" t="n">
        <v>45151.94431712963</v>
      </c>
      <c r="C3383" s="1" t="n">
        <v>45971</v>
      </c>
      <c r="D3383" t="inlineStr">
        <is>
          <t>VÄSTERBOTTENS LÄN</t>
        </is>
      </c>
      <c r="E3383" t="inlineStr">
        <is>
          <t>VINDELN</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21666-2024</t>
        </is>
      </c>
      <c r="B3384" s="1" t="n">
        <v>45441.85204861111</v>
      </c>
      <c r="C3384" s="1" t="n">
        <v>45971</v>
      </c>
      <c r="D3384" t="inlineStr">
        <is>
          <t>VÄSTERBOTTENS LÄN</t>
        </is>
      </c>
      <c r="E3384" t="inlineStr">
        <is>
          <t>LYCKSELE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28724-2023</t>
        </is>
      </c>
      <c r="B3385" s="1" t="n">
        <v>45103</v>
      </c>
      <c r="C3385" s="1" t="n">
        <v>45971</v>
      </c>
      <c r="D3385" t="inlineStr">
        <is>
          <t>VÄSTERBOTTENS LÄN</t>
        </is>
      </c>
      <c r="E3385" t="inlineStr">
        <is>
          <t>ÅSELE</t>
        </is>
      </c>
      <c r="F3385" t="inlineStr">
        <is>
          <t>Sveaskog</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28739-2023</t>
        </is>
      </c>
      <c r="B3386" s="1" t="n">
        <v>45103</v>
      </c>
      <c r="C3386" s="1" t="n">
        <v>45971</v>
      </c>
      <c r="D3386" t="inlineStr">
        <is>
          <t>VÄSTERBOTTENS LÄN</t>
        </is>
      </c>
      <c r="E3386" t="inlineStr">
        <is>
          <t>VINDELN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28781-2023</t>
        </is>
      </c>
      <c r="B3387" s="1" t="n">
        <v>45104</v>
      </c>
      <c r="C3387" s="1" t="n">
        <v>45971</v>
      </c>
      <c r="D3387" t="inlineStr">
        <is>
          <t>VÄSTERBOTTENS LÄN</t>
        </is>
      </c>
      <c r="E3387" t="inlineStr">
        <is>
          <t>VINDELN</t>
        </is>
      </c>
      <c r="F3387" t="inlineStr">
        <is>
          <t>Holmen skog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20322-2022</t>
        </is>
      </c>
      <c r="B3388" s="1" t="n">
        <v>44698</v>
      </c>
      <c r="C3388" s="1" t="n">
        <v>45971</v>
      </c>
      <c r="D3388" t="inlineStr">
        <is>
          <t>VÄSTERBOTTENS LÄN</t>
        </is>
      </c>
      <c r="E3388" t="inlineStr">
        <is>
          <t>VILHELMINA</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49275-2023</t>
        </is>
      </c>
      <c r="B3389" s="1" t="n">
        <v>45210</v>
      </c>
      <c r="C3389" s="1" t="n">
        <v>45971</v>
      </c>
      <c r="D3389" t="inlineStr">
        <is>
          <t>VÄSTERBOTTENS LÄN</t>
        </is>
      </c>
      <c r="E3389" t="inlineStr">
        <is>
          <t>VINDELN</t>
        </is>
      </c>
      <c r="F3389" t="inlineStr">
        <is>
          <t>Sveaskog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29687-2021</t>
        </is>
      </c>
      <c r="B3390" s="1" t="n">
        <v>44362.37407407408</v>
      </c>
      <c r="C3390" s="1" t="n">
        <v>45971</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39561-2022</t>
        </is>
      </c>
      <c r="B3391" s="1" t="n">
        <v>44818.57295138889</v>
      </c>
      <c r="C3391" s="1" t="n">
        <v>45971</v>
      </c>
      <c r="D3391" t="inlineStr">
        <is>
          <t>VÄSTERBOTTENS LÄN</t>
        </is>
      </c>
      <c r="E3391" t="inlineStr">
        <is>
          <t>UMEÅ</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39275-2022</t>
        </is>
      </c>
      <c r="B3392" s="1" t="n">
        <v>44817</v>
      </c>
      <c r="C3392" s="1" t="n">
        <v>45971</v>
      </c>
      <c r="D3392" t="inlineStr">
        <is>
          <t>VÄSTERBOTTENS LÄN</t>
        </is>
      </c>
      <c r="E3392" t="inlineStr">
        <is>
          <t>STORUMAN</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28949-2023</t>
        </is>
      </c>
      <c r="B3393" s="1" t="n">
        <v>45104</v>
      </c>
      <c r="C3393" s="1" t="n">
        <v>45971</v>
      </c>
      <c r="D3393" t="inlineStr">
        <is>
          <t>VÄSTERBOTTENS LÄN</t>
        </is>
      </c>
      <c r="E3393" t="inlineStr">
        <is>
          <t>NORSJÖ</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62056-2024</t>
        </is>
      </c>
      <c r="B3394" s="1" t="n">
        <v>45656.37664351852</v>
      </c>
      <c r="C3394" s="1" t="n">
        <v>45971</v>
      </c>
      <c r="D3394" t="inlineStr">
        <is>
          <t>VÄSTERBOTTENS LÄN</t>
        </is>
      </c>
      <c r="E3394" t="inlineStr">
        <is>
          <t>SKELLEFTEÅ</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23647-2024</t>
        </is>
      </c>
      <c r="B3395" s="1" t="n">
        <v>45454.51224537037</v>
      </c>
      <c r="C3395" s="1" t="n">
        <v>45971</v>
      </c>
      <c r="D3395" t="inlineStr">
        <is>
          <t>VÄSTERBOTTENS LÄN</t>
        </is>
      </c>
      <c r="E3395" t="inlineStr">
        <is>
          <t>ROBERTSFORS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32854-2024</t>
        </is>
      </c>
      <c r="B3396" s="1" t="n">
        <v>45516.63974537037</v>
      </c>
      <c r="C3396" s="1" t="n">
        <v>45971</v>
      </c>
      <c r="D3396" t="inlineStr">
        <is>
          <t>VÄSTERBOTTENS LÄN</t>
        </is>
      </c>
      <c r="E3396" t="inlineStr">
        <is>
          <t>LYCKSELE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38922-2025</t>
        </is>
      </c>
      <c r="B3397" s="1" t="n">
        <v>45887.62902777778</v>
      </c>
      <c r="C3397" s="1" t="n">
        <v>45971</v>
      </c>
      <c r="D3397" t="inlineStr">
        <is>
          <t>VÄSTERBOTTENS LÄN</t>
        </is>
      </c>
      <c r="E3397" t="inlineStr">
        <is>
          <t>LYCKSELE</t>
        </is>
      </c>
      <c r="F3397" t="inlineStr">
        <is>
          <t>Sveaskog</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32921-2024</t>
        </is>
      </c>
      <c r="B3398" s="1" t="n">
        <v>45516.9525462963</v>
      </c>
      <c r="C3398" s="1" t="n">
        <v>45971</v>
      </c>
      <c r="D3398" t="inlineStr">
        <is>
          <t>VÄSTERBOTTENS LÄN</t>
        </is>
      </c>
      <c r="E3398" t="inlineStr">
        <is>
          <t>VILHELMINA</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27595-2023</t>
        </is>
      </c>
      <c r="B3399" s="1" t="n">
        <v>45097</v>
      </c>
      <c r="C3399" s="1" t="n">
        <v>45971</v>
      </c>
      <c r="D3399" t="inlineStr">
        <is>
          <t>VÄSTERBOTTENS LÄN</t>
        </is>
      </c>
      <c r="E3399" t="inlineStr">
        <is>
          <t>LYCKSELE</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470-2023</t>
        </is>
      </c>
      <c r="B3400" s="1" t="n">
        <v>44929.92520833333</v>
      </c>
      <c r="C3400" s="1" t="n">
        <v>45971</v>
      </c>
      <c r="D3400" t="inlineStr">
        <is>
          <t>VÄSTERBOTTENS LÄN</t>
        </is>
      </c>
      <c r="E3400" t="inlineStr">
        <is>
          <t>NORSJÖ</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26531-2024</t>
        </is>
      </c>
      <c r="B3401" s="1" t="n">
        <v>45469</v>
      </c>
      <c r="C3401" s="1" t="n">
        <v>45971</v>
      </c>
      <c r="D3401" t="inlineStr">
        <is>
          <t>VÄSTERBOTTENS LÄN</t>
        </is>
      </c>
      <c r="E3401" t="inlineStr">
        <is>
          <t>LYCKSELE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38906-2025</t>
        </is>
      </c>
      <c r="B3402" s="1" t="n">
        <v>45887.60821759259</v>
      </c>
      <c r="C3402" s="1" t="n">
        <v>45971</v>
      </c>
      <c r="D3402" t="inlineStr">
        <is>
          <t>VÄSTERBOTTENS LÄN</t>
        </is>
      </c>
      <c r="E3402" t="inlineStr">
        <is>
          <t>SKELLEFTEÅ</t>
        </is>
      </c>
      <c r="F3402" t="inlineStr">
        <is>
          <t>Holmen skog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56515-2024</t>
        </is>
      </c>
      <c r="B3403" s="1" t="n">
        <v>45625.53189814815</v>
      </c>
      <c r="C3403" s="1" t="n">
        <v>45971</v>
      </c>
      <c r="D3403" t="inlineStr">
        <is>
          <t>VÄSTERBOTTENS LÄN</t>
        </is>
      </c>
      <c r="E3403" t="inlineStr">
        <is>
          <t>SORSELE</t>
        </is>
      </c>
      <c r="F3403" t="inlineStr">
        <is>
          <t>SCA</t>
        </is>
      </c>
      <c r="G3403" t="n">
        <v>20.4</v>
      </c>
      <c r="H3403" t="n">
        <v>0</v>
      </c>
      <c r="I3403" t="n">
        <v>0</v>
      </c>
      <c r="J3403" t="n">
        <v>0</v>
      </c>
      <c r="K3403" t="n">
        <v>0</v>
      </c>
      <c r="L3403" t="n">
        <v>0</v>
      </c>
      <c r="M3403" t="n">
        <v>0</v>
      </c>
      <c r="N3403" t="n">
        <v>0</v>
      </c>
      <c r="O3403" t="n">
        <v>0</v>
      </c>
      <c r="P3403" t="n">
        <v>0</v>
      </c>
      <c r="Q3403" t="n">
        <v>0</v>
      </c>
      <c r="R3403" s="2" t="inlineStr"/>
    </row>
    <row r="3404" ht="15" customHeight="1">
      <c r="A3404" t="inlineStr">
        <is>
          <t>A 56518-2023</t>
        </is>
      </c>
      <c r="B3404" s="1" t="n">
        <v>45238</v>
      </c>
      <c r="C3404" s="1" t="n">
        <v>45971</v>
      </c>
      <c r="D3404" t="inlineStr">
        <is>
          <t>VÄSTERBOTTENS LÄN</t>
        </is>
      </c>
      <c r="E3404" t="inlineStr">
        <is>
          <t>LYCKSELE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2695-2023</t>
        </is>
      </c>
      <c r="B3405" s="1" t="n">
        <v>44944</v>
      </c>
      <c r="C3405" s="1" t="n">
        <v>45971</v>
      </c>
      <c r="D3405" t="inlineStr">
        <is>
          <t>VÄSTERBOTTENS LÄN</t>
        </is>
      </c>
      <c r="E3405" t="inlineStr">
        <is>
          <t>UMEÅ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38774-2025</t>
        </is>
      </c>
      <c r="B3406" s="1" t="n">
        <v>45887.42543981481</v>
      </c>
      <c r="C3406" s="1" t="n">
        <v>45971</v>
      </c>
      <c r="D3406" t="inlineStr">
        <is>
          <t>VÄSTERBOTTENS LÄN</t>
        </is>
      </c>
      <c r="E3406" t="inlineStr">
        <is>
          <t>LYCKSELE</t>
        </is>
      </c>
      <c r="F3406" t="inlineStr">
        <is>
          <t>Sveaskog</t>
        </is>
      </c>
      <c r="G3406" t="n">
        <v>10.7</v>
      </c>
      <c r="H3406" t="n">
        <v>0</v>
      </c>
      <c r="I3406" t="n">
        <v>0</v>
      </c>
      <c r="J3406" t="n">
        <v>0</v>
      </c>
      <c r="K3406" t="n">
        <v>0</v>
      </c>
      <c r="L3406" t="n">
        <v>0</v>
      </c>
      <c r="M3406" t="n">
        <v>0</v>
      </c>
      <c r="N3406" t="n">
        <v>0</v>
      </c>
      <c r="O3406" t="n">
        <v>0</v>
      </c>
      <c r="P3406" t="n">
        <v>0</v>
      </c>
      <c r="Q3406" t="n">
        <v>0</v>
      </c>
      <c r="R3406" s="2" t="inlineStr"/>
    </row>
    <row r="3407" ht="15" customHeight="1">
      <c r="A3407" t="inlineStr">
        <is>
          <t>A 56529-2024</t>
        </is>
      </c>
      <c r="B3407" s="1" t="n">
        <v>45625.5534837963</v>
      </c>
      <c r="C3407" s="1" t="n">
        <v>45971</v>
      </c>
      <c r="D3407" t="inlineStr">
        <is>
          <t>VÄSTERBOTTENS LÄN</t>
        </is>
      </c>
      <c r="E3407" t="inlineStr">
        <is>
          <t>SKELLEFTEÅ</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56530-2024</t>
        </is>
      </c>
      <c r="B3408" s="1" t="n">
        <v>45625</v>
      </c>
      <c r="C3408" s="1" t="n">
        <v>45971</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25652-2024</t>
        </is>
      </c>
      <c r="B3409" s="1" t="n">
        <v>45463</v>
      </c>
      <c r="C3409" s="1" t="n">
        <v>45971</v>
      </c>
      <c r="D3409" t="inlineStr">
        <is>
          <t>VÄSTERBOTTENS LÄN</t>
        </is>
      </c>
      <c r="E3409" t="inlineStr">
        <is>
          <t>VINDELN</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2742-2023</t>
        </is>
      </c>
      <c r="B3410" s="1" t="n">
        <v>44943</v>
      </c>
      <c r="C3410" s="1" t="n">
        <v>45971</v>
      </c>
      <c r="D3410" t="inlineStr">
        <is>
          <t>VÄSTERBOTTENS LÄN</t>
        </is>
      </c>
      <c r="E3410" t="inlineStr">
        <is>
          <t>VILHELMINA</t>
        </is>
      </c>
      <c r="G3410" t="n">
        <v>34.8</v>
      </c>
      <c r="H3410" t="n">
        <v>0</v>
      </c>
      <c r="I3410" t="n">
        <v>0</v>
      </c>
      <c r="J3410" t="n">
        <v>0</v>
      </c>
      <c r="K3410" t="n">
        <v>0</v>
      </c>
      <c r="L3410" t="n">
        <v>0</v>
      </c>
      <c r="M3410" t="n">
        <v>0</v>
      </c>
      <c r="N3410" t="n">
        <v>0</v>
      </c>
      <c r="O3410" t="n">
        <v>0</v>
      </c>
      <c r="P3410" t="n">
        <v>0</v>
      </c>
      <c r="Q3410" t="n">
        <v>0</v>
      </c>
      <c r="R3410" s="2" t="inlineStr"/>
    </row>
    <row r="3411" ht="15" customHeight="1">
      <c r="A3411" t="inlineStr">
        <is>
          <t>A 38828-2025</t>
        </is>
      </c>
      <c r="B3411" s="1" t="n">
        <v>45887.51891203703</v>
      </c>
      <c r="C3411" s="1" t="n">
        <v>45971</v>
      </c>
      <c r="D3411" t="inlineStr">
        <is>
          <t>VÄSTERBOTTENS LÄN</t>
        </is>
      </c>
      <c r="E3411" t="inlineStr">
        <is>
          <t>SORSELE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25687-2024</t>
        </is>
      </c>
      <c r="B3412" s="1" t="n">
        <v>45463</v>
      </c>
      <c r="C3412" s="1" t="n">
        <v>45971</v>
      </c>
      <c r="D3412" t="inlineStr">
        <is>
          <t>VÄSTERBOTTENS LÄN</t>
        </is>
      </c>
      <c r="E3412" t="inlineStr">
        <is>
          <t>UMEÅ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3947-2024</t>
        </is>
      </c>
      <c r="B3413" s="1" t="n">
        <v>45322</v>
      </c>
      <c r="C3413" s="1" t="n">
        <v>45971</v>
      </c>
      <c r="D3413" t="inlineStr">
        <is>
          <t>VÄSTERBOTTENS LÄN</t>
        </is>
      </c>
      <c r="E3413" t="inlineStr">
        <is>
          <t>SKELLEFTEÅ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25701-2024</t>
        </is>
      </c>
      <c r="B3414" s="1" t="n">
        <v>45463.94247685185</v>
      </c>
      <c r="C3414" s="1" t="n">
        <v>45971</v>
      </c>
      <c r="D3414" t="inlineStr">
        <is>
          <t>VÄSTERBOTTENS LÄN</t>
        </is>
      </c>
      <c r="E3414" t="inlineStr">
        <is>
          <t>VILHELMINA</t>
        </is>
      </c>
      <c r="F3414" t="inlineStr">
        <is>
          <t>SCA</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25713-2024</t>
        </is>
      </c>
      <c r="B3415" s="1" t="n">
        <v>45463</v>
      </c>
      <c r="C3415" s="1" t="n">
        <v>45971</v>
      </c>
      <c r="D3415" t="inlineStr">
        <is>
          <t>VÄSTERBOTTENS LÄN</t>
        </is>
      </c>
      <c r="E3415" t="inlineStr">
        <is>
          <t>ÅSELE</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56590-2024</t>
        </is>
      </c>
      <c r="B3416" s="1" t="n">
        <v>45625.62136574074</v>
      </c>
      <c r="C3416" s="1" t="n">
        <v>45971</v>
      </c>
      <c r="D3416" t="inlineStr">
        <is>
          <t>VÄSTERBOTTENS LÄN</t>
        </is>
      </c>
      <c r="E3416" t="inlineStr">
        <is>
          <t>DOROTEA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10795-2023</t>
        </is>
      </c>
      <c r="B3417" s="1" t="n">
        <v>44989.42253472222</v>
      </c>
      <c r="C3417" s="1" t="n">
        <v>45971</v>
      </c>
      <c r="D3417" t="inlineStr">
        <is>
          <t>VÄSTERBOTTENS LÄN</t>
        </is>
      </c>
      <c r="E3417" t="inlineStr">
        <is>
          <t>SORSELE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56297-2023</t>
        </is>
      </c>
      <c r="B3418" s="1" t="n">
        <v>45242</v>
      </c>
      <c r="C3418" s="1" t="n">
        <v>45971</v>
      </c>
      <c r="D3418" t="inlineStr">
        <is>
          <t>VÄSTERBOTTENS LÄN</t>
        </is>
      </c>
      <c r="E3418" t="inlineStr">
        <is>
          <t>STORUMAN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13432-2025</t>
        </is>
      </c>
      <c r="B3419" s="1" t="n">
        <v>45736.33638888889</v>
      </c>
      <c r="C3419" s="1" t="n">
        <v>45971</v>
      </c>
      <c r="D3419" t="inlineStr">
        <is>
          <t>VÄSTERBOTTENS LÄN</t>
        </is>
      </c>
      <c r="E3419" t="inlineStr">
        <is>
          <t>MALÅ</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38832-2025</t>
        </is>
      </c>
      <c r="B3420" s="1" t="n">
        <v>45887.52810185185</v>
      </c>
      <c r="C3420" s="1" t="n">
        <v>45971</v>
      </c>
      <c r="D3420" t="inlineStr">
        <is>
          <t>VÄSTERBOTTENS LÄN</t>
        </is>
      </c>
      <c r="E3420" t="inlineStr">
        <is>
          <t>VINDELN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38864-2025</t>
        </is>
      </c>
      <c r="B3421" s="1" t="n">
        <v>45887.56605324074</v>
      </c>
      <c r="C3421" s="1" t="n">
        <v>45971</v>
      </c>
      <c r="D3421" t="inlineStr">
        <is>
          <t>VÄSTERBOTTENS LÄN</t>
        </is>
      </c>
      <c r="E3421" t="inlineStr">
        <is>
          <t>NORDMALING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38870-2025</t>
        </is>
      </c>
      <c r="B3422" s="1" t="n">
        <v>45887.57328703703</v>
      </c>
      <c r="C3422" s="1" t="n">
        <v>45971</v>
      </c>
      <c r="D3422" t="inlineStr">
        <is>
          <t>VÄSTERBOTTENS LÄN</t>
        </is>
      </c>
      <c r="E3422" t="inlineStr">
        <is>
          <t>NORDMALING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30153-2023</t>
        </is>
      </c>
      <c r="B3423" s="1" t="n">
        <v>45110</v>
      </c>
      <c r="C3423" s="1" t="n">
        <v>45971</v>
      </c>
      <c r="D3423" t="inlineStr">
        <is>
          <t>VÄSTERBOTTENS LÄN</t>
        </is>
      </c>
      <c r="E3423" t="inlineStr">
        <is>
          <t>SORSELE</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54275-2024</t>
        </is>
      </c>
      <c r="B3424" s="1" t="n">
        <v>45616.83502314815</v>
      </c>
      <c r="C3424" s="1" t="n">
        <v>45971</v>
      </c>
      <c r="D3424" t="inlineStr">
        <is>
          <t>VÄSTERBOTTENS LÄN</t>
        </is>
      </c>
      <c r="E3424" t="inlineStr">
        <is>
          <t>LYCKSELE</t>
        </is>
      </c>
      <c r="F3424" t="inlineStr">
        <is>
          <t>Sveaskog</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5783-2025</t>
        </is>
      </c>
      <c r="B3425" s="1" t="n">
        <v>45694.63975694445</v>
      </c>
      <c r="C3425" s="1" t="n">
        <v>45971</v>
      </c>
      <c r="D3425" t="inlineStr">
        <is>
          <t>VÄSTERBOTTENS LÄN</t>
        </is>
      </c>
      <c r="E3425" t="inlineStr">
        <is>
          <t>SKELLEFTEÅ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60853-2022</t>
        </is>
      </c>
      <c r="B3426" s="1" t="n">
        <v>44914.51908564815</v>
      </c>
      <c r="C3426" s="1" t="n">
        <v>45971</v>
      </c>
      <c r="D3426" t="inlineStr">
        <is>
          <t>VÄSTERBOTTENS LÄN</t>
        </is>
      </c>
      <c r="E3426" t="inlineStr">
        <is>
          <t>SKELLEFTEÅ</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64723-2023</t>
        </is>
      </c>
      <c r="B3427" s="1" t="n">
        <v>45281</v>
      </c>
      <c r="C3427" s="1" t="n">
        <v>45971</v>
      </c>
      <c r="D3427" t="inlineStr">
        <is>
          <t>VÄSTERBOTTENS LÄN</t>
        </is>
      </c>
      <c r="E3427" t="inlineStr">
        <is>
          <t>SKELLEFTEÅ</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60868-2022</t>
        </is>
      </c>
      <c r="B3428" s="1" t="n">
        <v>44908</v>
      </c>
      <c r="C3428" s="1" t="n">
        <v>45971</v>
      </c>
      <c r="D3428" t="inlineStr">
        <is>
          <t>VÄSTERBOTTENS LÄN</t>
        </is>
      </c>
      <c r="E3428" t="inlineStr">
        <is>
          <t>ÅSELE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46840-2025</t>
        </is>
      </c>
      <c r="B3429" s="1" t="n">
        <v>45928.44752314815</v>
      </c>
      <c r="C3429" s="1" t="n">
        <v>45971</v>
      </c>
      <c r="D3429" t="inlineStr">
        <is>
          <t>VÄSTERBOTTENS LÄN</t>
        </is>
      </c>
      <c r="E3429" t="inlineStr">
        <is>
          <t>VINDELN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62064-2024</t>
        </is>
      </c>
      <c r="B3430" s="1" t="n">
        <v>45656</v>
      </c>
      <c r="C3430" s="1" t="n">
        <v>45971</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26894-2024</t>
        </is>
      </c>
      <c r="B3431" s="1" t="n">
        <v>45470.66340277778</v>
      </c>
      <c r="C3431" s="1" t="n">
        <v>45971</v>
      </c>
      <c r="D3431" t="inlineStr">
        <is>
          <t>VÄSTERBOTTENS LÄN</t>
        </is>
      </c>
      <c r="E3431" t="inlineStr">
        <is>
          <t>ROBERTSFORS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26947-2024</t>
        </is>
      </c>
      <c r="B3432" s="1" t="n">
        <v>45470.9693287037</v>
      </c>
      <c r="C3432" s="1" t="n">
        <v>45971</v>
      </c>
      <c r="D3432" t="inlineStr">
        <is>
          <t>VÄSTERBOTTENS LÄN</t>
        </is>
      </c>
      <c r="E3432" t="inlineStr">
        <is>
          <t>VILHELMINA</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40822-2023</t>
        </is>
      </c>
      <c r="B3433" s="1" t="n">
        <v>45171</v>
      </c>
      <c r="C3433" s="1" t="n">
        <v>45971</v>
      </c>
      <c r="D3433" t="inlineStr">
        <is>
          <t>VÄSTERBOTTENS LÄN</t>
        </is>
      </c>
      <c r="E3433" t="inlineStr">
        <is>
          <t>MALÅ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47191-2025</t>
        </is>
      </c>
      <c r="B3434" s="1" t="n">
        <v>45930.34041666667</v>
      </c>
      <c r="C3434" s="1" t="n">
        <v>45971</v>
      </c>
      <c r="D3434" t="inlineStr">
        <is>
          <t>VÄSTERBOTTENS LÄN</t>
        </is>
      </c>
      <c r="E3434" t="inlineStr">
        <is>
          <t>NORDMALING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5147-2025</t>
        </is>
      </c>
      <c r="B3435" s="1" t="n">
        <v>45691.58826388889</v>
      </c>
      <c r="C3435" s="1" t="n">
        <v>45971</v>
      </c>
      <c r="D3435" t="inlineStr">
        <is>
          <t>VÄSTERBOTTENS LÄN</t>
        </is>
      </c>
      <c r="E3435" t="inlineStr">
        <is>
          <t>SKELLEFTEÅ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11499-2025</t>
        </is>
      </c>
      <c r="B3436" s="1" t="n">
        <v>45726.77245370371</v>
      </c>
      <c r="C3436" s="1" t="n">
        <v>45971</v>
      </c>
      <c r="D3436" t="inlineStr">
        <is>
          <t>VÄSTERBOTTENS LÄN</t>
        </is>
      </c>
      <c r="E3436" t="inlineStr">
        <is>
          <t>SORSELE</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39353-2023</t>
        </is>
      </c>
      <c r="B3437" s="1" t="n">
        <v>45166</v>
      </c>
      <c r="C3437" s="1" t="n">
        <v>45971</v>
      </c>
      <c r="D3437" t="inlineStr">
        <is>
          <t>VÄSTERBOTTENS LÄN</t>
        </is>
      </c>
      <c r="E3437" t="inlineStr">
        <is>
          <t>NORSJÖ</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58669-2022</t>
        </is>
      </c>
      <c r="B3438" s="1" t="n">
        <v>44895</v>
      </c>
      <c r="C3438" s="1" t="n">
        <v>45971</v>
      </c>
      <c r="D3438" t="inlineStr">
        <is>
          <t>VÄSTERBOTTENS LÄN</t>
        </is>
      </c>
      <c r="E3438" t="inlineStr">
        <is>
          <t>SORSELE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58715-2022</t>
        </is>
      </c>
      <c r="B3439" s="1" t="n">
        <v>44902.92510416666</v>
      </c>
      <c r="C3439" s="1" t="n">
        <v>45971</v>
      </c>
      <c r="D3439" t="inlineStr">
        <is>
          <t>VÄSTERBOTTENS LÄN</t>
        </is>
      </c>
      <c r="E3439" t="inlineStr">
        <is>
          <t>ROBERTSFORS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36037-2024</t>
        </is>
      </c>
      <c r="B3440" s="1" t="n">
        <v>45533.5966087963</v>
      </c>
      <c r="C3440" s="1" t="n">
        <v>45971</v>
      </c>
      <c r="D3440" t="inlineStr">
        <is>
          <t>VÄSTERBOTTENS LÄN</t>
        </is>
      </c>
      <c r="E3440" t="inlineStr">
        <is>
          <t>ÅSELE</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16850-2023</t>
        </is>
      </c>
      <c r="B3441" s="1" t="n">
        <v>45029</v>
      </c>
      <c r="C3441" s="1" t="n">
        <v>45971</v>
      </c>
      <c r="D3441" t="inlineStr">
        <is>
          <t>VÄSTERBOTTENS LÄN</t>
        </is>
      </c>
      <c r="E3441" t="inlineStr">
        <is>
          <t>SORSELE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57603-2024</t>
        </is>
      </c>
      <c r="B3442" s="1" t="n">
        <v>45630.53160879629</v>
      </c>
      <c r="C3442" s="1" t="n">
        <v>45971</v>
      </c>
      <c r="D3442" t="inlineStr">
        <is>
          <t>VÄSTERBOTTENS LÄN</t>
        </is>
      </c>
      <c r="E3442" t="inlineStr">
        <is>
          <t>SORSELE</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30183-2024</t>
        </is>
      </c>
      <c r="B3443" s="1" t="n">
        <v>45489.94449074074</v>
      </c>
      <c r="C3443" s="1" t="n">
        <v>45971</v>
      </c>
      <c r="D3443" t="inlineStr">
        <is>
          <t>VÄSTERBOTTENS LÄN</t>
        </is>
      </c>
      <c r="E3443" t="inlineStr">
        <is>
          <t>NORDMALING</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29932-2023</t>
        </is>
      </c>
      <c r="B3444" s="1" t="n">
        <v>45107</v>
      </c>
      <c r="C3444" s="1" t="n">
        <v>45971</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31497-2024</t>
        </is>
      </c>
      <c r="B3445" s="1" t="n">
        <v>45505.95497685186</v>
      </c>
      <c r="C3445" s="1" t="n">
        <v>45971</v>
      </c>
      <c r="D3445" t="inlineStr">
        <is>
          <t>VÄSTERBOTTENS LÄN</t>
        </is>
      </c>
      <c r="E3445" t="inlineStr">
        <is>
          <t>DOROTEA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8088-2023</t>
        </is>
      </c>
      <c r="B3446" s="1" t="n">
        <v>44974</v>
      </c>
      <c r="C3446" s="1" t="n">
        <v>45971</v>
      </c>
      <c r="D3446" t="inlineStr">
        <is>
          <t>VÄSTERBOTTENS LÄN</t>
        </is>
      </c>
      <c r="E3446" t="inlineStr">
        <is>
          <t>DOROTEA</t>
        </is>
      </c>
      <c r="G3446" t="n">
        <v>14.8</v>
      </c>
      <c r="H3446" t="n">
        <v>0</v>
      </c>
      <c r="I3446" t="n">
        <v>0</v>
      </c>
      <c r="J3446" t="n">
        <v>0</v>
      </c>
      <c r="K3446" t="n">
        <v>0</v>
      </c>
      <c r="L3446" t="n">
        <v>0</v>
      </c>
      <c r="M3446" t="n">
        <v>0</v>
      </c>
      <c r="N3446" t="n">
        <v>0</v>
      </c>
      <c r="O3446" t="n">
        <v>0</v>
      </c>
      <c r="P3446" t="n">
        <v>0</v>
      </c>
      <c r="Q3446" t="n">
        <v>0</v>
      </c>
      <c r="R3446" s="2" t="inlineStr"/>
    </row>
    <row r="3447" ht="15" customHeight="1">
      <c r="A3447" t="inlineStr">
        <is>
          <t>A 8094-2023</t>
        </is>
      </c>
      <c r="B3447" s="1" t="n">
        <v>44970</v>
      </c>
      <c r="C3447" s="1" t="n">
        <v>45971</v>
      </c>
      <c r="D3447" t="inlineStr">
        <is>
          <t>VÄSTERBOTTENS LÄN</t>
        </is>
      </c>
      <c r="E3447" t="inlineStr">
        <is>
          <t>ÅSELE</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31501-2024</t>
        </is>
      </c>
      <c r="B3448" s="1" t="n">
        <v>45505.95542824074</v>
      </c>
      <c r="C3448" s="1" t="n">
        <v>45971</v>
      </c>
      <c r="D3448" t="inlineStr">
        <is>
          <t>VÄSTERBOTTENS LÄN</t>
        </is>
      </c>
      <c r="E3448" t="inlineStr">
        <is>
          <t>DOROTEA</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56435-2022</t>
        </is>
      </c>
      <c r="B3449" s="1" t="n">
        <v>44892.39662037037</v>
      </c>
      <c r="C3449" s="1" t="n">
        <v>45971</v>
      </c>
      <c r="D3449" t="inlineStr">
        <is>
          <t>VÄSTERBOTTENS LÄN</t>
        </is>
      </c>
      <c r="E3449" t="inlineStr">
        <is>
          <t>SKELLEFTEÅ</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19462-2025</t>
        </is>
      </c>
      <c r="B3450" s="1" t="n">
        <v>45770.36570601852</v>
      </c>
      <c r="C3450" s="1" t="n">
        <v>45971</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35434-2024</t>
        </is>
      </c>
      <c r="B3451" s="1" t="n">
        <v>45531.41466435185</v>
      </c>
      <c r="C3451" s="1" t="n">
        <v>45971</v>
      </c>
      <c r="D3451" t="inlineStr">
        <is>
          <t>VÄSTERBOTTENS LÄN</t>
        </is>
      </c>
      <c r="E3451" t="inlineStr">
        <is>
          <t>UMEÅ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35435-2024</t>
        </is>
      </c>
      <c r="B3452" s="1" t="n">
        <v>45531.41481481482</v>
      </c>
      <c r="C3452" s="1" t="n">
        <v>45971</v>
      </c>
      <c r="D3452" t="inlineStr">
        <is>
          <t>VÄSTERBOTTENS LÄN</t>
        </is>
      </c>
      <c r="E3452" t="inlineStr">
        <is>
          <t>SKELLEFTEÅ</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38954-2025</t>
        </is>
      </c>
      <c r="B3453" s="1" t="n">
        <v>45887.66715277778</v>
      </c>
      <c r="C3453" s="1" t="n">
        <v>45971</v>
      </c>
      <c r="D3453" t="inlineStr">
        <is>
          <t>VÄSTERBOTTENS LÄN</t>
        </is>
      </c>
      <c r="E3453" t="inlineStr">
        <is>
          <t>SKELLEFTEÅ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38991-2025</t>
        </is>
      </c>
      <c r="B3454" s="1" t="n">
        <v>45888.32443287037</v>
      </c>
      <c r="C3454" s="1" t="n">
        <v>45971</v>
      </c>
      <c r="D3454" t="inlineStr">
        <is>
          <t>VÄSTERBOTTENS LÄN</t>
        </is>
      </c>
      <c r="E3454" t="inlineStr">
        <is>
          <t>NORDMALING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6653-2021</t>
        </is>
      </c>
      <c r="B3455" s="1" t="n">
        <v>44235</v>
      </c>
      <c r="C3455" s="1" t="n">
        <v>45971</v>
      </c>
      <c r="D3455" t="inlineStr">
        <is>
          <t>VÄSTERBOTTENS LÄN</t>
        </is>
      </c>
      <c r="E3455" t="inlineStr">
        <is>
          <t>VILHELMINA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6669-2021</t>
        </is>
      </c>
      <c r="B3456" s="1" t="n">
        <v>44235</v>
      </c>
      <c r="C3456" s="1" t="n">
        <v>45971</v>
      </c>
      <c r="D3456" t="inlineStr">
        <is>
          <t>VÄSTERBOTTENS LÄN</t>
        </is>
      </c>
      <c r="E3456" t="inlineStr">
        <is>
          <t>VILHELMINA</t>
        </is>
      </c>
      <c r="G3456" t="n">
        <v>19.8</v>
      </c>
      <c r="H3456" t="n">
        <v>0</v>
      </c>
      <c r="I3456" t="n">
        <v>0</v>
      </c>
      <c r="J3456" t="n">
        <v>0</v>
      </c>
      <c r="K3456" t="n">
        <v>0</v>
      </c>
      <c r="L3456" t="n">
        <v>0</v>
      </c>
      <c r="M3456" t="n">
        <v>0</v>
      </c>
      <c r="N3456" t="n">
        <v>0</v>
      </c>
      <c r="O3456" t="n">
        <v>0</v>
      </c>
      <c r="P3456" t="n">
        <v>0</v>
      </c>
      <c r="Q3456" t="n">
        <v>0</v>
      </c>
      <c r="R3456" s="2" t="inlineStr"/>
    </row>
    <row r="3457" ht="15" customHeight="1">
      <c r="A3457" t="inlineStr">
        <is>
          <t>A 26557-2023</t>
        </is>
      </c>
      <c r="B3457" s="1" t="n">
        <v>45089</v>
      </c>
      <c r="C3457" s="1" t="n">
        <v>45971</v>
      </c>
      <c r="D3457" t="inlineStr">
        <is>
          <t>VÄSTERBOTTENS LÄN</t>
        </is>
      </c>
      <c r="E3457" t="inlineStr">
        <is>
          <t>VILHELMINA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54456-2022</t>
        </is>
      </c>
      <c r="B3458" s="1" t="n">
        <v>44880</v>
      </c>
      <c r="C3458" s="1" t="n">
        <v>45971</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14384-2025</t>
        </is>
      </c>
      <c r="B3459" s="1" t="n">
        <v>45741.41962962963</v>
      </c>
      <c r="C3459" s="1" t="n">
        <v>45971</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42367-2021</t>
        </is>
      </c>
      <c r="B3460" s="1" t="n">
        <v>44427</v>
      </c>
      <c r="C3460" s="1" t="n">
        <v>45971</v>
      </c>
      <c r="D3460" t="inlineStr">
        <is>
          <t>VÄSTERBOTTENS LÄN</t>
        </is>
      </c>
      <c r="E3460" t="inlineStr">
        <is>
          <t>SKELLEFTEÅ</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42409-2024</t>
        </is>
      </c>
      <c r="B3461" s="1" t="n">
        <v>45565.36329861111</v>
      </c>
      <c r="C3461" s="1" t="n">
        <v>45971</v>
      </c>
      <c r="D3461" t="inlineStr">
        <is>
          <t>VÄSTERBOTTENS LÄN</t>
        </is>
      </c>
      <c r="E3461" t="inlineStr">
        <is>
          <t>VINDELN</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34762-2024</t>
        </is>
      </c>
      <c r="B3462" s="1" t="n">
        <v>45526.61637731481</v>
      </c>
      <c r="C3462" s="1" t="n">
        <v>45971</v>
      </c>
      <c r="D3462" t="inlineStr">
        <is>
          <t>VÄSTERBOTTENS LÄN</t>
        </is>
      </c>
      <c r="E3462" t="inlineStr">
        <is>
          <t>VILHELMINA</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16921-2023</t>
        </is>
      </c>
      <c r="B3463" s="1" t="n">
        <v>45029</v>
      </c>
      <c r="C3463" s="1" t="n">
        <v>45971</v>
      </c>
      <c r="D3463" t="inlineStr">
        <is>
          <t>VÄSTERBOTTENS LÄN</t>
        </is>
      </c>
      <c r="E3463" t="inlineStr">
        <is>
          <t>ROBERTSFORS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18549-2023</t>
        </is>
      </c>
      <c r="B3464" s="1" t="n">
        <v>45042.92578703703</v>
      </c>
      <c r="C3464" s="1" t="n">
        <v>45971</v>
      </c>
      <c r="D3464" t="inlineStr">
        <is>
          <t>VÄSTERBOTTENS LÄN</t>
        </is>
      </c>
      <c r="E3464" t="inlineStr">
        <is>
          <t>VINDELN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3611-2025</t>
        </is>
      </c>
      <c r="B3465" s="1" t="n">
        <v>45681.36076388889</v>
      </c>
      <c r="C3465" s="1" t="n">
        <v>45971</v>
      </c>
      <c r="D3465" t="inlineStr">
        <is>
          <t>VÄSTERBOTTENS LÄN</t>
        </is>
      </c>
      <c r="E3465" t="inlineStr">
        <is>
          <t>SKELLEFTEÅ</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5251-2025</t>
        </is>
      </c>
      <c r="B3466" s="1" t="n">
        <v>45692.34487268519</v>
      </c>
      <c r="C3466" s="1" t="n">
        <v>45971</v>
      </c>
      <c r="D3466" t="inlineStr">
        <is>
          <t>VÄSTERBOTTENS LÄN</t>
        </is>
      </c>
      <c r="E3466" t="inlineStr">
        <is>
          <t>ROBERTSFORS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5374-2025</t>
        </is>
      </c>
      <c r="B3467" s="1" t="n">
        <v>45692</v>
      </c>
      <c r="C3467" s="1" t="n">
        <v>45971</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57578-2022</t>
        </is>
      </c>
      <c r="B3468" s="1" t="n">
        <v>44896.93035879629</v>
      </c>
      <c r="C3468" s="1" t="n">
        <v>45971</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57583-2022</t>
        </is>
      </c>
      <c r="B3469" s="1" t="n">
        <v>44896.9309375</v>
      </c>
      <c r="C3469" s="1" t="n">
        <v>45971</v>
      </c>
      <c r="D3469" t="inlineStr">
        <is>
          <t>VÄSTERBOTTENS LÄN</t>
        </is>
      </c>
      <c r="E3469" t="inlineStr">
        <is>
          <t>SKELLEFTEÅ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49171-2024</t>
        </is>
      </c>
      <c r="B3470" s="1" t="n">
        <v>45595.30685185185</v>
      </c>
      <c r="C3470" s="1" t="n">
        <v>45971</v>
      </c>
      <c r="D3470" t="inlineStr">
        <is>
          <t>VÄSTERBOTTENS LÄN</t>
        </is>
      </c>
      <c r="E3470" t="inlineStr">
        <is>
          <t>SKELLEFTEÅ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41409-2023</t>
        </is>
      </c>
      <c r="B3471" s="1" t="n">
        <v>45174.93927083333</v>
      </c>
      <c r="C3471" s="1" t="n">
        <v>45971</v>
      </c>
      <c r="D3471" t="inlineStr">
        <is>
          <t>VÄSTERBOTTENS LÄN</t>
        </is>
      </c>
      <c r="E3471" t="inlineStr">
        <is>
          <t>ÅSELE</t>
        </is>
      </c>
      <c r="F3471" t="inlineStr">
        <is>
          <t>SCA</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62540-2022</t>
        </is>
      </c>
      <c r="B3472" s="1" t="n">
        <v>44917</v>
      </c>
      <c r="C3472" s="1" t="n">
        <v>45971</v>
      </c>
      <c r="D3472" t="inlineStr">
        <is>
          <t>VÄSTERBOTTENS LÄN</t>
        </is>
      </c>
      <c r="E3472" t="inlineStr">
        <is>
          <t>UMEÅ</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44626-2023</t>
        </is>
      </c>
      <c r="B3473" s="1" t="n">
        <v>45184</v>
      </c>
      <c r="C3473" s="1" t="n">
        <v>45971</v>
      </c>
      <c r="D3473" t="inlineStr">
        <is>
          <t>VÄSTERBOTTENS LÄN</t>
        </is>
      </c>
      <c r="E3473" t="inlineStr">
        <is>
          <t>MALÅ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54874-2024</t>
        </is>
      </c>
      <c r="B3474" s="1" t="n">
        <v>45618.60230324074</v>
      </c>
      <c r="C3474" s="1" t="n">
        <v>45971</v>
      </c>
      <c r="D3474" t="inlineStr">
        <is>
          <t>VÄSTERBOTTENS LÄN</t>
        </is>
      </c>
      <c r="E3474" t="inlineStr">
        <is>
          <t>SKELLEFTEÅ</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54893-2024</t>
        </is>
      </c>
      <c r="B3475" s="1" t="n">
        <v>45618.63597222222</v>
      </c>
      <c r="C3475" s="1" t="n">
        <v>45971</v>
      </c>
      <c r="D3475" t="inlineStr">
        <is>
          <t>VÄSTERBOTTENS LÄN</t>
        </is>
      </c>
      <c r="E3475" t="inlineStr">
        <is>
          <t>NORDMALING</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21669-2024</t>
        </is>
      </c>
      <c r="B3476" s="1" t="n">
        <v>45442</v>
      </c>
      <c r="C3476" s="1" t="n">
        <v>45971</v>
      </c>
      <c r="D3476" t="inlineStr">
        <is>
          <t>VÄSTERBOTTENS LÄN</t>
        </is>
      </c>
      <c r="E3476" t="inlineStr">
        <is>
          <t>VINDELN</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41454-2023</t>
        </is>
      </c>
      <c r="B3477" s="1" t="n">
        <v>45175</v>
      </c>
      <c r="C3477" s="1" t="n">
        <v>45971</v>
      </c>
      <c r="D3477" t="inlineStr">
        <is>
          <t>VÄSTERBOTTENS LÄN</t>
        </is>
      </c>
      <c r="E3477" t="inlineStr">
        <is>
          <t>VINDELN</t>
        </is>
      </c>
      <c r="F3477" t="inlineStr">
        <is>
          <t>Naturvårdsverket</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39989-2023</t>
        </is>
      </c>
      <c r="B3478" s="1" t="n">
        <v>45167</v>
      </c>
      <c r="C3478" s="1" t="n">
        <v>45971</v>
      </c>
      <c r="D3478" t="inlineStr">
        <is>
          <t>VÄSTERBOTTENS LÄN</t>
        </is>
      </c>
      <c r="E3478" t="inlineStr">
        <is>
          <t>ÅSELE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39994-2023</t>
        </is>
      </c>
      <c r="B3479" s="1" t="n">
        <v>45168</v>
      </c>
      <c r="C3479" s="1" t="n">
        <v>45971</v>
      </c>
      <c r="D3479" t="inlineStr">
        <is>
          <t>VÄSTERBOTTENS LÄN</t>
        </is>
      </c>
      <c r="E3479" t="inlineStr">
        <is>
          <t>MALÅ</t>
        </is>
      </c>
      <c r="G3479" t="n">
        <v>27.9</v>
      </c>
      <c r="H3479" t="n">
        <v>0</v>
      </c>
      <c r="I3479" t="n">
        <v>0</v>
      </c>
      <c r="J3479" t="n">
        <v>0</v>
      </c>
      <c r="K3479" t="n">
        <v>0</v>
      </c>
      <c r="L3479" t="n">
        <v>0</v>
      </c>
      <c r="M3479" t="n">
        <v>0</v>
      </c>
      <c r="N3479" t="n">
        <v>0</v>
      </c>
      <c r="O3479" t="n">
        <v>0</v>
      </c>
      <c r="P3479" t="n">
        <v>0</v>
      </c>
      <c r="Q3479" t="n">
        <v>0</v>
      </c>
      <c r="R3479" s="2" t="inlineStr"/>
    </row>
    <row r="3480" ht="15" customHeight="1">
      <c r="A3480" t="inlineStr">
        <is>
          <t>A 33289-2023</t>
        </is>
      </c>
      <c r="B3480" s="1" t="n">
        <v>45116</v>
      </c>
      <c r="C3480" s="1" t="n">
        <v>45971</v>
      </c>
      <c r="D3480" t="inlineStr">
        <is>
          <t>VÄSTERBOTTENS LÄN</t>
        </is>
      </c>
      <c r="E3480" t="inlineStr">
        <is>
          <t>SKELLEFTEÅ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18365-2023</t>
        </is>
      </c>
      <c r="B3481" s="1" t="n">
        <v>45041</v>
      </c>
      <c r="C3481" s="1" t="n">
        <v>45971</v>
      </c>
      <c r="D3481" t="inlineStr">
        <is>
          <t>VÄSTERBOTTENS LÄN</t>
        </is>
      </c>
      <c r="E3481" t="inlineStr">
        <is>
          <t>LYCKSELE</t>
        </is>
      </c>
      <c r="F3481" t="inlineStr">
        <is>
          <t>SCA</t>
        </is>
      </c>
      <c r="G3481" t="n">
        <v>22.4</v>
      </c>
      <c r="H3481" t="n">
        <v>0</v>
      </c>
      <c r="I3481" t="n">
        <v>0</v>
      </c>
      <c r="J3481" t="n">
        <v>0</v>
      </c>
      <c r="K3481" t="n">
        <v>0</v>
      </c>
      <c r="L3481" t="n">
        <v>0</v>
      </c>
      <c r="M3481" t="n">
        <v>0</v>
      </c>
      <c r="N3481" t="n">
        <v>0</v>
      </c>
      <c r="O3481" t="n">
        <v>0</v>
      </c>
      <c r="P3481" t="n">
        <v>0</v>
      </c>
      <c r="Q3481" t="n">
        <v>0</v>
      </c>
      <c r="R3481" s="2" t="inlineStr"/>
    </row>
    <row r="3482" ht="15" customHeight="1">
      <c r="A3482" t="inlineStr">
        <is>
          <t>A 52686-2023</t>
        </is>
      </c>
      <c r="B3482" s="1" t="n">
        <v>45225.73399305555</v>
      </c>
      <c r="C3482" s="1" t="n">
        <v>45971</v>
      </c>
      <c r="D3482" t="inlineStr">
        <is>
          <t>VÄSTERBOTTENS LÄN</t>
        </is>
      </c>
      <c r="E3482" t="inlineStr">
        <is>
          <t>SKELLEFTEÅ</t>
        </is>
      </c>
      <c r="F3482" t="inlineStr">
        <is>
          <t>Sveaskog</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38178-2022</t>
        </is>
      </c>
      <c r="B3483" s="1" t="n">
        <v>44812</v>
      </c>
      <c r="C3483" s="1" t="n">
        <v>45971</v>
      </c>
      <c r="D3483" t="inlineStr">
        <is>
          <t>VÄSTERBOTTENS LÄN</t>
        </is>
      </c>
      <c r="E3483" t="inlineStr">
        <is>
          <t>LYCKSELE</t>
        </is>
      </c>
      <c r="F3483" t="inlineStr">
        <is>
          <t>Holmen skog AB</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24963-2023</t>
        </is>
      </c>
      <c r="B3484" s="1" t="n">
        <v>45085</v>
      </c>
      <c r="C3484" s="1" t="n">
        <v>45971</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43027-2023</t>
        </is>
      </c>
      <c r="B3485" s="1" t="n">
        <v>45182.65770833333</v>
      </c>
      <c r="C3485" s="1" t="n">
        <v>45971</v>
      </c>
      <c r="D3485" t="inlineStr">
        <is>
          <t>VÄSTERBOTTENS LÄN</t>
        </is>
      </c>
      <c r="E3485" t="inlineStr">
        <is>
          <t>ROBERTSFORS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45846-2024</t>
        </is>
      </c>
      <c r="B3486" s="1" t="n">
        <v>45580.31106481481</v>
      </c>
      <c r="C3486" s="1" t="n">
        <v>45971</v>
      </c>
      <c r="D3486" t="inlineStr">
        <is>
          <t>VÄSTERBOTTENS LÄN</t>
        </is>
      </c>
      <c r="E3486" t="inlineStr">
        <is>
          <t>ROBERTSFORS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27436-2023</t>
        </is>
      </c>
      <c r="B3487" s="1" t="n">
        <v>45092</v>
      </c>
      <c r="C3487" s="1" t="n">
        <v>45971</v>
      </c>
      <c r="D3487" t="inlineStr">
        <is>
          <t>VÄSTERBOTTENS LÄN</t>
        </is>
      </c>
      <c r="E3487" t="inlineStr">
        <is>
          <t>ÅSELE</t>
        </is>
      </c>
      <c r="F3487" t="inlineStr">
        <is>
          <t>Övriga Aktiebolag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62937-2023</t>
        </is>
      </c>
      <c r="B3488" s="1" t="n">
        <v>45271</v>
      </c>
      <c r="C3488" s="1" t="n">
        <v>45971</v>
      </c>
      <c r="D3488" t="inlineStr">
        <is>
          <t>VÄSTERBOTTENS LÄN</t>
        </is>
      </c>
      <c r="E3488" t="inlineStr">
        <is>
          <t>ROBERTSFORS</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8241-2025</t>
        </is>
      </c>
      <c r="B3489" s="1" t="n">
        <v>45708.48162037037</v>
      </c>
      <c r="C3489" s="1" t="n">
        <v>45971</v>
      </c>
      <c r="D3489" t="inlineStr">
        <is>
          <t>VÄSTERBOTTENS LÄN</t>
        </is>
      </c>
      <c r="E3489" t="inlineStr">
        <is>
          <t>SKELLEFTEÅ</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18443-2025</t>
        </is>
      </c>
      <c r="B3490" s="1" t="n">
        <v>45762.65668981482</v>
      </c>
      <c r="C3490" s="1" t="n">
        <v>45971</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46331-2023</t>
        </is>
      </c>
      <c r="B3491" s="1" t="n">
        <v>45197.38826388889</v>
      </c>
      <c r="C3491" s="1" t="n">
        <v>45971</v>
      </c>
      <c r="D3491" t="inlineStr">
        <is>
          <t>VÄSTERBOTTENS LÄN</t>
        </is>
      </c>
      <c r="E3491" t="inlineStr">
        <is>
          <t>ROBERTSFORS</t>
        </is>
      </c>
      <c r="F3491" t="inlineStr">
        <is>
          <t>Holmen skog AB</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20384-2025</t>
        </is>
      </c>
      <c r="B3492" s="1" t="n">
        <v>45775.44128472222</v>
      </c>
      <c r="C3492" s="1" t="n">
        <v>45971</v>
      </c>
      <c r="D3492" t="inlineStr">
        <is>
          <t>VÄSTERBOTTENS LÄN</t>
        </is>
      </c>
      <c r="E3492" t="inlineStr">
        <is>
          <t>ÅSELE</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19422-2023</t>
        </is>
      </c>
      <c r="B3493" s="1" t="n">
        <v>45049</v>
      </c>
      <c r="C3493" s="1" t="n">
        <v>45971</v>
      </c>
      <c r="D3493" t="inlineStr">
        <is>
          <t>VÄSTERBOTTENS LÄN</t>
        </is>
      </c>
      <c r="E3493" t="inlineStr">
        <is>
          <t>SKELLEFTEÅ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32420-2022</t>
        </is>
      </c>
      <c r="B3494" s="1" t="n">
        <v>44782</v>
      </c>
      <c r="C3494" s="1" t="n">
        <v>45971</v>
      </c>
      <c r="D3494" t="inlineStr">
        <is>
          <t>VÄSTERBOTTENS LÄN</t>
        </is>
      </c>
      <c r="E3494" t="inlineStr">
        <is>
          <t>SKELLEFTEÅ</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32427-2022</t>
        </is>
      </c>
      <c r="B3495" s="1" t="n">
        <v>44782</v>
      </c>
      <c r="C3495" s="1" t="n">
        <v>45971</v>
      </c>
      <c r="D3495" t="inlineStr">
        <is>
          <t>VÄSTERBOTTENS LÄN</t>
        </is>
      </c>
      <c r="E3495" t="inlineStr">
        <is>
          <t>SKELLEFTEÅ</t>
        </is>
      </c>
      <c r="F3495" t="inlineStr">
        <is>
          <t>Kommuner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45981-2024</t>
        </is>
      </c>
      <c r="B3496" s="1" t="n">
        <v>45580.60790509259</v>
      </c>
      <c r="C3496" s="1" t="n">
        <v>45971</v>
      </c>
      <c r="D3496" t="inlineStr">
        <is>
          <t>VÄSTERBOTTENS LÄN</t>
        </is>
      </c>
      <c r="E3496" t="inlineStr">
        <is>
          <t>SKELLEFTEÅ</t>
        </is>
      </c>
      <c r="F3496" t="inlineStr">
        <is>
          <t>Holmen skog AB</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18497-2025</t>
        </is>
      </c>
      <c r="B3497" s="1" t="n">
        <v>45763.35385416666</v>
      </c>
      <c r="C3497" s="1" t="n">
        <v>45971</v>
      </c>
      <c r="D3497" t="inlineStr">
        <is>
          <t>VÄSTERBOTTENS LÄN</t>
        </is>
      </c>
      <c r="E3497" t="inlineStr">
        <is>
          <t>SKELLEFTEÅ</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30719-2021</t>
        </is>
      </c>
      <c r="B3498" s="1" t="n">
        <v>44365.43997685185</v>
      </c>
      <c r="C3498" s="1" t="n">
        <v>45971</v>
      </c>
      <c r="D3498" t="inlineStr">
        <is>
          <t>VÄSTERBOTTENS LÄN</t>
        </is>
      </c>
      <c r="E3498" t="inlineStr">
        <is>
          <t>SKELLEFTEÅ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16563-2024</t>
        </is>
      </c>
      <c r="B3499" s="1" t="n">
        <v>45408</v>
      </c>
      <c r="C3499" s="1" t="n">
        <v>45971</v>
      </c>
      <c r="D3499" t="inlineStr">
        <is>
          <t>VÄSTERBOTTENS LÄN</t>
        </is>
      </c>
      <c r="E3499" t="inlineStr">
        <is>
          <t>LYCKSELE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7364-2023</t>
        </is>
      </c>
      <c r="B3500" s="1" t="n">
        <v>44971</v>
      </c>
      <c r="C3500" s="1" t="n">
        <v>45971</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61700-2022</t>
        </is>
      </c>
      <c r="B3501" s="1" t="n">
        <v>44911</v>
      </c>
      <c r="C3501" s="1" t="n">
        <v>45971</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7076-2025</t>
        </is>
      </c>
      <c r="B3502" s="1" t="n">
        <v>45701.68518518518</v>
      </c>
      <c r="C3502" s="1" t="n">
        <v>45971</v>
      </c>
      <c r="D3502" t="inlineStr">
        <is>
          <t>VÄSTERBOTTENS LÄN</t>
        </is>
      </c>
      <c r="E3502" t="inlineStr">
        <is>
          <t>ROBERTSFORS</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15717-2023</t>
        </is>
      </c>
      <c r="B3503" s="1" t="n">
        <v>45020</v>
      </c>
      <c r="C3503" s="1" t="n">
        <v>45971</v>
      </c>
      <c r="D3503" t="inlineStr">
        <is>
          <t>VÄSTERBOTTENS LÄN</t>
        </is>
      </c>
      <c r="E3503" t="inlineStr">
        <is>
          <t>SKELLEFTEÅ</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12593-2022</t>
        </is>
      </c>
      <c r="B3504" s="1" t="n">
        <v>44640</v>
      </c>
      <c r="C3504" s="1" t="n">
        <v>45971</v>
      </c>
      <c r="D3504" t="inlineStr">
        <is>
          <t>VÄSTERBOTTENS LÄN</t>
        </is>
      </c>
      <c r="E3504" t="inlineStr">
        <is>
          <t>VILHELMINA</t>
        </is>
      </c>
      <c r="G3504" t="n">
        <v>10.4</v>
      </c>
      <c r="H3504" t="n">
        <v>0</v>
      </c>
      <c r="I3504" t="n">
        <v>0</v>
      </c>
      <c r="J3504" t="n">
        <v>0</v>
      </c>
      <c r="K3504" t="n">
        <v>0</v>
      </c>
      <c r="L3504" t="n">
        <v>0</v>
      </c>
      <c r="M3504" t="n">
        <v>0</v>
      </c>
      <c r="N3504" t="n">
        <v>0</v>
      </c>
      <c r="O3504" t="n">
        <v>0</v>
      </c>
      <c r="P3504" t="n">
        <v>0</v>
      </c>
      <c r="Q3504" t="n">
        <v>0</v>
      </c>
      <c r="R3504" s="2" t="inlineStr"/>
    </row>
    <row r="3505" ht="15" customHeight="1">
      <c r="A3505" t="inlineStr">
        <is>
          <t>A 425-2022</t>
        </is>
      </c>
      <c r="B3505" s="1" t="n">
        <v>44565.92798611111</v>
      </c>
      <c r="C3505" s="1" t="n">
        <v>45971</v>
      </c>
      <c r="D3505" t="inlineStr">
        <is>
          <t>VÄSTERBOTTENS LÄN</t>
        </is>
      </c>
      <c r="E3505" t="inlineStr">
        <is>
          <t>VINDELN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15806-2023</t>
        </is>
      </c>
      <c r="B3506" s="1" t="n">
        <v>45021</v>
      </c>
      <c r="C3506" s="1" t="n">
        <v>45971</v>
      </c>
      <c r="D3506" t="inlineStr">
        <is>
          <t>VÄSTERBOTTENS LÄN</t>
        </is>
      </c>
      <c r="E3506" t="inlineStr">
        <is>
          <t>SKELLEFTEÅ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16060-2021</t>
        </is>
      </c>
      <c r="B3507" s="1" t="n">
        <v>44287</v>
      </c>
      <c r="C3507" s="1" t="n">
        <v>45971</v>
      </c>
      <c r="D3507" t="inlineStr">
        <is>
          <t>VÄSTERBOTTENS LÄN</t>
        </is>
      </c>
      <c r="E3507" t="inlineStr">
        <is>
          <t>SORSELE</t>
        </is>
      </c>
      <c r="F3507" t="inlineStr">
        <is>
          <t>Övriga Aktiebolag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58960-2024</t>
        </is>
      </c>
      <c r="B3508" s="1" t="n">
        <v>45635</v>
      </c>
      <c r="C3508" s="1" t="n">
        <v>45971</v>
      </c>
      <c r="D3508" t="inlineStr">
        <is>
          <t>VÄSTERBOTTENS LÄN</t>
        </is>
      </c>
      <c r="E3508" t="inlineStr">
        <is>
          <t>SKELLEFTEÅ</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47141-2021</t>
        </is>
      </c>
      <c r="B3509" s="1" t="n">
        <v>44446.91958333334</v>
      </c>
      <c r="C3509" s="1" t="n">
        <v>45971</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59007-2024</t>
        </is>
      </c>
      <c r="B3510" s="1" t="n">
        <v>45636</v>
      </c>
      <c r="C3510" s="1" t="n">
        <v>45971</v>
      </c>
      <c r="D3510" t="inlineStr">
        <is>
          <t>VÄSTERBOTTENS LÄN</t>
        </is>
      </c>
      <c r="E3510" t="inlineStr">
        <is>
          <t>DOROTEA</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8539-2022</t>
        </is>
      </c>
      <c r="B3511" s="1" t="n">
        <v>44613</v>
      </c>
      <c r="C3511" s="1" t="n">
        <v>45971</v>
      </c>
      <c r="D3511" t="inlineStr">
        <is>
          <t>VÄSTERBOTTENS LÄN</t>
        </is>
      </c>
      <c r="E3511" t="inlineStr">
        <is>
          <t>SKELLEFTEÅ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35437-2023</t>
        </is>
      </c>
      <c r="B3512" s="1" t="n">
        <v>45146</v>
      </c>
      <c r="C3512" s="1" t="n">
        <v>45971</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32677-2024</t>
        </is>
      </c>
      <c r="B3513" s="1" t="n">
        <v>45514.96219907407</v>
      </c>
      <c r="C3513" s="1" t="n">
        <v>45971</v>
      </c>
      <c r="D3513" t="inlineStr">
        <is>
          <t>VÄSTERBOTTENS LÄN</t>
        </is>
      </c>
      <c r="E3513" t="inlineStr">
        <is>
          <t>VINDELN</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32679-2024</t>
        </is>
      </c>
      <c r="B3514" s="1" t="n">
        <v>45514.96258101852</v>
      </c>
      <c r="C3514" s="1" t="n">
        <v>45971</v>
      </c>
      <c r="D3514" t="inlineStr">
        <is>
          <t>VÄSTERBOTTENS LÄN</t>
        </is>
      </c>
      <c r="E3514" t="inlineStr">
        <is>
          <t>VINDELN</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32680-2024</t>
        </is>
      </c>
      <c r="B3515" s="1" t="n">
        <v>45514.96278935186</v>
      </c>
      <c r="C3515" s="1" t="n">
        <v>45971</v>
      </c>
      <c r="D3515" t="inlineStr">
        <is>
          <t>VÄSTERBOTTENS LÄN</t>
        </is>
      </c>
      <c r="E3515" t="inlineStr">
        <is>
          <t>VINDELN</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8510-2025</t>
        </is>
      </c>
      <c r="B3516" s="1" t="n">
        <v>45709.53822916667</v>
      </c>
      <c r="C3516" s="1" t="n">
        <v>45971</v>
      </c>
      <c r="D3516" t="inlineStr">
        <is>
          <t>VÄSTERBOTTENS LÄN</t>
        </is>
      </c>
      <c r="E3516" t="inlineStr">
        <is>
          <t>VINDELN</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42180-2021</t>
        </is>
      </c>
      <c r="B3517" s="1" t="n">
        <v>44426.68600694444</v>
      </c>
      <c r="C3517" s="1" t="n">
        <v>45971</v>
      </c>
      <c r="D3517" t="inlineStr">
        <is>
          <t>VÄSTERBOTTENS LÄN</t>
        </is>
      </c>
      <c r="E3517" t="inlineStr">
        <is>
          <t>ÅSELE</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32690-2024</t>
        </is>
      </c>
      <c r="B3518" s="1" t="n">
        <v>45515.85923611111</v>
      </c>
      <c r="C3518" s="1" t="n">
        <v>45971</v>
      </c>
      <c r="D3518" t="inlineStr">
        <is>
          <t>VÄSTERBOTTENS LÄN</t>
        </is>
      </c>
      <c r="E3518" t="inlineStr">
        <is>
          <t>LYCKSELE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32709-2024</t>
        </is>
      </c>
      <c r="B3519" s="1" t="n">
        <v>45516.3629050926</v>
      </c>
      <c r="C3519" s="1" t="n">
        <v>45971</v>
      </c>
      <c r="D3519" t="inlineStr">
        <is>
          <t>VÄSTERBOTTENS LÄN</t>
        </is>
      </c>
      <c r="E3519" t="inlineStr">
        <is>
          <t>SKELLEFTEÅ</t>
        </is>
      </c>
      <c r="F3519" t="inlineStr">
        <is>
          <t>Holmen skog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36955-2023</t>
        </is>
      </c>
      <c r="B3520" s="1" t="n">
        <v>45154</v>
      </c>
      <c r="C3520" s="1" t="n">
        <v>45971</v>
      </c>
      <c r="D3520" t="inlineStr">
        <is>
          <t>VÄSTERBOTTENS LÄN</t>
        </is>
      </c>
      <c r="E3520" t="inlineStr">
        <is>
          <t>UMEÅ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36957-2023</t>
        </is>
      </c>
      <c r="B3521" s="1" t="n">
        <v>45154.92628472222</v>
      </c>
      <c r="C3521" s="1" t="n">
        <v>45971</v>
      </c>
      <c r="D3521" t="inlineStr">
        <is>
          <t>VÄSTERBOTTENS LÄN</t>
        </is>
      </c>
      <c r="E3521" t="inlineStr">
        <is>
          <t>VILHELMINA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55278-2024</t>
        </is>
      </c>
      <c r="B3522" s="1" t="n">
        <v>45621.62319444444</v>
      </c>
      <c r="C3522" s="1" t="n">
        <v>45971</v>
      </c>
      <c r="D3522" t="inlineStr">
        <is>
          <t>VÄSTERBOTTENS LÄN</t>
        </is>
      </c>
      <c r="E3522" t="inlineStr">
        <is>
          <t>LYCKSELE</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9189-2025</t>
        </is>
      </c>
      <c r="B3523" s="1" t="n">
        <v>45714.45583333333</v>
      </c>
      <c r="C3523" s="1" t="n">
        <v>45971</v>
      </c>
      <c r="D3523" t="inlineStr">
        <is>
          <t>VÄSTERBOTTENS LÄN</t>
        </is>
      </c>
      <c r="E3523" t="inlineStr">
        <is>
          <t>MALÅ</t>
        </is>
      </c>
      <c r="F3523" t="inlineStr">
        <is>
          <t>Sveaskog</t>
        </is>
      </c>
      <c r="G3523" t="n">
        <v>14.2</v>
      </c>
      <c r="H3523" t="n">
        <v>0</v>
      </c>
      <c r="I3523" t="n">
        <v>0</v>
      </c>
      <c r="J3523" t="n">
        <v>0</v>
      </c>
      <c r="K3523" t="n">
        <v>0</v>
      </c>
      <c r="L3523" t="n">
        <v>0</v>
      </c>
      <c r="M3523" t="n">
        <v>0</v>
      </c>
      <c r="N3523" t="n">
        <v>0</v>
      </c>
      <c r="O3523" t="n">
        <v>0</v>
      </c>
      <c r="P3523" t="n">
        <v>0</v>
      </c>
      <c r="Q3523" t="n">
        <v>0</v>
      </c>
      <c r="R3523" s="2" t="inlineStr"/>
    </row>
    <row r="3524" ht="15" customHeight="1">
      <c r="A3524" t="inlineStr">
        <is>
          <t>A 8916-2023</t>
        </is>
      </c>
      <c r="B3524" s="1" t="n">
        <v>44972</v>
      </c>
      <c r="C3524" s="1" t="n">
        <v>45971</v>
      </c>
      <c r="D3524" t="inlineStr">
        <is>
          <t>VÄSTERBOTTENS LÄN</t>
        </is>
      </c>
      <c r="E3524" t="inlineStr">
        <is>
          <t>VILHELMINA</t>
        </is>
      </c>
      <c r="F3524" t="inlineStr">
        <is>
          <t>Allmännings- och besparingsskogar</t>
        </is>
      </c>
      <c r="G3524" t="n">
        <v>22.1</v>
      </c>
      <c r="H3524" t="n">
        <v>0</v>
      </c>
      <c r="I3524" t="n">
        <v>0</v>
      </c>
      <c r="J3524" t="n">
        <v>0</v>
      </c>
      <c r="K3524" t="n">
        <v>0</v>
      </c>
      <c r="L3524" t="n">
        <v>0</v>
      </c>
      <c r="M3524" t="n">
        <v>0</v>
      </c>
      <c r="N3524" t="n">
        <v>0</v>
      </c>
      <c r="O3524" t="n">
        <v>0</v>
      </c>
      <c r="P3524" t="n">
        <v>0</v>
      </c>
      <c r="Q3524" t="n">
        <v>0</v>
      </c>
      <c r="R3524" s="2" t="inlineStr"/>
    </row>
    <row r="3525" ht="15" customHeight="1">
      <c r="A3525" t="inlineStr">
        <is>
          <t>A 5741-2023</t>
        </is>
      </c>
      <c r="B3525" s="1" t="n">
        <v>44962</v>
      </c>
      <c r="C3525" s="1" t="n">
        <v>45971</v>
      </c>
      <c r="D3525" t="inlineStr">
        <is>
          <t>VÄSTERBOTTENS LÄN</t>
        </is>
      </c>
      <c r="E3525" t="inlineStr">
        <is>
          <t>VINDELN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52869-2022</t>
        </is>
      </c>
      <c r="B3526" s="1" t="n">
        <v>44875</v>
      </c>
      <c r="C3526" s="1" t="n">
        <v>45971</v>
      </c>
      <c r="D3526" t="inlineStr">
        <is>
          <t>VÄSTERBOTTENS LÄN</t>
        </is>
      </c>
      <c r="E3526" t="inlineStr">
        <is>
          <t>SKELLEFTEÅ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56471-2023</t>
        </is>
      </c>
      <c r="B3527" s="1" t="n">
        <v>45243</v>
      </c>
      <c r="C3527" s="1" t="n">
        <v>45971</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35226-2024</t>
        </is>
      </c>
      <c r="B3528" s="1" t="n">
        <v>45530</v>
      </c>
      <c r="C3528" s="1" t="n">
        <v>45971</v>
      </c>
      <c r="D3528" t="inlineStr">
        <is>
          <t>VÄSTERBOTTENS LÄN</t>
        </is>
      </c>
      <c r="E3528" t="inlineStr">
        <is>
          <t>UMEÅ</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4478-2023</t>
        </is>
      </c>
      <c r="B3529" s="1" t="n">
        <v>44952</v>
      </c>
      <c r="C3529" s="1" t="n">
        <v>45971</v>
      </c>
      <c r="D3529" t="inlineStr">
        <is>
          <t>VÄSTERBOTTENS LÄN</t>
        </is>
      </c>
      <c r="E3529" t="inlineStr">
        <is>
          <t>ROBERTSFORS</t>
        </is>
      </c>
      <c r="G3529" t="n">
        <v>16.1</v>
      </c>
      <c r="H3529" t="n">
        <v>0</v>
      </c>
      <c r="I3529" t="n">
        <v>0</v>
      </c>
      <c r="J3529" t="n">
        <v>0</v>
      </c>
      <c r="K3529" t="n">
        <v>0</v>
      </c>
      <c r="L3529" t="n">
        <v>0</v>
      </c>
      <c r="M3529" t="n">
        <v>0</v>
      </c>
      <c r="N3529" t="n">
        <v>0</v>
      </c>
      <c r="O3529" t="n">
        <v>0</v>
      </c>
      <c r="P3529" t="n">
        <v>0</v>
      </c>
      <c r="Q3529" t="n">
        <v>0</v>
      </c>
      <c r="R3529" s="2" t="inlineStr"/>
    </row>
    <row r="3530" ht="15" customHeight="1">
      <c r="A3530" t="inlineStr">
        <is>
          <t>A 1680-2024</t>
        </is>
      </c>
      <c r="B3530" s="1" t="n">
        <v>45306.97434027777</v>
      </c>
      <c r="C3530" s="1" t="n">
        <v>45971</v>
      </c>
      <c r="D3530" t="inlineStr">
        <is>
          <t>VÄSTERBOTTENS LÄN</t>
        </is>
      </c>
      <c r="E3530" t="inlineStr">
        <is>
          <t>VINDELN</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49146-2022</t>
        </is>
      </c>
      <c r="B3531" s="1" t="n">
        <v>44860</v>
      </c>
      <c r="C3531" s="1" t="n">
        <v>45971</v>
      </c>
      <c r="D3531" t="inlineStr">
        <is>
          <t>VÄSTERBOTTENS LÄN</t>
        </is>
      </c>
      <c r="E3531" t="inlineStr">
        <is>
          <t>ROBERTSFORS</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45807-2023</t>
        </is>
      </c>
      <c r="B3532" s="1" t="n">
        <v>45189</v>
      </c>
      <c r="C3532" s="1" t="n">
        <v>45971</v>
      </c>
      <c r="D3532" t="inlineStr">
        <is>
          <t>VÄSTERBOTTENS LÄN</t>
        </is>
      </c>
      <c r="E3532" t="inlineStr">
        <is>
          <t>MALÅ</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51957-2023</t>
        </is>
      </c>
      <c r="B3533" s="1" t="n">
        <v>45223</v>
      </c>
      <c r="C3533" s="1" t="n">
        <v>45971</v>
      </c>
      <c r="D3533" t="inlineStr">
        <is>
          <t>VÄSTERBOTTENS LÄN</t>
        </is>
      </c>
      <c r="E3533" t="inlineStr">
        <is>
          <t>LYCKSELE</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35736-2023</t>
        </is>
      </c>
      <c r="B3534" s="1" t="n">
        <v>45147</v>
      </c>
      <c r="C3534" s="1" t="n">
        <v>45971</v>
      </c>
      <c r="D3534" t="inlineStr">
        <is>
          <t>VÄSTERBOTTENS LÄN</t>
        </is>
      </c>
      <c r="E3534" t="inlineStr">
        <is>
          <t>SKELLEFTEÅ</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1625-2021</t>
        </is>
      </c>
      <c r="B3535" s="1" t="n">
        <v>44209</v>
      </c>
      <c r="C3535" s="1" t="n">
        <v>45971</v>
      </c>
      <c r="D3535" t="inlineStr">
        <is>
          <t>VÄSTERBOTTENS LÄN</t>
        </is>
      </c>
      <c r="E3535" t="inlineStr">
        <is>
          <t>ROBERTSFORS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25170-2024</t>
        </is>
      </c>
      <c r="B3536" s="1" t="n">
        <v>45462</v>
      </c>
      <c r="C3536" s="1" t="n">
        <v>45971</v>
      </c>
      <c r="D3536" t="inlineStr">
        <is>
          <t>VÄSTERBOTTENS LÄN</t>
        </is>
      </c>
      <c r="E3536" t="inlineStr">
        <is>
          <t>LYCKSELE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14742-2025</t>
        </is>
      </c>
      <c r="B3537" s="1" t="n">
        <v>45742</v>
      </c>
      <c r="C3537" s="1" t="n">
        <v>45971</v>
      </c>
      <c r="D3537" t="inlineStr">
        <is>
          <t>VÄSTERBOTTENS LÄN</t>
        </is>
      </c>
      <c r="E3537" t="inlineStr">
        <is>
          <t>NORSJÖ</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35738-2021</t>
        </is>
      </c>
      <c r="B3538" s="1" t="n">
        <v>44386.55082175926</v>
      </c>
      <c r="C3538" s="1" t="n">
        <v>45971</v>
      </c>
      <c r="D3538" t="inlineStr">
        <is>
          <t>VÄSTERBOTTENS LÄN</t>
        </is>
      </c>
      <c r="E3538" t="inlineStr">
        <is>
          <t>UMEÅ</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28019-2023</t>
        </is>
      </c>
      <c r="B3539" s="1" t="n">
        <v>45098</v>
      </c>
      <c r="C3539" s="1" t="n">
        <v>45971</v>
      </c>
      <c r="D3539" t="inlineStr">
        <is>
          <t>VÄSTERBOTTENS LÄN</t>
        </is>
      </c>
      <c r="E3539" t="inlineStr">
        <is>
          <t>STORUMAN</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34546-2024</t>
        </is>
      </c>
      <c r="B3540" s="1" t="n">
        <v>45525.78375</v>
      </c>
      <c r="C3540" s="1" t="n">
        <v>45971</v>
      </c>
      <c r="D3540" t="inlineStr">
        <is>
          <t>VÄSTERBOTTENS LÄN</t>
        </is>
      </c>
      <c r="E3540" t="inlineStr">
        <is>
          <t>NORSJÖ</t>
        </is>
      </c>
      <c r="F3540" t="inlineStr">
        <is>
          <t>Holmen skog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27552-2024</t>
        </is>
      </c>
      <c r="B3541" s="1" t="n">
        <v>45474.61884259259</v>
      </c>
      <c r="C3541" s="1" t="n">
        <v>45971</v>
      </c>
      <c r="D3541" t="inlineStr">
        <is>
          <t>VÄSTERBOTTENS LÄN</t>
        </is>
      </c>
      <c r="E3541" t="inlineStr">
        <is>
          <t>STORUMAN</t>
        </is>
      </c>
      <c r="F3541" t="inlineStr">
        <is>
          <t>Sveaskog</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27553-2024</t>
        </is>
      </c>
      <c r="B3542" s="1" t="n">
        <v>45474.61927083333</v>
      </c>
      <c r="C3542" s="1" t="n">
        <v>45971</v>
      </c>
      <c r="D3542" t="inlineStr">
        <is>
          <t>VÄSTERBOTTENS LÄN</t>
        </is>
      </c>
      <c r="E3542" t="inlineStr">
        <is>
          <t>LYCKSELE</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33519-2021</t>
        </is>
      </c>
      <c r="B3543" s="1" t="n">
        <v>44377.75302083333</v>
      </c>
      <c r="C3543" s="1" t="n">
        <v>45971</v>
      </c>
      <c r="D3543" t="inlineStr">
        <is>
          <t>VÄSTERBOTTENS LÄN</t>
        </is>
      </c>
      <c r="E3543" t="inlineStr">
        <is>
          <t>SKELLEFTEÅ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26056-2023</t>
        </is>
      </c>
      <c r="B3544" s="1" t="n">
        <v>45086</v>
      </c>
      <c r="C3544" s="1" t="n">
        <v>45971</v>
      </c>
      <c r="D3544" t="inlineStr">
        <is>
          <t>VÄSTERBOTTENS LÄN</t>
        </is>
      </c>
      <c r="E3544" t="inlineStr">
        <is>
          <t>SORSELE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60267-2022</t>
        </is>
      </c>
      <c r="B3545" s="1" t="n">
        <v>44910</v>
      </c>
      <c r="C3545" s="1" t="n">
        <v>45971</v>
      </c>
      <c r="D3545" t="inlineStr">
        <is>
          <t>VÄSTERBOTTENS LÄN</t>
        </is>
      </c>
      <c r="E3545" t="inlineStr">
        <is>
          <t>LYCKSELE</t>
        </is>
      </c>
      <c r="F3545" t="inlineStr">
        <is>
          <t>Sveaskog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44942-2023</t>
        </is>
      </c>
      <c r="B3546" s="1" t="n">
        <v>45187</v>
      </c>
      <c r="C3546" s="1" t="n">
        <v>45971</v>
      </c>
      <c r="D3546" t="inlineStr">
        <is>
          <t>VÄSTERBOTTENS LÄN</t>
        </is>
      </c>
      <c r="E3546" t="inlineStr">
        <is>
          <t>NORDMALING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47182-2024</t>
        </is>
      </c>
      <c r="B3547" s="1" t="n">
        <v>45586</v>
      </c>
      <c r="C3547" s="1" t="n">
        <v>45971</v>
      </c>
      <c r="D3547" t="inlineStr">
        <is>
          <t>VÄSTERBOTTENS LÄN</t>
        </is>
      </c>
      <c r="E3547" t="inlineStr">
        <is>
          <t>LYCKSELE</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47220-2024</t>
        </is>
      </c>
      <c r="B3548" s="1" t="n">
        <v>45586.66560185186</v>
      </c>
      <c r="C3548" s="1" t="n">
        <v>45971</v>
      </c>
      <c r="D3548" t="inlineStr">
        <is>
          <t>VÄSTERBOTTENS LÄN</t>
        </is>
      </c>
      <c r="E3548" t="inlineStr">
        <is>
          <t>NORSJÖ</t>
        </is>
      </c>
      <c r="F3548" t="inlineStr">
        <is>
          <t>Sveaskog</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16660-2025</t>
        </is>
      </c>
      <c r="B3549" s="1" t="n">
        <v>45754.4134837963</v>
      </c>
      <c r="C3549" s="1" t="n">
        <v>45971</v>
      </c>
      <c r="D3549" t="inlineStr">
        <is>
          <t>VÄSTERBOTTENS LÄN</t>
        </is>
      </c>
      <c r="E3549" t="inlineStr">
        <is>
          <t>NORSJÖ</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36851-2023</t>
        </is>
      </c>
      <c r="B3550" s="1" t="n">
        <v>45154.53600694444</v>
      </c>
      <c r="C3550" s="1" t="n">
        <v>45971</v>
      </c>
      <c r="D3550" t="inlineStr">
        <is>
          <t>VÄSTERBOTTENS LÄN</t>
        </is>
      </c>
      <c r="E3550" t="inlineStr">
        <is>
          <t>LYCKSELE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47225-2024</t>
        </is>
      </c>
      <c r="B3551" s="1" t="n">
        <v>45586</v>
      </c>
      <c r="C3551" s="1" t="n">
        <v>45971</v>
      </c>
      <c r="D3551" t="inlineStr">
        <is>
          <t>VÄSTERBOTTENS LÄN</t>
        </is>
      </c>
      <c r="E3551" t="inlineStr">
        <is>
          <t>NORSJÖ</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37443-2023</t>
        </is>
      </c>
      <c r="B3552" s="1" t="n">
        <v>45147</v>
      </c>
      <c r="C3552" s="1" t="n">
        <v>45971</v>
      </c>
      <c r="D3552" t="inlineStr">
        <is>
          <t>VÄSTERBOTTENS LÄN</t>
        </is>
      </c>
      <c r="E3552" t="inlineStr">
        <is>
          <t>UMEÅ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37491-2023</t>
        </is>
      </c>
      <c r="B3553" s="1" t="n">
        <v>45156</v>
      </c>
      <c r="C3553" s="1" t="n">
        <v>45971</v>
      </c>
      <c r="D3553" t="inlineStr">
        <is>
          <t>VÄSTERBOTTENS LÄN</t>
        </is>
      </c>
      <c r="E3553" t="inlineStr">
        <is>
          <t>LYCKSELE</t>
        </is>
      </c>
      <c r="F3553" t="inlineStr">
        <is>
          <t>SCA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21803-2024</t>
        </is>
      </c>
      <c r="B3554" s="1" t="n">
        <v>45442</v>
      </c>
      <c r="C3554" s="1" t="n">
        <v>45971</v>
      </c>
      <c r="D3554" t="inlineStr">
        <is>
          <t>VÄSTERBOTTENS LÄN</t>
        </is>
      </c>
      <c r="E3554" t="inlineStr">
        <is>
          <t>LYCKSELE</t>
        </is>
      </c>
      <c r="F3554" t="inlineStr">
        <is>
          <t>Holmen skog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66500-2021</t>
        </is>
      </c>
      <c r="B3555" s="1" t="n">
        <v>44519.3160300926</v>
      </c>
      <c r="C3555" s="1" t="n">
        <v>45971</v>
      </c>
      <c r="D3555" t="inlineStr">
        <is>
          <t>VÄSTERBOTTENS LÄN</t>
        </is>
      </c>
      <c r="E3555" t="inlineStr">
        <is>
          <t>SKELLEFTEÅ</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21836-2024</t>
        </is>
      </c>
      <c r="B3556" s="1" t="n">
        <v>45442.93028935185</v>
      </c>
      <c r="C3556" s="1" t="n">
        <v>45971</v>
      </c>
      <c r="D3556" t="inlineStr">
        <is>
          <t>VÄSTERBOTTENS LÄN</t>
        </is>
      </c>
      <c r="E3556" t="inlineStr">
        <is>
          <t>SKELLEFTEÅ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60640-2024</t>
        </is>
      </c>
      <c r="B3557" s="1" t="n">
        <v>45644.42787037037</v>
      </c>
      <c r="C3557" s="1" t="n">
        <v>45971</v>
      </c>
      <c r="D3557" t="inlineStr">
        <is>
          <t>VÄSTERBOTTENS LÄN</t>
        </is>
      </c>
      <c r="E3557" t="inlineStr">
        <is>
          <t>VÄNNÄS</t>
        </is>
      </c>
      <c r="F3557" t="inlineStr">
        <is>
          <t>Holmen skog AB</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7536-2025</t>
        </is>
      </c>
      <c r="B3558" s="1" t="n">
        <v>45705.56554398148</v>
      </c>
      <c r="C3558" s="1" t="n">
        <v>45971</v>
      </c>
      <c r="D3558" t="inlineStr">
        <is>
          <t>VÄSTERBOTTENS LÄN</t>
        </is>
      </c>
      <c r="E3558" t="inlineStr">
        <is>
          <t>MALÅ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20600-2024</t>
        </is>
      </c>
      <c r="B3559" s="1" t="n">
        <v>45436</v>
      </c>
      <c r="C3559" s="1" t="n">
        <v>45971</v>
      </c>
      <c r="D3559" t="inlineStr">
        <is>
          <t>VÄSTERBOTTENS LÄN</t>
        </is>
      </c>
      <c r="E3559" t="inlineStr">
        <is>
          <t>VINDELN</t>
        </is>
      </c>
      <c r="F3559" t="inlineStr">
        <is>
          <t>Sveaskog</t>
        </is>
      </c>
      <c r="G3559" t="n">
        <v>14.6</v>
      </c>
      <c r="H3559" t="n">
        <v>0</v>
      </c>
      <c r="I3559" t="n">
        <v>0</v>
      </c>
      <c r="J3559" t="n">
        <v>0</v>
      </c>
      <c r="K3559" t="n">
        <v>0</v>
      </c>
      <c r="L3559" t="n">
        <v>0</v>
      </c>
      <c r="M3559" t="n">
        <v>0</v>
      </c>
      <c r="N3559" t="n">
        <v>0</v>
      </c>
      <c r="O3559" t="n">
        <v>0</v>
      </c>
      <c r="P3559" t="n">
        <v>0</v>
      </c>
      <c r="Q3559" t="n">
        <v>0</v>
      </c>
      <c r="R3559" s="2" t="inlineStr"/>
    </row>
    <row r="3560" ht="15" customHeight="1">
      <c r="A3560" t="inlineStr">
        <is>
          <t>A 9249-2025</t>
        </is>
      </c>
      <c r="B3560" s="1" t="n">
        <v>45714.58974537037</v>
      </c>
      <c r="C3560" s="1" t="n">
        <v>45971</v>
      </c>
      <c r="D3560" t="inlineStr">
        <is>
          <t>VÄSTERBOTTENS LÄN</t>
        </is>
      </c>
      <c r="E3560" t="inlineStr">
        <is>
          <t>VINDELN</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58472-2024</t>
        </is>
      </c>
      <c r="B3561" s="1" t="n">
        <v>45635</v>
      </c>
      <c r="C3561" s="1" t="n">
        <v>45971</v>
      </c>
      <c r="D3561" t="inlineStr">
        <is>
          <t>VÄSTERBOTTENS LÄN</t>
        </is>
      </c>
      <c r="E3561" t="inlineStr">
        <is>
          <t>ÅSELE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9800-2023</t>
        </is>
      </c>
      <c r="B3562" s="1" t="n">
        <v>44978</v>
      </c>
      <c r="C3562" s="1" t="n">
        <v>45971</v>
      </c>
      <c r="D3562" t="inlineStr">
        <is>
          <t>VÄSTERBOTTENS LÄN</t>
        </is>
      </c>
      <c r="E3562" t="inlineStr">
        <is>
          <t>SORSELE</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39437-2024</t>
        </is>
      </c>
      <c r="B3563" s="1" t="n">
        <v>45551</v>
      </c>
      <c r="C3563" s="1" t="n">
        <v>45971</v>
      </c>
      <c r="D3563" t="inlineStr">
        <is>
          <t>VÄSTERBOTTENS LÄN</t>
        </is>
      </c>
      <c r="E3563" t="inlineStr">
        <is>
          <t>ROBERTSFORS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39442-2024</t>
        </is>
      </c>
      <c r="B3564" s="1" t="n">
        <v>45551.61047453704</v>
      </c>
      <c r="C3564" s="1" t="n">
        <v>45971</v>
      </c>
      <c r="D3564" t="inlineStr">
        <is>
          <t>VÄSTERBOTTENS LÄN</t>
        </is>
      </c>
      <c r="E3564" t="inlineStr">
        <is>
          <t>MALÅ</t>
        </is>
      </c>
      <c r="F3564" t="inlineStr">
        <is>
          <t>Sveaskog</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51710-2023</t>
        </is>
      </c>
      <c r="B3565" s="1" t="n">
        <v>45222</v>
      </c>
      <c r="C3565" s="1" t="n">
        <v>45971</v>
      </c>
      <c r="D3565" t="inlineStr">
        <is>
          <t>VÄSTERBOTTENS LÄN</t>
        </is>
      </c>
      <c r="E3565" t="inlineStr">
        <is>
          <t>MALÅ</t>
        </is>
      </c>
      <c r="F3565" t="inlineStr">
        <is>
          <t>Sveaskog</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17367-2023</t>
        </is>
      </c>
      <c r="B3566" s="1" t="n">
        <v>45034</v>
      </c>
      <c r="C3566" s="1" t="n">
        <v>45971</v>
      </c>
      <c r="D3566" t="inlineStr">
        <is>
          <t>VÄSTERBOTTENS LÄN</t>
        </is>
      </c>
      <c r="E3566" t="inlineStr">
        <is>
          <t>SORSELE</t>
        </is>
      </c>
      <c r="F3566" t="inlineStr">
        <is>
          <t>Övriga statliga verk och myndigheter</t>
        </is>
      </c>
      <c r="G3566" t="n">
        <v>132.9</v>
      </c>
      <c r="H3566" t="n">
        <v>0</v>
      </c>
      <c r="I3566" t="n">
        <v>0</v>
      </c>
      <c r="J3566" t="n">
        <v>0</v>
      </c>
      <c r="K3566" t="n">
        <v>0</v>
      </c>
      <c r="L3566" t="n">
        <v>0</v>
      </c>
      <c r="M3566" t="n">
        <v>0</v>
      </c>
      <c r="N3566" t="n">
        <v>0</v>
      </c>
      <c r="O3566" t="n">
        <v>0</v>
      </c>
      <c r="P3566" t="n">
        <v>0</v>
      </c>
      <c r="Q3566" t="n">
        <v>0</v>
      </c>
      <c r="R3566" s="2" t="inlineStr"/>
    </row>
    <row r="3567" ht="15" customHeight="1">
      <c r="A3567" t="inlineStr">
        <is>
          <t>A 39450-2024</t>
        </is>
      </c>
      <c r="B3567" s="1" t="n">
        <v>45551.61681712963</v>
      </c>
      <c r="C3567" s="1" t="n">
        <v>45971</v>
      </c>
      <c r="D3567" t="inlineStr">
        <is>
          <t>VÄSTERBOTTENS LÄN</t>
        </is>
      </c>
      <c r="E3567" t="inlineStr">
        <is>
          <t>ÅSELE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39471-2024</t>
        </is>
      </c>
      <c r="B3568" s="1" t="n">
        <v>45551.63643518519</v>
      </c>
      <c r="C3568" s="1" t="n">
        <v>45971</v>
      </c>
      <c r="D3568" t="inlineStr">
        <is>
          <t>VÄSTERBOTTENS LÄN</t>
        </is>
      </c>
      <c r="E3568" t="inlineStr">
        <is>
          <t>DOROTEA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10570-2023</t>
        </is>
      </c>
      <c r="B3569" s="1" t="n">
        <v>44981</v>
      </c>
      <c r="C3569" s="1" t="n">
        <v>45971</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4222-2025</t>
        </is>
      </c>
      <c r="B3570" s="1" t="n">
        <v>45685</v>
      </c>
      <c r="C3570" s="1" t="n">
        <v>45971</v>
      </c>
      <c r="D3570" t="inlineStr">
        <is>
          <t>VÄSTERBOTTENS LÄN</t>
        </is>
      </c>
      <c r="E3570" t="inlineStr">
        <is>
          <t>VINDELN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47976-2022</t>
        </is>
      </c>
      <c r="B3571" s="1" t="n">
        <v>44853</v>
      </c>
      <c r="C3571" s="1" t="n">
        <v>45971</v>
      </c>
      <c r="D3571" t="inlineStr">
        <is>
          <t>VÄSTERBOTTENS LÄN</t>
        </is>
      </c>
      <c r="E3571" t="inlineStr">
        <is>
          <t>VÄNNÄS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56415-2022</t>
        </is>
      </c>
      <c r="B3572" s="1" t="n">
        <v>44890</v>
      </c>
      <c r="C3572" s="1" t="n">
        <v>45971</v>
      </c>
      <c r="D3572" t="inlineStr">
        <is>
          <t>VÄSTERBOTTENS LÄN</t>
        </is>
      </c>
      <c r="E3572" t="inlineStr">
        <is>
          <t>SORSELE</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37870-2024</t>
        </is>
      </c>
      <c r="B3573" s="1" t="n">
        <v>45544</v>
      </c>
      <c r="C3573" s="1" t="n">
        <v>45971</v>
      </c>
      <c r="D3573" t="inlineStr">
        <is>
          <t>VÄSTERBOTTENS LÄN</t>
        </is>
      </c>
      <c r="E3573" t="inlineStr">
        <is>
          <t>UMEÅ</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58821-2023</t>
        </is>
      </c>
      <c r="B3574" s="1" t="n">
        <v>45247</v>
      </c>
      <c r="C3574" s="1" t="n">
        <v>45971</v>
      </c>
      <c r="D3574" t="inlineStr">
        <is>
          <t>VÄSTERBOTTENS LÄN</t>
        </is>
      </c>
      <c r="E3574" t="inlineStr">
        <is>
          <t>SKELLEFTEÅ</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17928-2023</t>
        </is>
      </c>
      <c r="B3575" s="1" t="n">
        <v>45037</v>
      </c>
      <c r="C3575" s="1" t="n">
        <v>45971</v>
      </c>
      <c r="D3575" t="inlineStr">
        <is>
          <t>VÄSTERBOTTENS LÄN</t>
        </is>
      </c>
      <c r="E3575" t="inlineStr">
        <is>
          <t>UMEÅ</t>
        </is>
      </c>
      <c r="F3575" t="inlineStr">
        <is>
          <t>Kommuner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28695-2024</t>
        </is>
      </c>
      <c r="B3576" s="1" t="n">
        <v>45478</v>
      </c>
      <c r="C3576" s="1" t="n">
        <v>45971</v>
      </c>
      <c r="D3576" t="inlineStr">
        <is>
          <t>VÄSTERBOTTENS LÄN</t>
        </is>
      </c>
      <c r="E3576" t="inlineStr">
        <is>
          <t>VILHELMINA</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22408-2024</t>
        </is>
      </c>
      <c r="B3577" s="1" t="n">
        <v>45446.6784837963</v>
      </c>
      <c r="C3577" s="1" t="n">
        <v>45971</v>
      </c>
      <c r="D3577" t="inlineStr">
        <is>
          <t>VÄSTERBOTTENS LÄN</t>
        </is>
      </c>
      <c r="E3577" t="inlineStr">
        <is>
          <t>BJURHOLM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41323-2024</t>
        </is>
      </c>
      <c r="B3578" s="1" t="n">
        <v>45559.65309027778</v>
      </c>
      <c r="C3578" s="1" t="n">
        <v>45971</v>
      </c>
      <c r="D3578" t="inlineStr">
        <is>
          <t>VÄSTERBOTTENS LÄN</t>
        </is>
      </c>
      <c r="E3578" t="inlineStr">
        <is>
          <t>NORSJÖ</t>
        </is>
      </c>
      <c r="F3578" t="inlineStr">
        <is>
          <t>Sveaskog</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25714-2024</t>
        </is>
      </c>
      <c r="B3579" s="1" t="n">
        <v>45463.94417824074</v>
      </c>
      <c r="C3579" s="1" t="n">
        <v>45971</v>
      </c>
      <c r="D3579" t="inlineStr">
        <is>
          <t>VÄSTERBOTTENS LÄN</t>
        </is>
      </c>
      <c r="E3579" t="inlineStr">
        <is>
          <t>DOROTEA</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15756-2023</t>
        </is>
      </c>
      <c r="B3580" s="1" t="n">
        <v>45021.62100694444</v>
      </c>
      <c r="C3580" s="1" t="n">
        <v>45971</v>
      </c>
      <c r="D3580" t="inlineStr">
        <is>
          <t>VÄSTERBOTTENS LÄN</t>
        </is>
      </c>
      <c r="E3580" t="inlineStr">
        <is>
          <t>NORDMALING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61531-2024</t>
        </is>
      </c>
      <c r="B3581" s="1" t="n">
        <v>45646.58731481482</v>
      </c>
      <c r="C3581" s="1" t="n">
        <v>45971</v>
      </c>
      <c r="D3581" t="inlineStr">
        <is>
          <t>VÄSTERBOTTENS LÄN</t>
        </is>
      </c>
      <c r="E3581" t="inlineStr">
        <is>
          <t>ROBERTSFORS</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61584-2024</t>
        </is>
      </c>
      <c r="B3582" s="1" t="n">
        <v>45646.62739583333</v>
      </c>
      <c r="C3582" s="1" t="n">
        <v>45971</v>
      </c>
      <c r="D3582" t="inlineStr">
        <is>
          <t>VÄSTERBOTTENS LÄN</t>
        </is>
      </c>
      <c r="E3582" t="inlineStr">
        <is>
          <t>SKELLEFTEÅ</t>
        </is>
      </c>
      <c r="F3582" t="inlineStr">
        <is>
          <t>Sveaskog</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61591-2024</t>
        </is>
      </c>
      <c r="B3583" s="1" t="n">
        <v>45646.63126157408</v>
      </c>
      <c r="C3583" s="1" t="n">
        <v>45971</v>
      </c>
      <c r="D3583" t="inlineStr">
        <is>
          <t>VÄSTERBOTTENS LÄN</t>
        </is>
      </c>
      <c r="E3583" t="inlineStr">
        <is>
          <t>VINDELN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24241-2022</t>
        </is>
      </c>
      <c r="B3584" s="1" t="n">
        <v>44725</v>
      </c>
      <c r="C3584" s="1" t="n">
        <v>45971</v>
      </c>
      <c r="D3584" t="inlineStr">
        <is>
          <t>VÄSTERBOTTENS LÄN</t>
        </is>
      </c>
      <c r="E3584" t="inlineStr">
        <is>
          <t>ROBERTSFORS</t>
        </is>
      </c>
      <c r="F3584" t="inlineStr">
        <is>
          <t>Holmen skog AB</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61621-2024</t>
        </is>
      </c>
      <c r="B3585" s="1" t="n">
        <v>45646.65800925926</v>
      </c>
      <c r="C3585" s="1" t="n">
        <v>45971</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14096-2022</t>
        </is>
      </c>
      <c r="B3586" s="1" t="n">
        <v>44651</v>
      </c>
      <c r="C3586" s="1" t="n">
        <v>45971</v>
      </c>
      <c r="D3586" t="inlineStr">
        <is>
          <t>VÄSTERBOTTENS LÄN</t>
        </is>
      </c>
      <c r="E3586" t="inlineStr">
        <is>
          <t>SKELLEFTEÅ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3546-2024</t>
        </is>
      </c>
      <c r="B3587" s="1" t="n">
        <v>45320</v>
      </c>
      <c r="C3587" s="1" t="n">
        <v>45971</v>
      </c>
      <c r="D3587" t="inlineStr">
        <is>
          <t>VÄSTERBOTTENS LÄN</t>
        </is>
      </c>
      <c r="E3587" t="inlineStr">
        <is>
          <t>LYCKSELE</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8301-2025</t>
        </is>
      </c>
      <c r="B3588" s="1" t="n">
        <v>45708</v>
      </c>
      <c r="C3588" s="1" t="n">
        <v>45971</v>
      </c>
      <c r="D3588" t="inlineStr">
        <is>
          <t>VÄSTERBOTTENS LÄN</t>
        </is>
      </c>
      <c r="E3588" t="inlineStr">
        <is>
          <t>SKELLEFTEÅ</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10400-2025</t>
        </is>
      </c>
      <c r="B3589" s="1" t="n">
        <v>45720.61486111111</v>
      </c>
      <c r="C3589" s="1" t="n">
        <v>45971</v>
      </c>
      <c r="D3589" t="inlineStr">
        <is>
          <t>VÄSTERBOTTENS LÄN</t>
        </is>
      </c>
      <c r="E3589" t="inlineStr">
        <is>
          <t>DOROTEA</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31058-2024</t>
        </is>
      </c>
      <c r="B3590" s="1" t="n">
        <v>45502</v>
      </c>
      <c r="C3590" s="1" t="n">
        <v>45971</v>
      </c>
      <c r="D3590" t="inlineStr">
        <is>
          <t>VÄSTERBOTTENS LÄN</t>
        </is>
      </c>
      <c r="E3590" t="inlineStr">
        <is>
          <t>ROBERTSFORS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31059-2024</t>
        </is>
      </c>
      <c r="B3591" s="1" t="n">
        <v>45502</v>
      </c>
      <c r="C3591" s="1" t="n">
        <v>45971</v>
      </c>
      <c r="D3591" t="inlineStr">
        <is>
          <t>VÄSTERBOTTENS LÄN</t>
        </is>
      </c>
      <c r="E3591" t="inlineStr">
        <is>
          <t>ROBERTSFORS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31190-2023</t>
        </is>
      </c>
      <c r="B3592" s="1" t="n">
        <v>45113.94958333333</v>
      </c>
      <c r="C3592" s="1" t="n">
        <v>45971</v>
      </c>
      <c r="D3592" t="inlineStr">
        <is>
          <t>VÄSTERBOTTENS LÄN</t>
        </is>
      </c>
      <c r="E3592" t="inlineStr">
        <is>
          <t>ÅSELE</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34670-2023</t>
        </is>
      </c>
      <c r="B3593" s="1" t="n">
        <v>45140.83440972222</v>
      </c>
      <c r="C3593" s="1" t="n">
        <v>45971</v>
      </c>
      <c r="D3593" t="inlineStr">
        <is>
          <t>VÄSTERBOTTENS LÄN</t>
        </is>
      </c>
      <c r="E3593" t="inlineStr">
        <is>
          <t>SKELLEFTEÅ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34672-2023</t>
        </is>
      </c>
      <c r="B3594" s="1" t="n">
        <v>45140.84226851852</v>
      </c>
      <c r="C3594" s="1" t="n">
        <v>45971</v>
      </c>
      <c r="D3594" t="inlineStr">
        <is>
          <t>VÄSTERBOTTENS LÄN</t>
        </is>
      </c>
      <c r="E3594" t="inlineStr">
        <is>
          <t>SKELLEFTEÅ</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48635-2024</t>
        </is>
      </c>
      <c r="B3595" s="1" t="n">
        <v>45593.46998842592</v>
      </c>
      <c r="C3595" s="1" t="n">
        <v>45971</v>
      </c>
      <c r="D3595" t="inlineStr">
        <is>
          <t>VÄSTERBOTTENS LÄN</t>
        </is>
      </c>
      <c r="E3595" t="inlineStr">
        <is>
          <t>UMEÅ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54729-2022</t>
        </is>
      </c>
      <c r="B3596" s="1" t="n">
        <v>44881</v>
      </c>
      <c r="C3596" s="1" t="n">
        <v>45971</v>
      </c>
      <c r="D3596" t="inlineStr">
        <is>
          <t>VÄSTERBOTTENS LÄN</t>
        </is>
      </c>
      <c r="E3596" t="inlineStr">
        <is>
          <t>VILHELMINA</t>
        </is>
      </c>
      <c r="G3596" t="n">
        <v>19.2</v>
      </c>
      <c r="H3596" t="n">
        <v>0</v>
      </c>
      <c r="I3596" t="n">
        <v>0</v>
      </c>
      <c r="J3596" t="n">
        <v>0</v>
      </c>
      <c r="K3596" t="n">
        <v>0</v>
      </c>
      <c r="L3596" t="n">
        <v>0</v>
      </c>
      <c r="M3596" t="n">
        <v>0</v>
      </c>
      <c r="N3596" t="n">
        <v>0</v>
      </c>
      <c r="O3596" t="n">
        <v>0</v>
      </c>
      <c r="P3596" t="n">
        <v>0</v>
      </c>
      <c r="Q3596" t="n">
        <v>0</v>
      </c>
      <c r="R3596" s="2" t="inlineStr"/>
    </row>
    <row r="3597" ht="15" customHeight="1">
      <c r="A3597" t="inlineStr">
        <is>
          <t>A 26038-2022</t>
        </is>
      </c>
      <c r="B3597" s="1" t="n">
        <v>44734.58537037037</v>
      </c>
      <c r="C3597" s="1" t="n">
        <v>45971</v>
      </c>
      <c r="D3597" t="inlineStr">
        <is>
          <t>VÄSTERBOTTENS LÄN</t>
        </is>
      </c>
      <c r="E3597" t="inlineStr">
        <is>
          <t>ROBERTSFORS</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987-2025</t>
        </is>
      </c>
      <c r="B3598" s="1" t="n">
        <v>45666</v>
      </c>
      <c r="C3598" s="1" t="n">
        <v>45971</v>
      </c>
      <c r="D3598" t="inlineStr">
        <is>
          <t>VÄSTERBOTTENS LÄN</t>
        </is>
      </c>
      <c r="E3598" t="inlineStr">
        <is>
          <t>LYCKSELE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50018-2024</t>
        </is>
      </c>
      <c r="B3599" s="1" t="n">
        <v>45599</v>
      </c>
      <c r="C3599" s="1" t="n">
        <v>45971</v>
      </c>
      <c r="D3599" t="inlineStr">
        <is>
          <t>VÄSTERBOTTENS LÄN</t>
        </is>
      </c>
      <c r="E3599" t="inlineStr">
        <is>
          <t>LYCKSELE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34986-2023</t>
        </is>
      </c>
      <c r="B3600" s="1" t="n">
        <v>45142</v>
      </c>
      <c r="C3600" s="1" t="n">
        <v>45971</v>
      </c>
      <c r="D3600" t="inlineStr">
        <is>
          <t>VÄSTERBOTTENS LÄN</t>
        </is>
      </c>
      <c r="E3600" t="inlineStr">
        <is>
          <t>SKELLEFTEÅ</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2073-2024</t>
        </is>
      </c>
      <c r="B3601" s="1" t="n">
        <v>45309</v>
      </c>
      <c r="C3601" s="1" t="n">
        <v>45971</v>
      </c>
      <c r="D3601" t="inlineStr">
        <is>
          <t>VÄSTERBOTTENS LÄN</t>
        </is>
      </c>
      <c r="E3601" t="inlineStr">
        <is>
          <t>UMEÅ</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9019-2025</t>
        </is>
      </c>
      <c r="B3602" s="1" t="n">
        <v>45713.59445601852</v>
      </c>
      <c r="C3602" s="1" t="n">
        <v>45971</v>
      </c>
      <c r="D3602" t="inlineStr">
        <is>
          <t>VÄSTERBOTTENS LÄN</t>
        </is>
      </c>
      <c r="E3602" t="inlineStr">
        <is>
          <t>LYCKSELE</t>
        </is>
      </c>
      <c r="F3602" t="inlineStr">
        <is>
          <t>SCA</t>
        </is>
      </c>
      <c r="G3602" t="n">
        <v>17.4</v>
      </c>
      <c r="H3602" t="n">
        <v>0</v>
      </c>
      <c r="I3602" t="n">
        <v>0</v>
      </c>
      <c r="J3602" t="n">
        <v>0</v>
      </c>
      <c r="K3602" t="n">
        <v>0</v>
      </c>
      <c r="L3602" t="n">
        <v>0</v>
      </c>
      <c r="M3602" t="n">
        <v>0</v>
      </c>
      <c r="N3602" t="n">
        <v>0</v>
      </c>
      <c r="O3602" t="n">
        <v>0</v>
      </c>
      <c r="P3602" t="n">
        <v>0</v>
      </c>
      <c r="Q3602" t="n">
        <v>0</v>
      </c>
      <c r="R3602" s="2" t="inlineStr"/>
    </row>
    <row r="3603" ht="15" customHeight="1">
      <c r="A3603" t="inlineStr">
        <is>
          <t>A 34807-2023</t>
        </is>
      </c>
      <c r="B3603" s="1" t="n">
        <v>45140</v>
      </c>
      <c r="C3603" s="1" t="n">
        <v>45971</v>
      </c>
      <c r="D3603" t="inlineStr">
        <is>
          <t>VÄSTERBOTTENS LÄN</t>
        </is>
      </c>
      <c r="E3603" t="inlineStr">
        <is>
          <t>VILHELMINA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34821-2023</t>
        </is>
      </c>
      <c r="B3604" s="1" t="n">
        <v>45140</v>
      </c>
      <c r="C3604" s="1" t="n">
        <v>45971</v>
      </c>
      <c r="D3604" t="inlineStr">
        <is>
          <t>VÄSTERBOTTENS LÄN</t>
        </is>
      </c>
      <c r="E3604" t="inlineStr">
        <is>
          <t>ROBERTSFORS</t>
        </is>
      </c>
      <c r="G3604" t="n">
        <v>15.3</v>
      </c>
      <c r="H3604" t="n">
        <v>0</v>
      </c>
      <c r="I3604" t="n">
        <v>0</v>
      </c>
      <c r="J3604" t="n">
        <v>0</v>
      </c>
      <c r="K3604" t="n">
        <v>0</v>
      </c>
      <c r="L3604" t="n">
        <v>0</v>
      </c>
      <c r="M3604" t="n">
        <v>0</v>
      </c>
      <c r="N3604" t="n">
        <v>0</v>
      </c>
      <c r="O3604" t="n">
        <v>0</v>
      </c>
      <c r="P3604" t="n">
        <v>0</v>
      </c>
      <c r="Q3604" t="n">
        <v>0</v>
      </c>
      <c r="R3604" s="2" t="inlineStr"/>
    </row>
    <row r="3605" ht="15" customHeight="1">
      <c r="A3605" t="inlineStr">
        <is>
          <t>A 27909-2024</t>
        </is>
      </c>
      <c r="B3605" s="1" t="n">
        <v>45475</v>
      </c>
      <c r="C3605" s="1" t="n">
        <v>45971</v>
      </c>
      <c r="D3605" t="inlineStr">
        <is>
          <t>VÄSTERBOTTENS LÄN</t>
        </is>
      </c>
      <c r="E3605" t="inlineStr">
        <is>
          <t>DOROTEA</t>
        </is>
      </c>
      <c r="F3605" t="inlineStr">
        <is>
          <t>SCA</t>
        </is>
      </c>
      <c r="G3605" t="n">
        <v>13.2</v>
      </c>
      <c r="H3605" t="n">
        <v>0</v>
      </c>
      <c r="I3605" t="n">
        <v>0</v>
      </c>
      <c r="J3605" t="n">
        <v>0</v>
      </c>
      <c r="K3605" t="n">
        <v>0</v>
      </c>
      <c r="L3605" t="n">
        <v>0</v>
      </c>
      <c r="M3605" t="n">
        <v>0</v>
      </c>
      <c r="N3605" t="n">
        <v>0</v>
      </c>
      <c r="O3605" t="n">
        <v>0</v>
      </c>
      <c r="P3605" t="n">
        <v>0</v>
      </c>
      <c r="Q3605" t="n">
        <v>0</v>
      </c>
      <c r="R3605" s="2" t="inlineStr"/>
    </row>
    <row r="3606" ht="15" customHeight="1">
      <c r="A3606" t="inlineStr">
        <is>
          <t>A 8851-2024</t>
        </is>
      </c>
      <c r="B3606" s="1" t="n">
        <v>45356</v>
      </c>
      <c r="C3606" s="1" t="n">
        <v>45971</v>
      </c>
      <c r="D3606" t="inlineStr">
        <is>
          <t>VÄSTERBOTTENS LÄN</t>
        </is>
      </c>
      <c r="E3606" t="inlineStr">
        <is>
          <t>ÅSELE</t>
        </is>
      </c>
      <c r="F3606" t="inlineStr">
        <is>
          <t>Kommuner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31200-2024</t>
        </is>
      </c>
      <c r="B3607" s="1" t="n">
        <v>45503</v>
      </c>
      <c r="C3607" s="1" t="n">
        <v>45971</v>
      </c>
      <c r="D3607" t="inlineStr">
        <is>
          <t>VÄSTERBOTTENS LÄN</t>
        </is>
      </c>
      <c r="E3607" t="inlineStr">
        <is>
          <t>UMEÅ</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31251-2024</t>
        </is>
      </c>
      <c r="B3608" s="1" t="n">
        <v>45503.65972222222</v>
      </c>
      <c r="C3608" s="1" t="n">
        <v>45971</v>
      </c>
      <c r="D3608" t="inlineStr">
        <is>
          <t>VÄSTERBOTTENS LÄN</t>
        </is>
      </c>
      <c r="E3608" t="inlineStr">
        <is>
          <t>LYCKSELE</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38809-2023</t>
        </is>
      </c>
      <c r="B3609" s="1" t="n">
        <v>45161</v>
      </c>
      <c r="C3609" s="1" t="n">
        <v>45971</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24399-2024</t>
        </is>
      </c>
      <c r="B3610" s="1" t="n">
        <v>45457.65552083333</v>
      </c>
      <c r="C3610" s="1" t="n">
        <v>45971</v>
      </c>
      <c r="D3610" t="inlineStr">
        <is>
          <t>VÄSTERBOTTENS LÄN</t>
        </is>
      </c>
      <c r="E3610" t="inlineStr">
        <is>
          <t>NORSJÖ</t>
        </is>
      </c>
      <c r="F3610" t="inlineStr">
        <is>
          <t>Holmen skog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24444-2024</t>
        </is>
      </c>
      <c r="B3611" s="1" t="n">
        <v>45457.96425925926</v>
      </c>
      <c r="C3611" s="1" t="n">
        <v>45971</v>
      </c>
      <c r="D3611" t="inlineStr">
        <is>
          <t>VÄSTERBOTTENS LÄN</t>
        </is>
      </c>
      <c r="E3611" t="inlineStr">
        <is>
          <t>ÅSELE</t>
        </is>
      </c>
      <c r="F3611" t="inlineStr">
        <is>
          <t>SCA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31762-2024</t>
        </is>
      </c>
      <c r="B3612" s="1" t="n">
        <v>45509.45523148148</v>
      </c>
      <c r="C3612" s="1" t="n">
        <v>45971</v>
      </c>
      <c r="D3612" t="inlineStr">
        <is>
          <t>VÄSTERBOTTENS LÄN</t>
        </is>
      </c>
      <c r="E3612" t="inlineStr">
        <is>
          <t>VINDELN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24466-2024</t>
        </is>
      </c>
      <c r="B3613" s="1" t="n">
        <v>45458</v>
      </c>
      <c r="C3613" s="1" t="n">
        <v>45971</v>
      </c>
      <c r="D3613" t="inlineStr">
        <is>
          <t>VÄSTERBOTTENS LÄN</t>
        </is>
      </c>
      <c r="E3613" t="inlineStr">
        <is>
          <t>ROBERTSFORS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24469-2024</t>
        </is>
      </c>
      <c r="B3614" s="1" t="n">
        <v>45458</v>
      </c>
      <c r="C3614" s="1" t="n">
        <v>45971</v>
      </c>
      <c r="D3614" t="inlineStr">
        <is>
          <t>VÄSTERBOTTENS LÄN</t>
        </is>
      </c>
      <c r="E3614" t="inlineStr">
        <is>
          <t>ROBERTSFORS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31975-2024</t>
        </is>
      </c>
      <c r="B3615" s="1" t="n">
        <v>45510.56052083334</v>
      </c>
      <c r="C3615" s="1" t="n">
        <v>45971</v>
      </c>
      <c r="D3615" t="inlineStr">
        <is>
          <t>VÄSTERBOTTENS LÄN</t>
        </is>
      </c>
      <c r="E3615" t="inlineStr">
        <is>
          <t>SKELLEFTEÅ</t>
        </is>
      </c>
      <c r="F3615" t="inlineStr">
        <is>
          <t>Holmen skog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53181-2021</t>
        </is>
      </c>
      <c r="B3616" s="1" t="n">
        <v>44467</v>
      </c>
      <c r="C3616" s="1" t="n">
        <v>45971</v>
      </c>
      <c r="D3616" t="inlineStr">
        <is>
          <t>VÄSTERBOTTENS LÄN</t>
        </is>
      </c>
      <c r="E3616" t="inlineStr">
        <is>
          <t>UMEÅ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31965-2025</t>
        </is>
      </c>
      <c r="B3617" s="1" t="n">
        <v>45835.34505787037</v>
      </c>
      <c r="C3617" s="1" t="n">
        <v>45971</v>
      </c>
      <c r="D3617" t="inlineStr">
        <is>
          <t>VÄSTERBOTTENS LÄN</t>
        </is>
      </c>
      <c r="E3617" t="inlineStr">
        <is>
          <t>LYCKSELE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65478-2021</t>
        </is>
      </c>
      <c r="B3618" s="1" t="n">
        <v>44516.34648148148</v>
      </c>
      <c r="C3618" s="1" t="n">
        <v>45971</v>
      </c>
      <c r="D3618" t="inlineStr">
        <is>
          <t>VÄSTERBOTTENS LÄN</t>
        </is>
      </c>
      <c r="E3618" t="inlineStr">
        <is>
          <t>ÅSELE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4162-2025</t>
        </is>
      </c>
      <c r="B3619" s="1" t="n">
        <v>45685.40097222223</v>
      </c>
      <c r="C3619" s="1" t="n">
        <v>45971</v>
      </c>
      <c r="D3619" t="inlineStr">
        <is>
          <t>VÄSTERBOTTENS LÄN</t>
        </is>
      </c>
      <c r="E3619" t="inlineStr">
        <is>
          <t>VINDELN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4163-2025</t>
        </is>
      </c>
      <c r="B3620" s="1" t="n">
        <v>45685.40736111111</v>
      </c>
      <c r="C3620" s="1" t="n">
        <v>45971</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20559-2024</t>
        </is>
      </c>
      <c r="B3621" s="1" t="n">
        <v>45436</v>
      </c>
      <c r="C3621" s="1" t="n">
        <v>45971</v>
      </c>
      <c r="D3621" t="inlineStr">
        <is>
          <t>VÄSTERBOTTENS LÄN</t>
        </is>
      </c>
      <c r="E3621" t="inlineStr">
        <is>
          <t>SKELLEFTEÅ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38270-2024</t>
        </is>
      </c>
      <c r="B3622" s="1" t="n">
        <v>45545.60266203704</v>
      </c>
      <c r="C3622" s="1" t="n">
        <v>45971</v>
      </c>
      <c r="D3622" t="inlineStr">
        <is>
          <t>VÄSTERBOTTENS LÄN</t>
        </is>
      </c>
      <c r="E3622" t="inlineStr">
        <is>
          <t>SORSELE</t>
        </is>
      </c>
      <c r="G3622" t="n">
        <v>14.8</v>
      </c>
      <c r="H3622" t="n">
        <v>0</v>
      </c>
      <c r="I3622" t="n">
        <v>0</v>
      </c>
      <c r="J3622" t="n">
        <v>0</v>
      </c>
      <c r="K3622" t="n">
        <v>0</v>
      </c>
      <c r="L3622" t="n">
        <v>0</v>
      </c>
      <c r="M3622" t="n">
        <v>0</v>
      </c>
      <c r="N3622" t="n">
        <v>0</v>
      </c>
      <c r="O3622" t="n">
        <v>0</v>
      </c>
      <c r="P3622" t="n">
        <v>0</v>
      </c>
      <c r="Q3622" t="n">
        <v>0</v>
      </c>
      <c r="R3622" s="2" t="inlineStr"/>
    </row>
    <row r="3623" ht="15" customHeight="1">
      <c r="A3623" t="inlineStr">
        <is>
          <t>A 59653-2024</t>
        </is>
      </c>
      <c r="B3623" s="1" t="n">
        <v>45639.34640046296</v>
      </c>
      <c r="C3623" s="1" t="n">
        <v>45971</v>
      </c>
      <c r="D3623" t="inlineStr">
        <is>
          <t>VÄSTERBOTTENS LÄN</t>
        </is>
      </c>
      <c r="E3623" t="inlineStr">
        <is>
          <t>DOROTEA</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20454-2024</t>
        </is>
      </c>
      <c r="B3624" s="1" t="n">
        <v>45435</v>
      </c>
      <c r="C3624" s="1" t="n">
        <v>45971</v>
      </c>
      <c r="D3624" t="inlineStr">
        <is>
          <t>VÄSTERBOTTENS LÄN</t>
        </is>
      </c>
      <c r="E3624" t="inlineStr">
        <is>
          <t>SKELLEFTEÅ</t>
        </is>
      </c>
      <c r="F3624" t="inlineStr">
        <is>
          <t>Holmen skog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4281-2025</t>
        </is>
      </c>
      <c r="B3625" s="1" t="n">
        <v>45685.64454861111</v>
      </c>
      <c r="C3625" s="1" t="n">
        <v>45971</v>
      </c>
      <c r="D3625" t="inlineStr">
        <is>
          <t>VÄSTERBOTTENS LÄN</t>
        </is>
      </c>
      <c r="E3625" t="inlineStr">
        <is>
          <t>MALÅ</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10357-2023</t>
        </is>
      </c>
      <c r="B3626" s="1" t="n">
        <v>44980</v>
      </c>
      <c r="C3626" s="1" t="n">
        <v>45971</v>
      </c>
      <c r="D3626" t="inlineStr">
        <is>
          <t>VÄSTERBOTTENS LÄN</t>
        </is>
      </c>
      <c r="E3626" t="inlineStr">
        <is>
          <t>UMEÅ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5490-2023</t>
        </is>
      </c>
      <c r="B3627" s="1" t="n">
        <v>44957</v>
      </c>
      <c r="C3627" s="1" t="n">
        <v>45971</v>
      </c>
      <c r="D3627" t="inlineStr">
        <is>
          <t>VÄSTERBOTTENS LÄN</t>
        </is>
      </c>
      <c r="E3627" t="inlineStr">
        <is>
          <t>SKELLEFTEÅ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64006-2023</t>
        </is>
      </c>
      <c r="B3628" s="1" t="n">
        <v>45278</v>
      </c>
      <c r="C3628" s="1" t="n">
        <v>45971</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64028-2023</t>
        </is>
      </c>
      <c r="B3629" s="1" t="n">
        <v>45278.94263888889</v>
      </c>
      <c r="C3629" s="1" t="n">
        <v>45971</v>
      </c>
      <c r="D3629" t="inlineStr">
        <is>
          <t>VÄSTERBOTTENS LÄN</t>
        </is>
      </c>
      <c r="E3629" t="inlineStr">
        <is>
          <t>VILHELMINA</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37984-2021</t>
        </is>
      </c>
      <c r="B3630" s="1" t="n">
        <v>44403</v>
      </c>
      <c r="C3630" s="1" t="n">
        <v>45971</v>
      </c>
      <c r="D3630" t="inlineStr">
        <is>
          <t>VÄSTERBOTTENS LÄN</t>
        </is>
      </c>
      <c r="E3630" t="inlineStr">
        <is>
          <t>LYCKSELE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59690-2024</t>
        </is>
      </c>
      <c r="B3631" s="1" t="n">
        <v>45639.40667824074</v>
      </c>
      <c r="C3631" s="1" t="n">
        <v>45971</v>
      </c>
      <c r="D3631" t="inlineStr">
        <is>
          <t>VÄSTERBOTTENS LÄN</t>
        </is>
      </c>
      <c r="E3631" t="inlineStr">
        <is>
          <t>ÅSELE</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15037-2025</t>
        </is>
      </c>
      <c r="B3632" s="1" t="n">
        <v>45743.68226851852</v>
      </c>
      <c r="C3632" s="1" t="n">
        <v>45971</v>
      </c>
      <c r="D3632" t="inlineStr">
        <is>
          <t>VÄSTERBOTTENS LÄN</t>
        </is>
      </c>
      <c r="E3632" t="inlineStr">
        <is>
          <t>LYCKSELE</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68251-2021</t>
        </is>
      </c>
      <c r="B3633" s="1" t="n">
        <v>44525</v>
      </c>
      <c r="C3633" s="1" t="n">
        <v>45971</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22112-2024</t>
        </is>
      </c>
      <c r="B3634" s="1" t="n">
        <v>45443</v>
      </c>
      <c r="C3634" s="1" t="n">
        <v>45971</v>
      </c>
      <c r="D3634" t="inlineStr">
        <is>
          <t>VÄSTERBOTTENS LÄN</t>
        </is>
      </c>
      <c r="E3634" t="inlineStr">
        <is>
          <t>ÅSELE</t>
        </is>
      </c>
      <c r="F3634" t="inlineStr">
        <is>
          <t>SCA</t>
        </is>
      </c>
      <c r="G3634" t="n">
        <v>25.9</v>
      </c>
      <c r="H3634" t="n">
        <v>0</v>
      </c>
      <c r="I3634" t="n">
        <v>0</v>
      </c>
      <c r="J3634" t="n">
        <v>0</v>
      </c>
      <c r="K3634" t="n">
        <v>0</v>
      </c>
      <c r="L3634" t="n">
        <v>0</v>
      </c>
      <c r="M3634" t="n">
        <v>0</v>
      </c>
      <c r="N3634" t="n">
        <v>0</v>
      </c>
      <c r="O3634" t="n">
        <v>0</v>
      </c>
      <c r="P3634" t="n">
        <v>0</v>
      </c>
      <c r="Q3634" t="n">
        <v>0</v>
      </c>
      <c r="R3634" s="2" t="inlineStr"/>
    </row>
    <row r="3635" ht="15" customHeight="1">
      <c r="A3635" t="inlineStr">
        <is>
          <t>A 538-2025</t>
        </is>
      </c>
      <c r="B3635" s="1" t="n">
        <v>45660</v>
      </c>
      <c r="C3635" s="1" t="n">
        <v>45971</v>
      </c>
      <c r="D3635" t="inlineStr">
        <is>
          <t>VÄSTERBOTTENS LÄN</t>
        </is>
      </c>
      <c r="E3635" t="inlineStr">
        <is>
          <t>MALÅ</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549-2025</t>
        </is>
      </c>
      <c r="B3636" s="1" t="n">
        <v>45660</v>
      </c>
      <c r="C3636" s="1" t="n">
        <v>45971</v>
      </c>
      <c r="D3636" t="inlineStr">
        <is>
          <t>VÄSTERBOTTENS LÄN</t>
        </is>
      </c>
      <c r="E3636" t="inlineStr">
        <is>
          <t>MALÅ</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9051-2021</t>
        </is>
      </c>
      <c r="B3637" s="1" t="n">
        <v>44249</v>
      </c>
      <c r="C3637" s="1" t="n">
        <v>45971</v>
      </c>
      <c r="D3637" t="inlineStr">
        <is>
          <t>VÄSTERBOTTENS LÄN</t>
        </is>
      </c>
      <c r="E3637" t="inlineStr">
        <is>
          <t>SKELLEFTEÅ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28656-2024</t>
        </is>
      </c>
      <c r="B3638" s="1" t="n">
        <v>45478</v>
      </c>
      <c r="C3638" s="1" t="n">
        <v>45971</v>
      </c>
      <c r="D3638" t="inlineStr">
        <is>
          <t>VÄSTERBOTTENS LÄN</t>
        </is>
      </c>
      <c r="E3638" t="inlineStr">
        <is>
          <t>VILHELMINA</t>
        </is>
      </c>
      <c r="F3638" t="inlineStr">
        <is>
          <t>Allmännings- och besparingsskogar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63981-2021</t>
        </is>
      </c>
      <c r="B3639" s="1" t="n">
        <v>44509</v>
      </c>
      <c r="C3639" s="1" t="n">
        <v>45971</v>
      </c>
      <c r="D3639" t="inlineStr">
        <is>
          <t>VÄSTERBOTTENS LÄN</t>
        </is>
      </c>
      <c r="E3639" t="inlineStr">
        <is>
          <t>VÄNNÄS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2260-2025</t>
        </is>
      </c>
      <c r="B3640" s="1" t="n">
        <v>45673.51790509259</v>
      </c>
      <c r="C3640" s="1" t="n">
        <v>45971</v>
      </c>
      <c r="D3640" t="inlineStr">
        <is>
          <t>VÄSTERBOTTENS LÄN</t>
        </is>
      </c>
      <c r="E3640" t="inlineStr">
        <is>
          <t>NORDMALING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26197-2022</t>
        </is>
      </c>
      <c r="B3641" s="1" t="n">
        <v>44735</v>
      </c>
      <c r="C3641" s="1" t="n">
        <v>45971</v>
      </c>
      <c r="D3641" t="inlineStr">
        <is>
          <t>VÄSTERBOTTENS LÄN</t>
        </is>
      </c>
      <c r="E3641" t="inlineStr">
        <is>
          <t>NORDMALING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56104-2022</t>
        </is>
      </c>
      <c r="B3642" s="1" t="n">
        <v>44889</v>
      </c>
      <c r="C3642" s="1" t="n">
        <v>45971</v>
      </c>
      <c r="D3642" t="inlineStr">
        <is>
          <t>VÄSTERBOTTENS LÄN</t>
        </is>
      </c>
      <c r="E3642" t="inlineStr">
        <is>
          <t>VINDELN</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18448-2023</t>
        </is>
      </c>
      <c r="B3643" s="1" t="n">
        <v>45042</v>
      </c>
      <c r="C3643" s="1" t="n">
        <v>45971</v>
      </c>
      <c r="D3643" t="inlineStr">
        <is>
          <t>VÄSTERBOTTENS LÄN</t>
        </is>
      </c>
      <c r="E3643" t="inlineStr">
        <is>
          <t>UMEÅ</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4958-2023</t>
        </is>
      </c>
      <c r="B3644" s="1" t="n">
        <v>44956</v>
      </c>
      <c r="C3644" s="1" t="n">
        <v>45971</v>
      </c>
      <c r="D3644" t="inlineStr">
        <is>
          <t>VÄSTERBOTTENS LÄN</t>
        </is>
      </c>
      <c r="E3644" t="inlineStr">
        <is>
          <t>DOROTEA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46319-2023</t>
        </is>
      </c>
      <c r="B3645" s="1" t="n">
        <v>45191</v>
      </c>
      <c r="C3645" s="1" t="n">
        <v>45971</v>
      </c>
      <c r="D3645" t="inlineStr">
        <is>
          <t>VÄSTERBOTTENS LÄN</t>
        </is>
      </c>
      <c r="E3645" t="inlineStr">
        <is>
          <t>SORSELE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15777-2025</t>
        </is>
      </c>
      <c r="B3646" s="1" t="n">
        <v>45748</v>
      </c>
      <c r="C3646" s="1" t="n">
        <v>45971</v>
      </c>
      <c r="D3646" t="inlineStr">
        <is>
          <t>VÄSTERBOTTENS LÄN</t>
        </is>
      </c>
      <c r="E3646" t="inlineStr">
        <is>
          <t>ÅSELE</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4956-2025</t>
        </is>
      </c>
      <c r="B3647" s="1" t="n">
        <v>45689.57166666666</v>
      </c>
      <c r="C3647" s="1" t="n">
        <v>45971</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15782-2025</t>
        </is>
      </c>
      <c r="B3648" s="1" t="n">
        <v>45748</v>
      </c>
      <c r="C3648" s="1" t="n">
        <v>45971</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59783-2024</t>
        </is>
      </c>
      <c r="B3649" s="1" t="n">
        <v>45639.57982638889</v>
      </c>
      <c r="C3649" s="1" t="n">
        <v>45971</v>
      </c>
      <c r="D3649" t="inlineStr">
        <is>
          <t>VÄSTERBOTTENS LÄN</t>
        </is>
      </c>
      <c r="E3649" t="inlineStr">
        <is>
          <t>SKELLEFTEÅ</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57868-2023</t>
        </is>
      </c>
      <c r="B3650" s="1" t="n">
        <v>45247.45697916667</v>
      </c>
      <c r="C3650" s="1" t="n">
        <v>45971</v>
      </c>
      <c r="D3650" t="inlineStr">
        <is>
          <t>VÄSTERBOTTENS LÄN</t>
        </is>
      </c>
      <c r="E3650" t="inlineStr">
        <is>
          <t>VINDELN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4299-2021</t>
        </is>
      </c>
      <c r="B3651" s="1" t="n">
        <v>44223</v>
      </c>
      <c r="C3651" s="1" t="n">
        <v>45971</v>
      </c>
      <c r="D3651" t="inlineStr">
        <is>
          <t>VÄSTERBOTTENS LÄN</t>
        </is>
      </c>
      <c r="E3651" t="inlineStr">
        <is>
          <t>SKELLEFTEÅ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29599-2024</t>
        </is>
      </c>
      <c r="B3652" s="1" t="n">
        <v>45484.59297453704</v>
      </c>
      <c r="C3652" s="1" t="n">
        <v>45971</v>
      </c>
      <c r="D3652" t="inlineStr">
        <is>
          <t>VÄSTERBOTTENS LÄN</t>
        </is>
      </c>
      <c r="E3652" t="inlineStr">
        <is>
          <t>ÅSELE</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47254-2022</t>
        </is>
      </c>
      <c r="B3653" s="1" t="n">
        <v>44852.94685185186</v>
      </c>
      <c r="C3653" s="1" t="n">
        <v>45971</v>
      </c>
      <c r="D3653" t="inlineStr">
        <is>
          <t>VÄSTERBOTTENS LÄN</t>
        </is>
      </c>
      <c r="E3653" t="inlineStr">
        <is>
          <t>VILHELMINA</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18143-2023</t>
        </is>
      </c>
      <c r="B3654" s="1" t="n">
        <v>45040</v>
      </c>
      <c r="C3654" s="1" t="n">
        <v>45971</v>
      </c>
      <c r="D3654" t="inlineStr">
        <is>
          <t>VÄSTERBOTTENS LÄN</t>
        </is>
      </c>
      <c r="E3654" t="inlineStr">
        <is>
          <t>ROBERTSFORS</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40262-2022</t>
        </is>
      </c>
      <c r="B3655" s="1" t="n">
        <v>44820</v>
      </c>
      <c r="C3655" s="1" t="n">
        <v>45971</v>
      </c>
      <c r="D3655" t="inlineStr">
        <is>
          <t>VÄSTERBOTTENS LÄN</t>
        </is>
      </c>
      <c r="E3655" t="inlineStr">
        <is>
          <t>LYCKSELE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54384-2021</t>
        </is>
      </c>
      <c r="B3656" s="1" t="n">
        <v>44473</v>
      </c>
      <c r="C3656" s="1" t="n">
        <v>45971</v>
      </c>
      <c r="D3656" t="inlineStr">
        <is>
          <t>VÄSTERBOTTENS LÄN</t>
        </is>
      </c>
      <c r="E3656" t="inlineStr">
        <is>
          <t>SKELLEFTEÅ</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26071-2024</t>
        </is>
      </c>
      <c r="B3657" s="1" t="n">
        <v>45468.36027777778</v>
      </c>
      <c r="C3657" s="1" t="n">
        <v>45971</v>
      </c>
      <c r="D3657" t="inlineStr">
        <is>
          <t>VÄSTERBOTTENS LÄN</t>
        </is>
      </c>
      <c r="E3657" t="inlineStr">
        <is>
          <t>LYCKSELE</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3493-2023</t>
        </is>
      </c>
      <c r="B3658" s="1" t="n">
        <v>44949</v>
      </c>
      <c r="C3658" s="1" t="n">
        <v>45971</v>
      </c>
      <c r="D3658" t="inlineStr">
        <is>
          <t>VÄSTERBOTTENS LÄN</t>
        </is>
      </c>
      <c r="E3658" t="inlineStr">
        <is>
          <t>BJURHOLM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23372-2021</t>
        </is>
      </c>
      <c r="B3659" s="1" t="n">
        <v>44333.58960648148</v>
      </c>
      <c r="C3659" s="1" t="n">
        <v>45971</v>
      </c>
      <c r="D3659" t="inlineStr">
        <is>
          <t>VÄSTERBOTTENS LÄN</t>
        </is>
      </c>
      <c r="E3659" t="inlineStr">
        <is>
          <t>UMEÅ</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23543-2024</t>
        </is>
      </c>
      <c r="B3660" s="1" t="n">
        <v>45453</v>
      </c>
      <c r="C3660" s="1" t="n">
        <v>45971</v>
      </c>
      <c r="D3660" t="inlineStr">
        <is>
          <t>VÄSTERBOTTENS LÄN</t>
        </is>
      </c>
      <c r="E3660" t="inlineStr">
        <is>
          <t>VILHELMINA</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9315-2023</t>
        </is>
      </c>
      <c r="B3661" s="1" t="n">
        <v>44980.68075231482</v>
      </c>
      <c r="C3661" s="1" t="n">
        <v>45971</v>
      </c>
      <c r="D3661" t="inlineStr">
        <is>
          <t>VÄSTERBOTTENS LÄN</t>
        </is>
      </c>
      <c r="E3661" t="inlineStr">
        <is>
          <t>ROBERTSFORS</t>
        </is>
      </c>
      <c r="F3661" t="inlineStr">
        <is>
          <t>Holmen skog AB</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35301-2024</t>
        </is>
      </c>
      <c r="B3662" s="1" t="n">
        <v>45530</v>
      </c>
      <c r="C3662" s="1" t="n">
        <v>45971</v>
      </c>
      <c r="D3662" t="inlineStr">
        <is>
          <t>VÄSTERBOTTENS LÄN</t>
        </is>
      </c>
      <c r="E3662" t="inlineStr">
        <is>
          <t>VINDELN</t>
        </is>
      </c>
      <c r="F3662" t="inlineStr">
        <is>
          <t>Holmen skog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45703-2021</t>
        </is>
      </c>
      <c r="B3663" s="1" t="n">
        <v>44441</v>
      </c>
      <c r="C3663" s="1" t="n">
        <v>45971</v>
      </c>
      <c r="D3663" t="inlineStr">
        <is>
          <t>VÄSTERBOTTENS LÄN</t>
        </is>
      </c>
      <c r="E3663" t="inlineStr">
        <is>
          <t>VINDELN</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22004-2024</t>
        </is>
      </c>
      <c r="B3664" s="1" t="n">
        <v>45443</v>
      </c>
      <c r="C3664" s="1" t="n">
        <v>45971</v>
      </c>
      <c r="D3664" t="inlineStr">
        <is>
          <t>VÄSTERBOTTENS LÄN</t>
        </is>
      </c>
      <c r="E3664" t="inlineStr">
        <is>
          <t>NORDMALING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22044-2024</t>
        </is>
      </c>
      <c r="B3665" s="1" t="n">
        <v>45443</v>
      </c>
      <c r="C3665" s="1" t="n">
        <v>45971</v>
      </c>
      <c r="D3665" t="inlineStr">
        <is>
          <t>VÄSTERBOTTENS LÄN</t>
        </is>
      </c>
      <c r="E3665" t="inlineStr">
        <is>
          <t>SKELLEFTEÅ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40781-2023</t>
        </is>
      </c>
      <c r="B3666" s="1" t="n">
        <v>45170.95747685185</v>
      </c>
      <c r="C3666" s="1" t="n">
        <v>45971</v>
      </c>
      <c r="D3666" t="inlineStr">
        <is>
          <t>VÄSTERBOTTENS LÄN</t>
        </is>
      </c>
      <c r="E3666" t="inlineStr">
        <is>
          <t>VILHELMINA</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22109-2024</t>
        </is>
      </c>
      <c r="B3667" s="1" t="n">
        <v>45443</v>
      </c>
      <c r="C3667" s="1" t="n">
        <v>45971</v>
      </c>
      <c r="D3667" t="inlineStr">
        <is>
          <t>VÄSTERBOTTENS LÄN</t>
        </is>
      </c>
      <c r="E3667" t="inlineStr">
        <is>
          <t>VILHELMINA</t>
        </is>
      </c>
      <c r="F3667" t="inlineStr">
        <is>
          <t>SCA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25074-2024</t>
        </is>
      </c>
      <c r="B3668" s="1" t="n">
        <v>45462.37814814815</v>
      </c>
      <c r="C3668" s="1" t="n">
        <v>45971</v>
      </c>
      <c r="D3668" t="inlineStr">
        <is>
          <t>VÄSTERBOTTENS LÄN</t>
        </is>
      </c>
      <c r="E3668" t="inlineStr">
        <is>
          <t>NORSJÖ</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12784-2023</t>
        </is>
      </c>
      <c r="B3669" s="1" t="n">
        <v>45000</v>
      </c>
      <c r="C3669" s="1" t="n">
        <v>45971</v>
      </c>
      <c r="D3669" t="inlineStr">
        <is>
          <t>VÄSTERBOTTENS LÄN</t>
        </is>
      </c>
      <c r="E3669" t="inlineStr">
        <is>
          <t>VILHELMINA</t>
        </is>
      </c>
      <c r="G3669" t="n">
        <v>18.6</v>
      </c>
      <c r="H3669" t="n">
        <v>0</v>
      </c>
      <c r="I3669" t="n">
        <v>0</v>
      </c>
      <c r="J3669" t="n">
        <v>0</v>
      </c>
      <c r="K3669" t="n">
        <v>0</v>
      </c>
      <c r="L3669" t="n">
        <v>0</v>
      </c>
      <c r="M3669" t="n">
        <v>0</v>
      </c>
      <c r="N3669" t="n">
        <v>0</v>
      </c>
      <c r="O3669" t="n">
        <v>0</v>
      </c>
      <c r="P3669" t="n">
        <v>0</v>
      </c>
      <c r="Q3669" t="n">
        <v>0</v>
      </c>
      <c r="R3669" s="2" t="inlineStr"/>
    </row>
    <row r="3670" ht="15" customHeight="1">
      <c r="A3670" t="inlineStr">
        <is>
          <t>A 12789-2023</t>
        </is>
      </c>
      <c r="B3670" s="1" t="n">
        <v>45000</v>
      </c>
      <c r="C3670" s="1" t="n">
        <v>45971</v>
      </c>
      <c r="D3670" t="inlineStr">
        <is>
          <t>VÄSTERBOTTENS LÄN</t>
        </is>
      </c>
      <c r="E3670" t="inlineStr">
        <is>
          <t>MALÅ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35881-2024</t>
        </is>
      </c>
      <c r="B3671" s="1" t="n">
        <v>45533.35347222222</v>
      </c>
      <c r="C3671" s="1" t="n">
        <v>45971</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30216-2023</t>
        </is>
      </c>
      <c r="B3672" s="1" t="n">
        <v>45110.63961805555</v>
      </c>
      <c r="C3672" s="1" t="n">
        <v>45971</v>
      </c>
      <c r="D3672" t="inlineStr">
        <is>
          <t>VÄSTERBOTTENS LÄN</t>
        </is>
      </c>
      <c r="E3672" t="inlineStr">
        <is>
          <t>UMEÅ</t>
        </is>
      </c>
      <c r="F3672" t="inlineStr">
        <is>
          <t>Holmen skog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35882-2024</t>
        </is>
      </c>
      <c r="B3673" s="1" t="n">
        <v>45533.35350694445</v>
      </c>
      <c r="C3673" s="1" t="n">
        <v>45971</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65011-2023</t>
        </is>
      </c>
      <c r="B3674" s="1" t="n">
        <v>45287.38302083333</v>
      </c>
      <c r="C3674" s="1" t="n">
        <v>45971</v>
      </c>
      <c r="D3674" t="inlineStr">
        <is>
          <t>VÄSTERBOTTENS LÄN</t>
        </is>
      </c>
      <c r="E3674" t="inlineStr">
        <is>
          <t>SKELLEFTEÅ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34578-2024</t>
        </is>
      </c>
      <c r="B3675" s="1" t="n">
        <v>45526.36461805556</v>
      </c>
      <c r="C3675" s="1" t="n">
        <v>45971</v>
      </c>
      <c r="D3675" t="inlineStr">
        <is>
          <t>VÄSTERBOTTENS LÄN</t>
        </is>
      </c>
      <c r="E3675" t="inlineStr">
        <is>
          <t>ÅSELE</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34580-2024</t>
        </is>
      </c>
      <c r="B3676" s="1" t="n">
        <v>45526</v>
      </c>
      <c r="C3676" s="1" t="n">
        <v>45971</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2894-2025</t>
        </is>
      </c>
      <c r="B3677" s="1" t="n">
        <v>45677</v>
      </c>
      <c r="C3677" s="1" t="n">
        <v>45971</v>
      </c>
      <c r="D3677" t="inlineStr">
        <is>
          <t>VÄSTERBOTTENS LÄN</t>
        </is>
      </c>
      <c r="E3677" t="inlineStr">
        <is>
          <t>ÅSELE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51239-2022</t>
        </is>
      </c>
      <c r="B3678" s="1" t="n">
        <v>44866</v>
      </c>
      <c r="C3678" s="1" t="n">
        <v>45971</v>
      </c>
      <c r="D3678" t="inlineStr">
        <is>
          <t>VÄSTERBOTTENS LÄN</t>
        </is>
      </c>
      <c r="E3678" t="inlineStr">
        <is>
          <t>BJURHOLM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54841-2023</t>
        </is>
      </c>
      <c r="B3679" s="1" t="n">
        <v>45236</v>
      </c>
      <c r="C3679" s="1" t="n">
        <v>45971</v>
      </c>
      <c r="D3679" t="inlineStr">
        <is>
          <t>VÄSTERBOTTENS LÄN</t>
        </is>
      </c>
      <c r="E3679" t="inlineStr">
        <is>
          <t>MALÅ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34480-2024</t>
        </is>
      </c>
      <c r="B3680" s="1" t="n">
        <v>45525.60537037037</v>
      </c>
      <c r="C3680" s="1" t="n">
        <v>45971</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17783-2023</t>
        </is>
      </c>
      <c r="B3681" s="1" t="n">
        <v>45036</v>
      </c>
      <c r="C3681" s="1" t="n">
        <v>45971</v>
      </c>
      <c r="D3681" t="inlineStr">
        <is>
          <t>VÄSTERBOTTENS LÄN</t>
        </is>
      </c>
      <c r="E3681" t="inlineStr">
        <is>
          <t>DOROTEA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38026-2024</t>
        </is>
      </c>
      <c r="B3682" s="1" t="n">
        <v>45544</v>
      </c>
      <c r="C3682" s="1" t="n">
        <v>45971</v>
      </c>
      <c r="D3682" t="inlineStr">
        <is>
          <t>VÄSTERBOTTENS LÄN</t>
        </is>
      </c>
      <c r="E3682" t="inlineStr">
        <is>
          <t>ROBERTSFORS</t>
        </is>
      </c>
      <c r="F3682" t="inlineStr">
        <is>
          <t>SCA</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18649-2025</t>
        </is>
      </c>
      <c r="B3683" s="1" t="n">
        <v>45763.57402777778</v>
      </c>
      <c r="C3683" s="1" t="n">
        <v>45971</v>
      </c>
      <c r="D3683" t="inlineStr">
        <is>
          <t>VÄSTERBOTTENS LÄN</t>
        </is>
      </c>
      <c r="E3683" t="inlineStr">
        <is>
          <t>NORDMALING</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54539-2023</t>
        </is>
      </c>
      <c r="B3684" s="1" t="n">
        <v>45226</v>
      </c>
      <c r="C3684" s="1" t="n">
        <v>45971</v>
      </c>
      <c r="D3684" t="inlineStr">
        <is>
          <t>VÄSTERBOTTENS LÄN</t>
        </is>
      </c>
      <c r="E3684" t="inlineStr">
        <is>
          <t>LYCKSELE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5083-2025</t>
        </is>
      </c>
      <c r="B3685" s="1" t="n">
        <v>45691</v>
      </c>
      <c r="C3685" s="1" t="n">
        <v>45971</v>
      </c>
      <c r="D3685" t="inlineStr">
        <is>
          <t>VÄSTERBOTTENS LÄN</t>
        </is>
      </c>
      <c r="E3685" t="inlineStr">
        <is>
          <t>NORDMALING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44319-2023</t>
        </is>
      </c>
      <c r="B3686" s="1" t="n">
        <v>45183</v>
      </c>
      <c r="C3686" s="1" t="n">
        <v>45971</v>
      </c>
      <c r="D3686" t="inlineStr">
        <is>
          <t>VÄSTERBOTTENS LÄN</t>
        </is>
      </c>
      <c r="E3686" t="inlineStr">
        <is>
          <t>VÄNNÄS</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22946-2024</t>
        </is>
      </c>
      <c r="B3687" s="1" t="n">
        <v>45448.94579861111</v>
      </c>
      <c r="C3687" s="1" t="n">
        <v>45971</v>
      </c>
      <c r="D3687" t="inlineStr">
        <is>
          <t>VÄSTERBOTTENS LÄN</t>
        </is>
      </c>
      <c r="E3687" t="inlineStr">
        <is>
          <t>DOROTEA</t>
        </is>
      </c>
      <c r="F3687" t="inlineStr">
        <is>
          <t>SCA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52280-2023</t>
        </is>
      </c>
      <c r="B3688" s="1" t="n">
        <v>45224.57511574074</v>
      </c>
      <c r="C3688" s="1" t="n">
        <v>45971</v>
      </c>
      <c r="D3688" t="inlineStr">
        <is>
          <t>VÄSTERBOTTENS LÄN</t>
        </is>
      </c>
      <c r="E3688" t="inlineStr">
        <is>
          <t>ÅSELE</t>
        </is>
      </c>
      <c r="F3688" t="inlineStr">
        <is>
          <t>Holmen skog AB</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60117-2022</t>
        </is>
      </c>
      <c r="B3689" s="1" t="n">
        <v>44909</v>
      </c>
      <c r="C3689" s="1" t="n">
        <v>45971</v>
      </c>
      <c r="D3689" t="inlineStr">
        <is>
          <t>VÄSTERBOTTENS LÄN</t>
        </is>
      </c>
      <c r="E3689" t="inlineStr">
        <is>
          <t>LYCKSELE</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60122-2022</t>
        </is>
      </c>
      <c r="B3690" s="1" t="n">
        <v>44909</v>
      </c>
      <c r="C3690" s="1" t="n">
        <v>45971</v>
      </c>
      <c r="D3690" t="inlineStr">
        <is>
          <t>VÄSTERBOTTENS LÄN</t>
        </is>
      </c>
      <c r="E3690" t="inlineStr">
        <is>
          <t>LYCKSELE</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23563-2024</t>
        </is>
      </c>
      <c r="B3691" s="1" t="n">
        <v>45453</v>
      </c>
      <c r="C3691" s="1" t="n">
        <v>45971</v>
      </c>
      <c r="D3691" t="inlineStr">
        <is>
          <t>VÄSTERBOTTENS LÄN</t>
        </is>
      </c>
      <c r="E3691" t="inlineStr">
        <is>
          <t>VINDELN</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23565-2024</t>
        </is>
      </c>
      <c r="B3692" s="1" t="n">
        <v>45453.95523148148</v>
      </c>
      <c r="C3692" s="1" t="n">
        <v>45971</v>
      </c>
      <c r="D3692" t="inlineStr">
        <is>
          <t>VÄSTERBOTTENS LÄN</t>
        </is>
      </c>
      <c r="E3692" t="inlineStr">
        <is>
          <t>NORDMALING</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15910-2025</t>
        </is>
      </c>
      <c r="B3693" s="1" t="n">
        <v>45749.44096064815</v>
      </c>
      <c r="C3693" s="1" t="n">
        <v>45971</v>
      </c>
      <c r="D3693" t="inlineStr">
        <is>
          <t>VÄSTERBOTTENS LÄN</t>
        </is>
      </c>
      <c r="E3693" t="inlineStr">
        <is>
          <t>BJURHOLM</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37948-2023</t>
        </is>
      </c>
      <c r="B3694" s="1" t="n">
        <v>45159</v>
      </c>
      <c r="C3694" s="1" t="n">
        <v>45971</v>
      </c>
      <c r="D3694" t="inlineStr">
        <is>
          <t>VÄSTERBOTTENS LÄN</t>
        </is>
      </c>
      <c r="E3694" t="inlineStr">
        <is>
          <t>VINDELN</t>
        </is>
      </c>
      <c r="G3694" t="n">
        <v>1</v>
      </c>
      <c r="H3694" t="n">
        <v>0</v>
      </c>
      <c r="I3694" t="n">
        <v>0</v>
      </c>
      <c r="J3694" t="n">
        <v>0</v>
      </c>
      <c r="K3694" t="n">
        <v>0</v>
      </c>
      <c r="L3694" t="n">
        <v>0</v>
      </c>
      <c r="M3694" t="n">
        <v>0</v>
      </c>
      <c r="N3694" t="n">
        <v>0</v>
      </c>
      <c r="O3694" t="n">
        <v>0</v>
      </c>
      <c r="P3694" t="n">
        <v>0</v>
      </c>
      <c r="Q3694" t="n">
        <v>0</v>
      </c>
      <c r="R3694" s="2" t="inlineStr"/>
      <c r="U3694">
        <f>HYPERLINK("https://klasma.github.io/Logging_2404/knärot/A 37948-2023 karta knärot.png", "A 37948-2023")</f>
        <v/>
      </c>
      <c r="V3694">
        <f>HYPERLINK("https://klasma.github.io/Logging_2404/klagomål/A 37948-2023 FSC-klagomål.docx", "A 37948-2023")</f>
        <v/>
      </c>
      <c r="W3694">
        <f>HYPERLINK("https://klasma.github.io/Logging_2404/klagomålsmail/A 37948-2023 FSC-klagomål mail.docx", "A 37948-2023")</f>
        <v/>
      </c>
      <c r="X3694">
        <f>HYPERLINK("https://klasma.github.io/Logging_2404/tillsyn/A 37948-2023 tillsynsbegäran.docx", "A 37948-2023")</f>
        <v/>
      </c>
      <c r="Y3694">
        <f>HYPERLINK("https://klasma.github.io/Logging_2404/tillsynsmail/A 37948-2023 tillsynsbegäran mail.docx", "A 37948-2023")</f>
        <v/>
      </c>
    </row>
    <row r="3695" ht="15" customHeight="1">
      <c r="A3695" t="inlineStr">
        <is>
          <t>A 37960-2023</t>
        </is>
      </c>
      <c r="B3695" s="1" t="n">
        <v>45160</v>
      </c>
      <c r="C3695" s="1" t="n">
        <v>45971</v>
      </c>
      <c r="D3695" t="inlineStr">
        <is>
          <t>VÄSTERBOTTENS LÄN</t>
        </is>
      </c>
      <c r="E3695" t="inlineStr">
        <is>
          <t>MALÅ</t>
        </is>
      </c>
      <c r="F3695" t="inlineStr">
        <is>
          <t>Sveaskog</t>
        </is>
      </c>
      <c r="G3695" t="n">
        <v>21.8</v>
      </c>
      <c r="H3695" t="n">
        <v>0</v>
      </c>
      <c r="I3695" t="n">
        <v>0</v>
      </c>
      <c r="J3695" t="n">
        <v>0</v>
      </c>
      <c r="K3695" t="n">
        <v>0</v>
      </c>
      <c r="L3695" t="n">
        <v>0</v>
      </c>
      <c r="M3695" t="n">
        <v>0</v>
      </c>
      <c r="N3695" t="n">
        <v>0</v>
      </c>
      <c r="O3695" t="n">
        <v>0</v>
      </c>
      <c r="P3695" t="n">
        <v>0</v>
      </c>
      <c r="Q3695" t="n">
        <v>0</v>
      </c>
      <c r="R3695" s="2" t="inlineStr"/>
    </row>
    <row r="3696" ht="15" customHeight="1">
      <c r="A3696" t="inlineStr">
        <is>
          <t>A 33283-2021</t>
        </is>
      </c>
      <c r="B3696" s="1" t="n">
        <v>44377.38222222222</v>
      </c>
      <c r="C3696" s="1" t="n">
        <v>45971</v>
      </c>
      <c r="D3696" t="inlineStr">
        <is>
          <t>VÄSTERBOTTENS LÄN</t>
        </is>
      </c>
      <c r="E3696" t="inlineStr">
        <is>
          <t>SKELLEFTEÅ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31699-2024</t>
        </is>
      </c>
      <c r="B3697" s="1" t="n">
        <v>45508.61318287037</v>
      </c>
      <c r="C3697" s="1" t="n">
        <v>45971</v>
      </c>
      <c r="D3697" t="inlineStr">
        <is>
          <t>VÄSTERBOTTENS LÄN</t>
        </is>
      </c>
      <c r="E3697" t="inlineStr">
        <is>
          <t>VÄNNÄS</t>
        </is>
      </c>
      <c r="F3697" t="inlineStr">
        <is>
          <t>Holmen skog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30986-2024</t>
        </is>
      </c>
      <c r="B3698" s="1" t="n">
        <v>45499.52881944444</v>
      </c>
      <c r="C3698" s="1" t="n">
        <v>45971</v>
      </c>
      <c r="D3698" t="inlineStr">
        <is>
          <t>VÄSTERBOTTENS LÄN</t>
        </is>
      </c>
      <c r="E3698" t="inlineStr">
        <is>
          <t>SKELLEFTEÅ</t>
        </is>
      </c>
      <c r="F3698" t="inlineStr">
        <is>
          <t>Sveaskog</t>
        </is>
      </c>
      <c r="G3698" t="n">
        <v>13.9</v>
      </c>
      <c r="H3698" t="n">
        <v>0</v>
      </c>
      <c r="I3698" t="n">
        <v>0</v>
      </c>
      <c r="J3698" t="n">
        <v>0</v>
      </c>
      <c r="K3698" t="n">
        <v>0</v>
      </c>
      <c r="L3698" t="n">
        <v>0</v>
      </c>
      <c r="M3698" t="n">
        <v>0</v>
      </c>
      <c r="N3698" t="n">
        <v>0</v>
      </c>
      <c r="O3698" t="n">
        <v>0</v>
      </c>
      <c r="P3698" t="n">
        <v>0</v>
      </c>
      <c r="Q3698" t="n">
        <v>0</v>
      </c>
      <c r="R3698" s="2" t="inlineStr"/>
    </row>
    <row r="3699" ht="15" customHeight="1">
      <c r="A3699" t="inlineStr">
        <is>
          <t>A 30786-2023</t>
        </is>
      </c>
      <c r="B3699" s="1" t="n">
        <v>45112</v>
      </c>
      <c r="C3699" s="1" t="n">
        <v>45971</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3584-2025</t>
        </is>
      </c>
      <c r="B3700" s="1" t="n">
        <v>45680.78527777778</v>
      </c>
      <c r="C3700" s="1" t="n">
        <v>45971</v>
      </c>
      <c r="D3700" t="inlineStr">
        <is>
          <t>VÄSTERBOTTENS LÄN</t>
        </is>
      </c>
      <c r="E3700" t="inlineStr">
        <is>
          <t>VÄNNÄS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56995-2022</t>
        </is>
      </c>
      <c r="B3701" s="1" t="n">
        <v>44894</v>
      </c>
      <c r="C3701" s="1" t="n">
        <v>45971</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5947-2023</t>
        </is>
      </c>
      <c r="B3702" s="1" t="n">
        <v>44963.92259259259</v>
      </c>
      <c r="C3702" s="1" t="n">
        <v>45971</v>
      </c>
      <c r="D3702" t="inlineStr">
        <is>
          <t>VÄSTERBOTTENS LÄN</t>
        </is>
      </c>
      <c r="E3702" t="inlineStr">
        <is>
          <t>VILHELMINA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56965-2024</t>
        </is>
      </c>
      <c r="B3703" s="1" t="n">
        <v>45628.65949074074</v>
      </c>
      <c r="C3703" s="1" t="n">
        <v>45971</v>
      </c>
      <c r="D3703" t="inlineStr">
        <is>
          <t>VÄSTERBOTTENS LÄN</t>
        </is>
      </c>
      <c r="E3703" t="inlineStr">
        <is>
          <t>SKELLEFTEÅ</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23751-2024</t>
        </is>
      </c>
      <c r="B3704" s="1" t="n">
        <v>45455</v>
      </c>
      <c r="C3704" s="1" t="n">
        <v>45971</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62605-2023</t>
        </is>
      </c>
      <c r="B3705" s="1" t="n">
        <v>45267</v>
      </c>
      <c r="C3705" s="1" t="n">
        <v>45971</v>
      </c>
      <c r="D3705" t="inlineStr">
        <is>
          <t>VÄSTERBOTTENS LÄN</t>
        </is>
      </c>
      <c r="E3705" t="inlineStr">
        <is>
          <t>VINDELN</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46359-2023</t>
        </is>
      </c>
      <c r="B3706" s="1" t="n">
        <v>45193</v>
      </c>
      <c r="C3706" s="1" t="n">
        <v>45971</v>
      </c>
      <c r="D3706" t="inlineStr">
        <is>
          <t>VÄSTERBOTTENS LÄN</t>
        </is>
      </c>
      <c r="E3706" t="inlineStr">
        <is>
          <t>MALÅ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59653-2022</t>
        </is>
      </c>
      <c r="B3707" s="1" t="n">
        <v>44907</v>
      </c>
      <c r="C3707" s="1" t="n">
        <v>45971</v>
      </c>
      <c r="D3707" t="inlineStr">
        <is>
          <t>VÄSTERBOTTENS LÄN</t>
        </is>
      </c>
      <c r="E3707" t="inlineStr">
        <is>
          <t>LYCKSELE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61131-2022</t>
        </is>
      </c>
      <c r="B3708" s="1" t="n">
        <v>44915.44746527778</v>
      </c>
      <c r="C3708" s="1" t="n">
        <v>45971</v>
      </c>
      <c r="D3708" t="inlineStr">
        <is>
          <t>VÄSTERBOTTENS LÄN</t>
        </is>
      </c>
      <c r="E3708" t="inlineStr">
        <is>
          <t>LYCKSELE</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7873-2023</t>
        </is>
      </c>
      <c r="B3709" s="1" t="n">
        <v>44973</v>
      </c>
      <c r="C3709" s="1" t="n">
        <v>45971</v>
      </c>
      <c r="D3709" t="inlineStr">
        <is>
          <t>VÄSTERBOTTENS LÄN</t>
        </is>
      </c>
      <c r="E3709" t="inlineStr">
        <is>
          <t>ROBERTSFORS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22943-2024</t>
        </is>
      </c>
      <c r="B3710" s="1" t="n">
        <v>45448.94550925926</v>
      </c>
      <c r="C3710" s="1" t="n">
        <v>45971</v>
      </c>
      <c r="D3710" t="inlineStr">
        <is>
          <t>VÄSTERBOTTENS LÄN</t>
        </is>
      </c>
      <c r="E3710" t="inlineStr">
        <is>
          <t>DOROTEA</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22944-2024</t>
        </is>
      </c>
      <c r="B3711" s="1" t="n">
        <v>45448.94559027778</v>
      </c>
      <c r="C3711" s="1" t="n">
        <v>45971</v>
      </c>
      <c r="D3711" t="inlineStr">
        <is>
          <t>VÄSTERBOTTENS LÄN</t>
        </is>
      </c>
      <c r="E3711" t="inlineStr">
        <is>
          <t>DOROTEA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65179-2021</t>
        </is>
      </c>
      <c r="B3712" s="1" t="n">
        <v>44515</v>
      </c>
      <c r="C3712" s="1" t="n">
        <v>45971</v>
      </c>
      <c r="D3712" t="inlineStr">
        <is>
          <t>VÄSTERBOTTENS LÄN</t>
        </is>
      </c>
      <c r="E3712" t="inlineStr">
        <is>
          <t>VILHELMINA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15807-2025</t>
        </is>
      </c>
      <c r="B3713" s="1" t="n">
        <v>45748.65944444444</v>
      </c>
      <c r="C3713" s="1" t="n">
        <v>45971</v>
      </c>
      <c r="D3713" t="inlineStr">
        <is>
          <t>VÄSTERBOTTENS LÄN</t>
        </is>
      </c>
      <c r="E3713" t="inlineStr">
        <is>
          <t>NORSJÖ</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25670-2024</t>
        </is>
      </c>
      <c r="B3714" s="1" t="n">
        <v>45463</v>
      </c>
      <c r="C3714" s="1" t="n">
        <v>45971</v>
      </c>
      <c r="D3714" t="inlineStr">
        <is>
          <t>VÄSTERBOTTENS LÄN</t>
        </is>
      </c>
      <c r="E3714" t="inlineStr">
        <is>
          <t>VINDELN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27038-2025</t>
        </is>
      </c>
      <c r="B3715" s="1" t="n">
        <v>45811.60011574074</v>
      </c>
      <c r="C3715" s="1" t="n">
        <v>45971</v>
      </c>
      <c r="D3715" t="inlineStr">
        <is>
          <t>VÄSTERBOTTENS LÄN</t>
        </is>
      </c>
      <c r="E3715" t="inlineStr">
        <is>
          <t>VINDELN</t>
        </is>
      </c>
      <c r="F3715" t="inlineStr">
        <is>
          <t>Sveaskog</t>
        </is>
      </c>
      <c r="G3715" t="n">
        <v>16.8</v>
      </c>
      <c r="H3715" t="n">
        <v>0</v>
      </c>
      <c r="I3715" t="n">
        <v>0</v>
      </c>
      <c r="J3715" t="n">
        <v>0</v>
      </c>
      <c r="K3715" t="n">
        <v>0</v>
      </c>
      <c r="L3715" t="n">
        <v>0</v>
      </c>
      <c r="M3715" t="n">
        <v>0</v>
      </c>
      <c r="N3715" t="n">
        <v>0</v>
      </c>
      <c r="O3715" t="n">
        <v>0</v>
      </c>
      <c r="P3715" t="n">
        <v>0</v>
      </c>
      <c r="Q3715" t="n">
        <v>0</v>
      </c>
      <c r="R3715" s="2" t="inlineStr"/>
    </row>
    <row r="3716" ht="15" customHeight="1">
      <c r="A3716" t="inlineStr">
        <is>
          <t>A 25634-2023</t>
        </is>
      </c>
      <c r="B3716" s="1" t="n">
        <v>45084</v>
      </c>
      <c r="C3716" s="1" t="n">
        <v>45971</v>
      </c>
      <c r="D3716" t="inlineStr">
        <is>
          <t>VÄSTERBOTTENS LÄN</t>
        </is>
      </c>
      <c r="E3716" t="inlineStr">
        <is>
          <t>SKELLEFTEÅ</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59531-2024</t>
        </is>
      </c>
      <c r="B3717" s="1" t="n">
        <v>45638.59567129629</v>
      </c>
      <c r="C3717" s="1" t="n">
        <v>45971</v>
      </c>
      <c r="D3717" t="inlineStr">
        <is>
          <t>VÄSTERBOTTENS LÄN</t>
        </is>
      </c>
      <c r="E3717" t="inlineStr">
        <is>
          <t>NORDMALING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19600-2025</t>
        </is>
      </c>
      <c r="B3718" s="1" t="n">
        <v>45770</v>
      </c>
      <c r="C3718" s="1" t="n">
        <v>45971</v>
      </c>
      <c r="D3718" t="inlineStr">
        <is>
          <t>VÄSTERBOTTENS LÄN</t>
        </is>
      </c>
      <c r="E3718" t="inlineStr">
        <is>
          <t>VILHELMINA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6224-2023</t>
        </is>
      </c>
      <c r="B3719" s="1" t="n">
        <v>44964.87626157407</v>
      </c>
      <c r="C3719" s="1" t="n">
        <v>45971</v>
      </c>
      <c r="D3719" t="inlineStr">
        <is>
          <t>VÄSTERBOTTENS LÄN</t>
        </is>
      </c>
      <c r="E3719" t="inlineStr">
        <is>
          <t>NORDMALING</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24136-2023</t>
        </is>
      </c>
      <c r="B3720" s="1" t="n">
        <v>45076</v>
      </c>
      <c r="C3720" s="1" t="n">
        <v>45971</v>
      </c>
      <c r="D3720" t="inlineStr">
        <is>
          <t>VÄSTERBOTTENS LÄN</t>
        </is>
      </c>
      <c r="E3720" t="inlineStr">
        <is>
          <t>ROBERTSFORS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41850-2023</t>
        </is>
      </c>
      <c r="B3721" s="1" t="n">
        <v>45176</v>
      </c>
      <c r="C3721" s="1" t="n">
        <v>45971</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61654-2022</t>
        </is>
      </c>
      <c r="B3722" s="1" t="n">
        <v>44916.9260300926</v>
      </c>
      <c r="C3722" s="1" t="n">
        <v>45971</v>
      </c>
      <c r="D3722" t="inlineStr">
        <is>
          <t>VÄSTERBOTTENS LÄN</t>
        </is>
      </c>
      <c r="E3722" t="inlineStr">
        <is>
          <t>BJURHOLM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3040-2022</t>
        </is>
      </c>
      <c r="B3723" s="1" t="n">
        <v>44581</v>
      </c>
      <c r="C3723" s="1" t="n">
        <v>45971</v>
      </c>
      <c r="D3723" t="inlineStr">
        <is>
          <t>VÄSTERBOTTENS LÄN</t>
        </is>
      </c>
      <c r="E3723" t="inlineStr">
        <is>
          <t>STORUMAN</t>
        </is>
      </c>
      <c r="G3723" t="n">
        <v>14.2</v>
      </c>
      <c r="H3723" t="n">
        <v>0</v>
      </c>
      <c r="I3723" t="n">
        <v>0</v>
      </c>
      <c r="J3723" t="n">
        <v>0</v>
      </c>
      <c r="K3723" t="n">
        <v>0</v>
      </c>
      <c r="L3723" t="n">
        <v>0</v>
      </c>
      <c r="M3723" t="n">
        <v>0</v>
      </c>
      <c r="N3723" t="n">
        <v>0</v>
      </c>
      <c r="O3723" t="n">
        <v>0</v>
      </c>
      <c r="P3723" t="n">
        <v>0</v>
      </c>
      <c r="Q3723" t="n">
        <v>0</v>
      </c>
      <c r="R3723" s="2" t="inlineStr"/>
    </row>
    <row r="3724" ht="15" customHeight="1">
      <c r="A3724" t="inlineStr">
        <is>
          <t>A 38776-2023</t>
        </is>
      </c>
      <c r="B3724" s="1" t="n">
        <v>45163</v>
      </c>
      <c r="C3724" s="1" t="n">
        <v>45971</v>
      </c>
      <c r="D3724" t="inlineStr">
        <is>
          <t>VÄSTERBOTTENS LÄN</t>
        </is>
      </c>
      <c r="E3724" t="inlineStr">
        <is>
          <t>NORSJÖ</t>
        </is>
      </c>
      <c r="F3724" t="inlineStr">
        <is>
          <t>Sveaskog</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34550-2023</t>
        </is>
      </c>
      <c r="B3725" s="1" t="n">
        <v>45140.49451388889</v>
      </c>
      <c r="C3725" s="1" t="n">
        <v>45971</v>
      </c>
      <c r="D3725" t="inlineStr">
        <is>
          <t>VÄSTERBOTTENS LÄN</t>
        </is>
      </c>
      <c r="E3725" t="inlineStr">
        <is>
          <t>UMEÅ</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3046-2022</t>
        </is>
      </c>
      <c r="B3726" s="1" t="n">
        <v>44581</v>
      </c>
      <c r="C3726" s="1" t="n">
        <v>45971</v>
      </c>
      <c r="D3726" t="inlineStr">
        <is>
          <t>VÄSTERBOTTENS LÄN</t>
        </is>
      </c>
      <c r="E3726" t="inlineStr">
        <is>
          <t>STORUMAN</t>
        </is>
      </c>
      <c r="G3726" t="n">
        <v>23.9</v>
      </c>
      <c r="H3726" t="n">
        <v>0</v>
      </c>
      <c r="I3726" t="n">
        <v>0</v>
      </c>
      <c r="J3726" t="n">
        <v>0</v>
      </c>
      <c r="K3726" t="n">
        <v>0</v>
      </c>
      <c r="L3726" t="n">
        <v>0</v>
      </c>
      <c r="M3726" t="n">
        <v>0</v>
      </c>
      <c r="N3726" t="n">
        <v>0</v>
      </c>
      <c r="O3726" t="n">
        <v>0</v>
      </c>
      <c r="P3726" t="n">
        <v>0</v>
      </c>
      <c r="Q3726" t="n">
        <v>0</v>
      </c>
      <c r="R3726" s="2" t="inlineStr"/>
    </row>
    <row r="3727" ht="15" customHeight="1">
      <c r="A3727" t="inlineStr">
        <is>
          <t>A 34567-2023</t>
        </is>
      </c>
      <c r="B3727" s="1" t="n">
        <v>45140</v>
      </c>
      <c r="C3727" s="1" t="n">
        <v>45971</v>
      </c>
      <c r="D3727" t="inlineStr">
        <is>
          <t>VÄSTERBOTTENS LÄN</t>
        </is>
      </c>
      <c r="E3727" t="inlineStr">
        <is>
          <t>LYCKSELE</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706-2023</t>
        </is>
      </c>
      <c r="B3728" s="1" t="n">
        <v>44930</v>
      </c>
      <c r="C3728" s="1" t="n">
        <v>45971</v>
      </c>
      <c r="D3728" t="inlineStr">
        <is>
          <t>VÄSTERBOTTENS LÄN</t>
        </is>
      </c>
      <c r="E3728" t="inlineStr">
        <is>
          <t>SKELLEFTEÅ</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31395-2021</t>
        </is>
      </c>
      <c r="B3729" s="1" t="n">
        <v>44369.31599537037</v>
      </c>
      <c r="C3729" s="1" t="n">
        <v>45971</v>
      </c>
      <c r="D3729" t="inlineStr">
        <is>
          <t>VÄSTERBOTTENS LÄN</t>
        </is>
      </c>
      <c r="E3729" t="inlineStr">
        <is>
          <t>SKELLEFTEÅ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44244-2024</t>
        </is>
      </c>
      <c r="B3730" s="1" t="n">
        <v>45573.42783564814</v>
      </c>
      <c r="C3730" s="1" t="n">
        <v>45971</v>
      </c>
      <c r="D3730" t="inlineStr">
        <is>
          <t>VÄSTERBOTTENS LÄN</t>
        </is>
      </c>
      <c r="E3730" t="inlineStr">
        <is>
          <t>UMEÅ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3240-2022</t>
        </is>
      </c>
      <c r="B3731" s="1" t="n">
        <v>44582.93300925926</v>
      </c>
      <c r="C3731" s="1" t="n">
        <v>45971</v>
      </c>
      <c r="D3731" t="inlineStr">
        <is>
          <t>VÄSTERBOTTENS LÄN</t>
        </is>
      </c>
      <c r="E3731" t="inlineStr">
        <is>
          <t>DOROTEA</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48751-2023</t>
        </is>
      </c>
      <c r="B3732" s="1" t="n">
        <v>45208.89429398148</v>
      </c>
      <c r="C3732" s="1" t="n">
        <v>45971</v>
      </c>
      <c r="D3732" t="inlineStr">
        <is>
          <t>VÄSTERBOTTENS LÄN</t>
        </is>
      </c>
      <c r="E3732" t="inlineStr">
        <is>
          <t>UMEÅ</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72289-2021</t>
        </is>
      </c>
      <c r="B3733" s="1" t="n">
        <v>44543</v>
      </c>
      <c r="C3733" s="1" t="n">
        <v>45971</v>
      </c>
      <c r="D3733" t="inlineStr">
        <is>
          <t>VÄSTERBOTTENS LÄN</t>
        </is>
      </c>
      <c r="E3733" t="inlineStr">
        <is>
          <t>STORUMAN</t>
        </is>
      </c>
      <c r="G3733" t="n">
        <v>19.7</v>
      </c>
      <c r="H3733" t="n">
        <v>0</v>
      </c>
      <c r="I3733" t="n">
        <v>0</v>
      </c>
      <c r="J3733" t="n">
        <v>0</v>
      </c>
      <c r="K3733" t="n">
        <v>0</v>
      </c>
      <c r="L3733" t="n">
        <v>0</v>
      </c>
      <c r="M3733" t="n">
        <v>0</v>
      </c>
      <c r="N3733" t="n">
        <v>0</v>
      </c>
      <c r="O3733" t="n">
        <v>0</v>
      </c>
      <c r="P3733" t="n">
        <v>0</v>
      </c>
      <c r="Q3733" t="n">
        <v>0</v>
      </c>
      <c r="R3733" s="2" t="inlineStr"/>
    </row>
    <row r="3734" ht="15" customHeight="1">
      <c r="A3734" t="inlineStr">
        <is>
          <t>A 38696-2023</t>
        </is>
      </c>
      <c r="B3734" s="1" t="n">
        <v>45162.94581018519</v>
      </c>
      <c r="C3734" s="1" t="n">
        <v>45971</v>
      </c>
      <c r="D3734" t="inlineStr">
        <is>
          <t>VÄSTERBOTTENS LÄN</t>
        </is>
      </c>
      <c r="E3734" t="inlineStr">
        <is>
          <t>VINDELN</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36900-2023</t>
        </is>
      </c>
      <c r="B3735" s="1" t="n">
        <v>45154.64055555555</v>
      </c>
      <c r="C3735" s="1" t="n">
        <v>45971</v>
      </c>
      <c r="D3735" t="inlineStr">
        <is>
          <t>VÄSTERBOTTENS LÄN</t>
        </is>
      </c>
      <c r="E3735" t="inlineStr">
        <is>
          <t>LYCKSELE</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36910-2023</t>
        </is>
      </c>
      <c r="B3736" s="1" t="n">
        <v>45154</v>
      </c>
      <c r="C3736" s="1" t="n">
        <v>45971</v>
      </c>
      <c r="D3736" t="inlineStr">
        <is>
          <t>VÄSTERBOTTENS LÄN</t>
        </is>
      </c>
      <c r="E3736" t="inlineStr">
        <is>
          <t>VINDELN</t>
        </is>
      </c>
      <c r="F3736" t="inlineStr">
        <is>
          <t>Naturvårdsverket</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37599-2024</t>
        </is>
      </c>
      <c r="B3737" s="1" t="n">
        <v>45541</v>
      </c>
      <c r="C3737" s="1" t="n">
        <v>45971</v>
      </c>
      <c r="D3737" t="inlineStr">
        <is>
          <t>VÄSTERBOTTENS LÄN</t>
        </is>
      </c>
      <c r="E3737" t="inlineStr">
        <is>
          <t>LYCKSELE</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51308-2023</t>
        </is>
      </c>
      <c r="B3738" s="1" t="n">
        <v>45212</v>
      </c>
      <c r="C3738" s="1" t="n">
        <v>45971</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38777-2023</t>
        </is>
      </c>
      <c r="B3739" s="1" t="n">
        <v>45163</v>
      </c>
      <c r="C3739" s="1" t="n">
        <v>45971</v>
      </c>
      <c r="D3739" t="inlineStr">
        <is>
          <t>VÄSTERBOTTENS LÄN</t>
        </is>
      </c>
      <c r="E3739" t="inlineStr">
        <is>
          <t>ROBERTSFORS</t>
        </is>
      </c>
      <c r="F3739" t="inlineStr">
        <is>
          <t>Holmen skog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11994-2025</t>
        </is>
      </c>
      <c r="B3740" s="1" t="n">
        <v>45728</v>
      </c>
      <c r="C3740" s="1" t="n">
        <v>45971</v>
      </c>
      <c r="D3740" t="inlineStr">
        <is>
          <t>VÄSTERBOTTENS LÄN</t>
        </is>
      </c>
      <c r="E3740" t="inlineStr">
        <is>
          <t>SKELLEFTEÅ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34700-2023</t>
        </is>
      </c>
      <c r="B3741" s="1" t="n">
        <v>45140.96399305556</v>
      </c>
      <c r="C3741" s="1" t="n">
        <v>45971</v>
      </c>
      <c r="D3741" t="inlineStr">
        <is>
          <t>VÄSTERBOTTENS LÄN</t>
        </is>
      </c>
      <c r="E3741" t="inlineStr">
        <is>
          <t>DOROTEA</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34702-2023</t>
        </is>
      </c>
      <c r="B3742" s="1" t="n">
        <v>45140</v>
      </c>
      <c r="C3742" s="1" t="n">
        <v>45971</v>
      </c>
      <c r="D3742" t="inlineStr">
        <is>
          <t>VÄSTERBOTTENS LÄN</t>
        </is>
      </c>
      <c r="E3742" t="inlineStr">
        <is>
          <t>DOROTEA</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13487-2025</t>
        </is>
      </c>
      <c r="B3743" s="1" t="n">
        <v>45736.42761574074</v>
      </c>
      <c r="C3743" s="1" t="n">
        <v>45971</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34709-2023</t>
        </is>
      </c>
      <c r="B3744" s="1" t="n">
        <v>45141</v>
      </c>
      <c r="C3744" s="1" t="n">
        <v>45971</v>
      </c>
      <c r="D3744" t="inlineStr">
        <is>
          <t>VÄSTERBOTTENS LÄN</t>
        </is>
      </c>
      <c r="E3744" t="inlineStr">
        <is>
          <t>UMEÅ</t>
        </is>
      </c>
      <c r="F3744" t="inlineStr">
        <is>
          <t>Holmen skog AB</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36852-2023</t>
        </is>
      </c>
      <c r="B3745" s="1" t="n">
        <v>45154.54208333333</v>
      </c>
      <c r="C3745" s="1" t="n">
        <v>45971</v>
      </c>
      <c r="D3745" t="inlineStr">
        <is>
          <t>VÄSTERBOTTENS LÄN</t>
        </is>
      </c>
      <c r="E3745" t="inlineStr">
        <is>
          <t>ÅSELE</t>
        </is>
      </c>
      <c r="F3745" t="inlineStr">
        <is>
          <t>Holmen skog AB</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713-2025</t>
        </is>
      </c>
      <c r="B3746" s="1" t="n">
        <v>45664</v>
      </c>
      <c r="C3746" s="1" t="n">
        <v>45971</v>
      </c>
      <c r="D3746" t="inlineStr">
        <is>
          <t>VÄSTERBOTTENS LÄN</t>
        </is>
      </c>
      <c r="E3746" t="inlineStr">
        <is>
          <t>SKELLEFTEÅ</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34784-2023</t>
        </is>
      </c>
      <c r="B3747" s="1" t="n">
        <v>45141</v>
      </c>
      <c r="C3747" s="1" t="n">
        <v>45971</v>
      </c>
      <c r="D3747" t="inlineStr">
        <is>
          <t>VÄSTERBOTTENS LÄN</t>
        </is>
      </c>
      <c r="E3747" t="inlineStr">
        <is>
          <t>BJURHOLM</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35313-2023</t>
        </is>
      </c>
      <c r="B3748" s="1" t="n">
        <v>45146.38486111111</v>
      </c>
      <c r="C3748" s="1" t="n">
        <v>45971</v>
      </c>
      <c r="D3748" t="inlineStr">
        <is>
          <t>VÄSTERBOTTENS LÄN</t>
        </is>
      </c>
      <c r="E3748" t="inlineStr">
        <is>
          <t>ROBERTSFORS</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38616-2024</t>
        </is>
      </c>
      <c r="B3749" s="1" t="n">
        <v>45546.70543981482</v>
      </c>
      <c r="C3749" s="1" t="n">
        <v>45971</v>
      </c>
      <c r="D3749" t="inlineStr">
        <is>
          <t>VÄSTERBOTTENS LÄN</t>
        </is>
      </c>
      <c r="E3749" t="inlineStr">
        <is>
          <t>SKELLEFTEÅ</t>
        </is>
      </c>
      <c r="F3749" t="inlineStr">
        <is>
          <t>Holmen skog AB</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748-2025</t>
        </is>
      </c>
      <c r="B3750" s="1" t="n">
        <v>45665.43998842593</v>
      </c>
      <c r="C3750" s="1" t="n">
        <v>45971</v>
      </c>
      <c r="D3750" t="inlineStr">
        <is>
          <t>VÄSTERBOTTENS LÄN</t>
        </is>
      </c>
      <c r="E3750" t="inlineStr">
        <is>
          <t>VINDELN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42004-2022</t>
        </is>
      </c>
      <c r="B3751" s="1" t="n">
        <v>44827</v>
      </c>
      <c r="C3751" s="1" t="n">
        <v>45971</v>
      </c>
      <c r="D3751" t="inlineStr">
        <is>
          <t>VÄSTERBOTTENS LÄN</t>
        </is>
      </c>
      <c r="E3751" t="inlineStr">
        <is>
          <t>BJURHOLM</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62101-2024</t>
        </is>
      </c>
      <c r="B3752" s="1" t="n">
        <v>45656.51119212963</v>
      </c>
      <c r="C3752" s="1" t="n">
        <v>45971</v>
      </c>
      <c r="D3752" t="inlineStr">
        <is>
          <t>VÄSTERBOTTENS LÄN</t>
        </is>
      </c>
      <c r="E3752" t="inlineStr">
        <is>
          <t>VILHELMINA</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62126-2024</t>
        </is>
      </c>
      <c r="B3753" s="1" t="n">
        <v>45646</v>
      </c>
      <c r="C3753" s="1" t="n">
        <v>45971</v>
      </c>
      <c r="D3753" t="inlineStr">
        <is>
          <t>VÄSTERBOTTENS LÄN</t>
        </is>
      </c>
      <c r="E3753" t="inlineStr">
        <is>
          <t>VINDELN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6758-2023</t>
        </is>
      </c>
      <c r="B3754" s="1" t="n">
        <v>44966</v>
      </c>
      <c r="C3754" s="1" t="n">
        <v>45971</v>
      </c>
      <c r="D3754" t="inlineStr">
        <is>
          <t>VÄSTERBOTTENS LÄN</t>
        </is>
      </c>
      <c r="E3754" t="inlineStr">
        <is>
          <t>STORUMAN</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34054-2023</t>
        </is>
      </c>
      <c r="B3755" s="1" t="n">
        <v>45135.45417824074</v>
      </c>
      <c r="C3755" s="1" t="n">
        <v>45971</v>
      </c>
      <c r="D3755" t="inlineStr">
        <is>
          <t>VÄSTERBOTTENS LÄN</t>
        </is>
      </c>
      <c r="E3755" t="inlineStr">
        <is>
          <t>ÅSELE</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61985-2023</t>
        </is>
      </c>
      <c r="B3756" s="1" t="n">
        <v>45266.6125</v>
      </c>
      <c r="C3756" s="1" t="n">
        <v>45971</v>
      </c>
      <c r="D3756" t="inlineStr">
        <is>
          <t>VÄSTERBOTTENS LÄN</t>
        </is>
      </c>
      <c r="E3756" t="inlineStr">
        <is>
          <t>ÅSELE</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34063-2023</t>
        </is>
      </c>
      <c r="B3757" s="1" t="n">
        <v>45135.4729050926</v>
      </c>
      <c r="C3757" s="1" t="n">
        <v>45971</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3209-2025</t>
        </is>
      </c>
      <c r="B3758" s="1" t="n">
        <v>45679.45376157408</v>
      </c>
      <c r="C3758" s="1" t="n">
        <v>45971</v>
      </c>
      <c r="D3758" t="inlineStr">
        <is>
          <t>VÄSTERBOTTENS LÄN</t>
        </is>
      </c>
      <c r="E3758" t="inlineStr">
        <is>
          <t>SKELLEFTEÅ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55634-2023</t>
        </is>
      </c>
      <c r="B3759" s="1" t="n">
        <v>45238</v>
      </c>
      <c r="C3759" s="1" t="n">
        <v>45971</v>
      </c>
      <c r="D3759" t="inlineStr">
        <is>
          <t>VÄSTERBOTTENS LÄN</t>
        </is>
      </c>
      <c r="E3759" t="inlineStr">
        <is>
          <t>NORDMALING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38144-2024</t>
        </is>
      </c>
      <c r="B3760" s="1" t="n">
        <v>45545.42693287037</v>
      </c>
      <c r="C3760" s="1" t="n">
        <v>45971</v>
      </c>
      <c r="D3760" t="inlineStr">
        <is>
          <t>VÄSTERBOTTENS LÄN</t>
        </is>
      </c>
      <c r="E3760" t="inlineStr">
        <is>
          <t>UMEÅ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38165-2024</t>
        </is>
      </c>
      <c r="B3761" s="1" t="n">
        <v>45545</v>
      </c>
      <c r="C3761" s="1" t="n">
        <v>45971</v>
      </c>
      <c r="D3761" t="inlineStr">
        <is>
          <t>VÄSTERBOTTENS LÄN</t>
        </is>
      </c>
      <c r="E3761" t="inlineStr">
        <is>
          <t>VINDELN</t>
        </is>
      </c>
      <c r="F3761" t="inlineStr">
        <is>
          <t>Holmen skog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38187-2024</t>
        </is>
      </c>
      <c r="B3762" s="1" t="n">
        <v>45545.49028935185</v>
      </c>
      <c r="C3762" s="1" t="n">
        <v>45971</v>
      </c>
      <c r="D3762" t="inlineStr">
        <is>
          <t>VÄSTERBOTTENS LÄN</t>
        </is>
      </c>
      <c r="E3762" t="inlineStr">
        <is>
          <t>VILHELMINA</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58053-2022</t>
        </is>
      </c>
      <c r="B3763" s="1" t="n">
        <v>44900</v>
      </c>
      <c r="C3763" s="1" t="n">
        <v>45971</v>
      </c>
      <c r="D3763" t="inlineStr">
        <is>
          <t>VÄSTERBOTTENS LÄN</t>
        </is>
      </c>
      <c r="E3763" t="inlineStr">
        <is>
          <t>SKELLEFTEÅ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15745-2023</t>
        </is>
      </c>
      <c r="B3764" s="1" t="n">
        <v>45021.60850694445</v>
      </c>
      <c r="C3764" s="1" t="n">
        <v>45971</v>
      </c>
      <c r="D3764" t="inlineStr">
        <is>
          <t>VÄSTERBOTTENS LÄN</t>
        </is>
      </c>
      <c r="E3764" t="inlineStr">
        <is>
          <t>NORDMALING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40443-2024</t>
        </is>
      </c>
      <c r="B3765" s="1" t="n">
        <v>45555.48571759259</v>
      </c>
      <c r="C3765" s="1" t="n">
        <v>45971</v>
      </c>
      <c r="D3765" t="inlineStr">
        <is>
          <t>VÄSTERBOTTENS LÄN</t>
        </is>
      </c>
      <c r="E3765" t="inlineStr">
        <is>
          <t>VINDELN</t>
        </is>
      </c>
      <c r="F3765" t="inlineStr">
        <is>
          <t>Naturvårdsverket</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26546-2024</t>
        </is>
      </c>
      <c r="B3766" s="1" t="n">
        <v>45469.61939814815</v>
      </c>
      <c r="C3766" s="1" t="n">
        <v>45971</v>
      </c>
      <c r="D3766" t="inlineStr">
        <is>
          <t>VÄSTERBOTTENS LÄN</t>
        </is>
      </c>
      <c r="E3766" t="inlineStr">
        <is>
          <t>SKELLEFTEÅ</t>
        </is>
      </c>
      <c r="F3766" t="inlineStr">
        <is>
          <t>Sveaskog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24317-2024</t>
        </is>
      </c>
      <c r="B3767" s="1" t="n">
        <v>45457</v>
      </c>
      <c r="C3767" s="1" t="n">
        <v>45971</v>
      </c>
      <c r="D3767" t="inlineStr">
        <is>
          <t>VÄSTERBOTTENS LÄN</t>
        </is>
      </c>
      <c r="E3767" t="inlineStr">
        <is>
          <t>VINDELN</t>
        </is>
      </c>
      <c r="F3767" t="inlineStr">
        <is>
          <t>Holmen skog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1667-2025</t>
        </is>
      </c>
      <c r="B3768" s="1" t="n">
        <v>45670</v>
      </c>
      <c r="C3768" s="1" t="n">
        <v>45971</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62087-2022</t>
        </is>
      </c>
      <c r="B3769" s="1" t="n">
        <v>44919</v>
      </c>
      <c r="C3769" s="1" t="n">
        <v>45971</v>
      </c>
      <c r="D3769" t="inlineStr">
        <is>
          <t>VÄSTERBOTTENS LÄN</t>
        </is>
      </c>
      <c r="E3769" t="inlineStr">
        <is>
          <t>BJURHOLM</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8852-2024</t>
        </is>
      </c>
      <c r="B3770" s="1" t="n">
        <v>45356</v>
      </c>
      <c r="C3770" s="1" t="n">
        <v>45971</v>
      </c>
      <c r="D3770" t="inlineStr">
        <is>
          <t>VÄSTERBOTTENS LÄN</t>
        </is>
      </c>
      <c r="E3770" t="inlineStr">
        <is>
          <t>DOROTEA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31264-2024</t>
        </is>
      </c>
      <c r="B3771" s="1" t="n">
        <v>45503.96868055555</v>
      </c>
      <c r="C3771" s="1" t="n">
        <v>45971</v>
      </c>
      <c r="D3771" t="inlineStr">
        <is>
          <t>VÄSTERBOTTENS LÄN</t>
        </is>
      </c>
      <c r="E3771" t="inlineStr">
        <is>
          <t>VÄNNÄS</t>
        </is>
      </c>
      <c r="F3771" t="inlineStr">
        <is>
          <t>Holmen skog AB</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33689-2024</t>
        </is>
      </c>
      <c r="B3772" s="1" t="n">
        <v>45520.51114583333</v>
      </c>
      <c r="C3772" s="1" t="n">
        <v>45971</v>
      </c>
      <c r="D3772" t="inlineStr">
        <is>
          <t>VÄSTERBOTTENS LÄN</t>
        </is>
      </c>
      <c r="E3772" t="inlineStr">
        <is>
          <t>LYCKSELE</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33690-2024</t>
        </is>
      </c>
      <c r="B3773" s="1" t="n">
        <v>45520.51274305556</v>
      </c>
      <c r="C3773" s="1" t="n">
        <v>45971</v>
      </c>
      <c r="D3773" t="inlineStr">
        <is>
          <t>VÄSTERBOTTENS LÄN</t>
        </is>
      </c>
      <c r="E3773" t="inlineStr">
        <is>
          <t>MALÅ</t>
        </is>
      </c>
      <c r="F3773" t="inlineStr">
        <is>
          <t>Sveaskog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33701-2024</t>
        </is>
      </c>
      <c r="B3774" s="1" t="n">
        <v>45520.52251157408</v>
      </c>
      <c r="C3774" s="1" t="n">
        <v>45971</v>
      </c>
      <c r="D3774" t="inlineStr">
        <is>
          <t>VÄSTERBOTTENS LÄN</t>
        </is>
      </c>
      <c r="E3774" t="inlineStr">
        <is>
          <t>LYCKSELE</t>
        </is>
      </c>
      <c r="F3774" t="inlineStr">
        <is>
          <t>Sveaskog</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31277-2024</t>
        </is>
      </c>
      <c r="B3775" s="1" t="n">
        <v>45504.39555555556</v>
      </c>
      <c r="C3775" s="1" t="n">
        <v>45971</v>
      </c>
      <c r="D3775" t="inlineStr">
        <is>
          <t>VÄSTERBOTTENS LÄN</t>
        </is>
      </c>
      <c r="E3775" t="inlineStr">
        <is>
          <t>VÄNNÄS</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8919-2024</t>
        </is>
      </c>
      <c r="B3776" s="1" t="n">
        <v>45357</v>
      </c>
      <c r="C3776" s="1" t="n">
        <v>45971</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63062-2023</t>
        </is>
      </c>
      <c r="B3777" s="1" t="n">
        <v>45272</v>
      </c>
      <c r="C3777" s="1" t="n">
        <v>45971</v>
      </c>
      <c r="D3777" t="inlineStr">
        <is>
          <t>VÄSTERBOTTENS LÄN</t>
        </is>
      </c>
      <c r="E3777" t="inlineStr">
        <is>
          <t>ÅSELE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8987-2025</t>
        </is>
      </c>
      <c r="B3778" s="1" t="n">
        <v>45713.53717592593</v>
      </c>
      <c r="C3778" s="1" t="n">
        <v>45971</v>
      </c>
      <c r="D3778" t="inlineStr">
        <is>
          <t>VÄSTERBOTTENS LÄN</t>
        </is>
      </c>
      <c r="E3778" t="inlineStr">
        <is>
          <t>SORSELE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38366-2024</t>
        </is>
      </c>
      <c r="B3779" s="1" t="n">
        <v>45545</v>
      </c>
      <c r="C3779" s="1" t="n">
        <v>45971</v>
      </c>
      <c r="D3779" t="inlineStr">
        <is>
          <t>VÄSTERBOTTENS LÄN</t>
        </is>
      </c>
      <c r="E3779" t="inlineStr">
        <is>
          <t>STORUMAN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37629-2024</t>
        </is>
      </c>
      <c r="B3780" s="1" t="n">
        <v>45541.53135416667</v>
      </c>
      <c r="C3780" s="1" t="n">
        <v>45971</v>
      </c>
      <c r="D3780" t="inlineStr">
        <is>
          <t>VÄSTERBOTTENS LÄN</t>
        </is>
      </c>
      <c r="E3780" t="inlineStr">
        <is>
          <t>UMEÅ</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55096-2022</t>
        </is>
      </c>
      <c r="B3781" s="1" t="n">
        <v>44882</v>
      </c>
      <c r="C3781" s="1" t="n">
        <v>45971</v>
      </c>
      <c r="D3781" t="inlineStr">
        <is>
          <t>VÄSTERBOTTENS LÄN</t>
        </is>
      </c>
      <c r="E3781" t="inlineStr">
        <is>
          <t>VINDELN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58040-2023</t>
        </is>
      </c>
      <c r="B3782" s="1" t="n">
        <v>45247.67944444445</v>
      </c>
      <c r="C3782" s="1" t="n">
        <v>45971</v>
      </c>
      <c r="D3782" t="inlineStr">
        <is>
          <t>VÄSTERBOTTENS LÄN</t>
        </is>
      </c>
      <c r="E3782" t="inlineStr">
        <is>
          <t>LYCKSELE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64205-2023</t>
        </is>
      </c>
      <c r="B3783" s="1" t="n">
        <v>45279</v>
      </c>
      <c r="C3783" s="1" t="n">
        <v>45971</v>
      </c>
      <c r="D3783" t="inlineStr">
        <is>
          <t>VÄSTERBOTTENS LÄN</t>
        </is>
      </c>
      <c r="E3783" t="inlineStr">
        <is>
          <t>VINDELN</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33438-2023</t>
        </is>
      </c>
      <c r="B3784" s="1" t="n">
        <v>45129.5255787037</v>
      </c>
      <c r="C3784" s="1" t="n">
        <v>45971</v>
      </c>
      <c r="D3784" t="inlineStr">
        <is>
          <t>VÄSTERBOTTENS LÄN</t>
        </is>
      </c>
      <c r="E3784" t="inlineStr">
        <is>
          <t>ROBERTSFORS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2705-2023</t>
        </is>
      </c>
      <c r="B3785" s="1" t="n">
        <v>44944.52116898148</v>
      </c>
      <c r="C3785" s="1" t="n">
        <v>45971</v>
      </c>
      <c r="D3785" t="inlineStr">
        <is>
          <t>VÄSTERBOTTENS LÄN</t>
        </is>
      </c>
      <c r="E3785" t="inlineStr">
        <is>
          <t>NORSJÖ</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2720-2023</t>
        </is>
      </c>
      <c r="B3786" s="1" t="n">
        <v>44944</v>
      </c>
      <c r="C3786" s="1" t="n">
        <v>45971</v>
      </c>
      <c r="D3786" t="inlineStr">
        <is>
          <t>VÄSTERBOTTENS LÄN</t>
        </is>
      </c>
      <c r="E3786" t="inlineStr">
        <is>
          <t>SKELLEFTEÅ</t>
        </is>
      </c>
      <c r="G3786" t="n">
        <v>31.7</v>
      </c>
      <c r="H3786" t="n">
        <v>0</v>
      </c>
      <c r="I3786" t="n">
        <v>0</v>
      </c>
      <c r="J3786" t="n">
        <v>0</v>
      </c>
      <c r="K3786" t="n">
        <v>0</v>
      </c>
      <c r="L3786" t="n">
        <v>0</v>
      </c>
      <c r="M3786" t="n">
        <v>0</v>
      </c>
      <c r="N3786" t="n">
        <v>0</v>
      </c>
      <c r="O3786" t="n">
        <v>0</v>
      </c>
      <c r="P3786" t="n">
        <v>0</v>
      </c>
      <c r="Q3786" t="n">
        <v>0</v>
      </c>
      <c r="R3786" s="2" t="inlineStr"/>
    </row>
    <row r="3787" ht="15" customHeight="1">
      <c r="A3787" t="inlineStr">
        <is>
          <t>A 237-2025</t>
        </is>
      </c>
      <c r="B3787" s="1" t="n">
        <v>45660.40270833333</v>
      </c>
      <c r="C3787" s="1" t="n">
        <v>45971</v>
      </c>
      <c r="D3787" t="inlineStr">
        <is>
          <t>VÄSTERBOTTENS LÄN</t>
        </is>
      </c>
      <c r="E3787" t="inlineStr">
        <is>
          <t>VILHELMINA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26499-2024</t>
        </is>
      </c>
      <c r="B3788" s="1" t="n">
        <v>45469</v>
      </c>
      <c r="C3788" s="1" t="n">
        <v>45971</v>
      </c>
      <c r="D3788" t="inlineStr">
        <is>
          <t>VÄSTERBOTTENS LÄN</t>
        </is>
      </c>
      <c r="E3788" t="inlineStr">
        <is>
          <t>VILHELMINA</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23760-2023</t>
        </is>
      </c>
      <c r="B3789" s="1" t="n">
        <v>45077</v>
      </c>
      <c r="C3789" s="1" t="n">
        <v>45971</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23761-2023</t>
        </is>
      </c>
      <c r="B3790" s="1" t="n">
        <v>45077</v>
      </c>
      <c r="C3790" s="1" t="n">
        <v>45971</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242-2025</t>
        </is>
      </c>
      <c r="B3791" s="1" t="n">
        <v>45660.41033564815</v>
      </c>
      <c r="C3791" s="1" t="n">
        <v>45971</v>
      </c>
      <c r="D3791" t="inlineStr">
        <is>
          <t>VÄSTERBOTTENS LÄN</t>
        </is>
      </c>
      <c r="E3791" t="inlineStr">
        <is>
          <t>VILHELMINA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32436-2024</t>
        </is>
      </c>
      <c r="B3792" s="1" t="n">
        <v>45512</v>
      </c>
      <c r="C3792" s="1" t="n">
        <v>45971</v>
      </c>
      <c r="D3792" t="inlineStr">
        <is>
          <t>VÄSTERBOTTENS LÄN</t>
        </is>
      </c>
      <c r="E3792" t="inlineStr">
        <is>
          <t>BJURHOLM</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296-2025</t>
        </is>
      </c>
      <c r="B3793" s="1" t="n">
        <v>45660.53215277778</v>
      </c>
      <c r="C3793" s="1" t="n">
        <v>45971</v>
      </c>
      <c r="D3793" t="inlineStr">
        <is>
          <t>VÄSTERBOTTENS LÄN</t>
        </is>
      </c>
      <c r="E3793" t="inlineStr">
        <is>
          <t>VILHELMINA</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26541-2024</t>
        </is>
      </c>
      <c r="B3794" s="1" t="n">
        <v>45469.61785879629</v>
      </c>
      <c r="C3794" s="1" t="n">
        <v>45971</v>
      </c>
      <c r="D3794" t="inlineStr">
        <is>
          <t>VÄSTERBOTTENS LÄN</t>
        </is>
      </c>
      <c r="E3794" t="inlineStr">
        <is>
          <t>NORSJÖ</t>
        </is>
      </c>
      <c r="F3794" t="inlineStr">
        <is>
          <t>Holmen skog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41409-2022</t>
        </is>
      </c>
      <c r="B3795" s="1" t="n">
        <v>44826.63581018519</v>
      </c>
      <c r="C3795" s="1" t="n">
        <v>45971</v>
      </c>
      <c r="D3795" t="inlineStr">
        <is>
          <t>VÄSTERBOTTENS LÄN</t>
        </is>
      </c>
      <c r="E3795" t="inlineStr">
        <is>
          <t>SKELLEFTEÅ</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41419-2022</t>
        </is>
      </c>
      <c r="B3796" s="1" t="n">
        <v>44826</v>
      </c>
      <c r="C3796" s="1" t="n">
        <v>45971</v>
      </c>
      <c r="D3796" t="inlineStr">
        <is>
          <t>VÄSTERBOTTENS LÄN</t>
        </is>
      </c>
      <c r="E3796" t="inlineStr">
        <is>
          <t>LYCKSELE</t>
        </is>
      </c>
      <c r="F3796" t="inlineStr">
        <is>
          <t>Naturvårdsverket</t>
        </is>
      </c>
      <c r="G3796" t="n">
        <v>32.1</v>
      </c>
      <c r="H3796" t="n">
        <v>0</v>
      </c>
      <c r="I3796" t="n">
        <v>0</v>
      </c>
      <c r="J3796" t="n">
        <v>0</v>
      </c>
      <c r="K3796" t="n">
        <v>0</v>
      </c>
      <c r="L3796" t="n">
        <v>0</v>
      </c>
      <c r="M3796" t="n">
        <v>0</v>
      </c>
      <c r="N3796" t="n">
        <v>0</v>
      </c>
      <c r="O3796" t="n">
        <v>0</v>
      </c>
      <c r="P3796" t="n">
        <v>0</v>
      </c>
      <c r="Q3796" t="n">
        <v>0</v>
      </c>
      <c r="R3796" s="2" t="inlineStr"/>
    </row>
    <row r="3797" ht="15" customHeight="1">
      <c r="A3797" t="inlineStr">
        <is>
          <t>A 57070-2023</t>
        </is>
      </c>
      <c r="B3797" s="1" t="n">
        <v>45244.96695601852</v>
      </c>
      <c r="C3797" s="1" t="n">
        <v>45971</v>
      </c>
      <c r="D3797" t="inlineStr">
        <is>
          <t>VÄSTERBOTTENS LÄN</t>
        </is>
      </c>
      <c r="E3797" t="inlineStr">
        <is>
          <t>DOROTEA</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57629-2023</t>
        </is>
      </c>
      <c r="B3798" s="1" t="n">
        <v>45246.58361111111</v>
      </c>
      <c r="C3798" s="1" t="n">
        <v>45971</v>
      </c>
      <c r="D3798" t="inlineStr">
        <is>
          <t>VÄSTERBOTTENS LÄN</t>
        </is>
      </c>
      <c r="E3798" t="inlineStr">
        <is>
          <t>ROBERTSFORS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34273-2024</t>
        </is>
      </c>
      <c r="B3799" s="1" t="n">
        <v>45524.61850694445</v>
      </c>
      <c r="C3799" s="1" t="n">
        <v>45971</v>
      </c>
      <c r="D3799" t="inlineStr">
        <is>
          <t>VÄSTERBOTTENS LÄN</t>
        </is>
      </c>
      <c r="E3799" t="inlineStr">
        <is>
          <t>LYCKSELE</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12425-2025</t>
        </is>
      </c>
      <c r="B3800" s="1" t="n">
        <v>45730</v>
      </c>
      <c r="C3800" s="1" t="n">
        <v>45971</v>
      </c>
      <c r="D3800" t="inlineStr">
        <is>
          <t>VÄSTERBOTTENS LÄN</t>
        </is>
      </c>
      <c r="E3800" t="inlineStr">
        <is>
          <t>VÄNNÄS</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12430-2025</t>
        </is>
      </c>
      <c r="B3801" s="1" t="n">
        <v>45730.46041666667</v>
      </c>
      <c r="C3801" s="1" t="n">
        <v>45971</v>
      </c>
      <c r="D3801" t="inlineStr">
        <is>
          <t>VÄSTERBOTTENS LÄN</t>
        </is>
      </c>
      <c r="E3801" t="inlineStr">
        <is>
          <t>LYCKSELE</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20133-2023</t>
        </is>
      </c>
      <c r="B3802" s="1" t="n">
        <v>45051</v>
      </c>
      <c r="C3802" s="1" t="n">
        <v>45971</v>
      </c>
      <c r="D3802" t="inlineStr">
        <is>
          <t>VÄSTERBOTTENS LÄN</t>
        </is>
      </c>
      <c r="E3802" t="inlineStr">
        <is>
          <t>NORDMALING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35181-2024</t>
        </is>
      </c>
      <c r="B3803" s="1" t="n">
        <v>45530.44527777778</v>
      </c>
      <c r="C3803" s="1" t="n">
        <v>45971</v>
      </c>
      <c r="D3803" t="inlineStr">
        <is>
          <t>VÄSTERBOTTENS LÄN</t>
        </is>
      </c>
      <c r="E3803" t="inlineStr">
        <is>
          <t>NORSJÖ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61792-2022</t>
        </is>
      </c>
      <c r="B3804" s="1" t="n">
        <v>44917.53623842593</v>
      </c>
      <c r="C3804" s="1" t="n">
        <v>45971</v>
      </c>
      <c r="D3804" t="inlineStr">
        <is>
          <t>VÄSTERBOTTENS LÄN</t>
        </is>
      </c>
      <c r="E3804" t="inlineStr">
        <is>
          <t>SORSELE</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44957-2022</t>
        </is>
      </c>
      <c r="B3805" s="1" t="n">
        <v>44840</v>
      </c>
      <c r="C3805" s="1" t="n">
        <v>45971</v>
      </c>
      <c r="D3805" t="inlineStr">
        <is>
          <t>VÄSTERBOTTENS LÄN</t>
        </is>
      </c>
      <c r="E3805" t="inlineStr">
        <is>
          <t>UMEÅ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9841-2025</t>
        </is>
      </c>
      <c r="B3806" s="1" t="n">
        <v>45716.60512731481</v>
      </c>
      <c r="C3806" s="1" t="n">
        <v>45971</v>
      </c>
      <c r="D3806" t="inlineStr">
        <is>
          <t>VÄSTERBOTTENS LÄN</t>
        </is>
      </c>
      <c r="E3806" t="inlineStr">
        <is>
          <t>SKELLEFTEÅ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49839-2023</t>
        </is>
      </c>
      <c r="B3807" s="1" t="n">
        <v>45210</v>
      </c>
      <c r="C3807" s="1" t="n">
        <v>45971</v>
      </c>
      <c r="D3807" t="inlineStr">
        <is>
          <t>VÄSTERBOTTENS LÄN</t>
        </is>
      </c>
      <c r="E3807" t="inlineStr">
        <is>
          <t>MALÅ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49840-2023</t>
        </is>
      </c>
      <c r="B3808" s="1" t="n">
        <v>45210</v>
      </c>
      <c r="C3808" s="1" t="n">
        <v>45971</v>
      </c>
      <c r="D3808" t="inlineStr">
        <is>
          <t>VÄSTERBOTTENS LÄN</t>
        </is>
      </c>
      <c r="E3808" t="inlineStr">
        <is>
          <t>MALÅ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17751-2024</t>
        </is>
      </c>
      <c r="B3809" s="1" t="n">
        <v>45418.59936342593</v>
      </c>
      <c r="C3809" s="1" t="n">
        <v>45971</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9947-2025</t>
        </is>
      </c>
      <c r="B3810" s="1" t="n">
        <v>45719.31428240741</v>
      </c>
      <c r="C3810" s="1" t="n">
        <v>45971</v>
      </c>
      <c r="D3810" t="inlineStr">
        <is>
          <t>VÄSTERBOTTENS LÄN</t>
        </is>
      </c>
      <c r="E3810" t="inlineStr">
        <is>
          <t>MALÅ</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29714-2024</t>
        </is>
      </c>
      <c r="B3811" s="1" t="n">
        <v>45485.35091435185</v>
      </c>
      <c r="C3811" s="1" t="n">
        <v>45971</v>
      </c>
      <c r="D3811" t="inlineStr">
        <is>
          <t>VÄSTERBOTTENS LÄN</t>
        </is>
      </c>
      <c r="E3811" t="inlineStr">
        <is>
          <t>NORSJÖ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17443-2021</t>
        </is>
      </c>
      <c r="B3812" s="1" t="n">
        <v>44298</v>
      </c>
      <c r="C3812" s="1" t="n">
        <v>45971</v>
      </c>
      <c r="D3812" t="inlineStr">
        <is>
          <t>VÄSTERBOTTENS LÄN</t>
        </is>
      </c>
      <c r="E3812" t="inlineStr">
        <is>
          <t>SORSELE</t>
        </is>
      </c>
      <c r="G3812" t="n">
        <v>158</v>
      </c>
      <c r="H3812" t="n">
        <v>0</v>
      </c>
      <c r="I3812" t="n">
        <v>0</v>
      </c>
      <c r="J3812" t="n">
        <v>0</v>
      </c>
      <c r="K3812" t="n">
        <v>0</v>
      </c>
      <c r="L3812" t="n">
        <v>0</v>
      </c>
      <c r="M3812" t="n">
        <v>0</v>
      </c>
      <c r="N3812" t="n">
        <v>0</v>
      </c>
      <c r="O3812" t="n">
        <v>0</v>
      </c>
      <c r="P3812" t="n">
        <v>0</v>
      </c>
      <c r="Q3812" t="n">
        <v>0</v>
      </c>
      <c r="R3812" s="2" t="inlineStr"/>
    </row>
    <row r="3813" ht="15" customHeight="1">
      <c r="A3813" t="inlineStr">
        <is>
          <t>A 64323-2023</t>
        </is>
      </c>
      <c r="B3813" s="1" t="n">
        <v>45280.40798611111</v>
      </c>
      <c r="C3813" s="1" t="n">
        <v>45971</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28889-2021</t>
        </is>
      </c>
      <c r="B3814" s="1" t="n">
        <v>44357.9190162037</v>
      </c>
      <c r="C3814" s="1" t="n">
        <v>45971</v>
      </c>
      <c r="D3814" t="inlineStr">
        <is>
          <t>VÄSTERBOTTENS LÄN</t>
        </is>
      </c>
      <c r="E3814" t="inlineStr">
        <is>
          <t>NORSJÖ</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29649-2021</t>
        </is>
      </c>
      <c r="B3815" s="1" t="n">
        <v>44362</v>
      </c>
      <c r="C3815" s="1" t="n">
        <v>45971</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706-2024</t>
        </is>
      </c>
      <c r="B3816" s="1" t="n">
        <v>45300</v>
      </c>
      <c r="C3816" s="1" t="n">
        <v>45971</v>
      </c>
      <c r="D3816" t="inlineStr">
        <is>
          <t>VÄSTERBOTTENS LÄN</t>
        </is>
      </c>
      <c r="E3816" t="inlineStr">
        <is>
          <t>VILHELMINA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29321-2024</t>
        </is>
      </c>
      <c r="B3817" s="1" t="n">
        <v>45483.4243287037</v>
      </c>
      <c r="C3817" s="1" t="n">
        <v>45971</v>
      </c>
      <c r="D3817" t="inlineStr">
        <is>
          <t>VÄSTERBOTTENS LÄN</t>
        </is>
      </c>
      <c r="E3817" t="inlineStr">
        <is>
          <t>SKELLEFTEÅ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49417-2022</t>
        </is>
      </c>
      <c r="B3818" s="1" t="n">
        <v>44859</v>
      </c>
      <c r="C3818" s="1" t="n">
        <v>45971</v>
      </c>
      <c r="D3818" t="inlineStr">
        <is>
          <t>VÄSTERBOTTENS LÄN</t>
        </is>
      </c>
      <c r="E3818" t="inlineStr">
        <is>
          <t>NORDMALING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14689-2025</t>
        </is>
      </c>
      <c r="B3819" s="1" t="n">
        <v>45742</v>
      </c>
      <c r="C3819" s="1" t="n">
        <v>45971</v>
      </c>
      <c r="D3819" t="inlineStr">
        <is>
          <t>VÄSTERBOTTENS LÄN</t>
        </is>
      </c>
      <c r="E3819" t="inlineStr">
        <is>
          <t>NORDMALING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41703-2023</t>
        </is>
      </c>
      <c r="B3820" s="1" t="n">
        <v>45176</v>
      </c>
      <c r="C3820" s="1" t="n">
        <v>45971</v>
      </c>
      <c r="D3820" t="inlineStr">
        <is>
          <t>VÄSTERBOTTENS LÄN</t>
        </is>
      </c>
      <c r="E3820" t="inlineStr">
        <is>
          <t>LYCKSELE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8745-2023</t>
        </is>
      </c>
      <c r="B3821" s="1" t="n">
        <v>44972</v>
      </c>
      <c r="C3821" s="1" t="n">
        <v>45971</v>
      </c>
      <c r="D3821" t="inlineStr">
        <is>
          <t>VÄSTERBOTTENS LÄN</t>
        </is>
      </c>
      <c r="E3821" t="inlineStr">
        <is>
          <t>VILHELMINA</t>
        </is>
      </c>
      <c r="F3821" t="inlineStr">
        <is>
          <t>Allmännings- och besparingsskogar</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41767-2023</t>
        </is>
      </c>
      <c r="B3822" s="1" t="n">
        <v>45176</v>
      </c>
      <c r="C3822" s="1" t="n">
        <v>45971</v>
      </c>
      <c r="D3822" t="inlineStr">
        <is>
          <t>VÄSTERBOTTENS LÄN</t>
        </is>
      </c>
      <c r="E3822" t="inlineStr">
        <is>
          <t>ROBERTSFORS</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468-2024</t>
        </is>
      </c>
      <c r="B3823" s="1" t="n">
        <v>45297</v>
      </c>
      <c r="C3823" s="1" t="n">
        <v>45971</v>
      </c>
      <c r="D3823" t="inlineStr">
        <is>
          <t>VÄSTERBOTTENS LÄN</t>
        </is>
      </c>
      <c r="E3823" t="inlineStr">
        <is>
          <t>VILHELMINA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58192-2023</t>
        </is>
      </c>
      <c r="B3824" s="1" t="n">
        <v>45245</v>
      </c>
      <c r="C3824" s="1" t="n">
        <v>45971</v>
      </c>
      <c r="D3824" t="inlineStr">
        <is>
          <t>VÄSTERBOTTENS LÄN</t>
        </is>
      </c>
      <c r="E3824" t="inlineStr">
        <is>
          <t>LYCKSELE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34189-2021</t>
        </is>
      </c>
      <c r="B3825" s="1" t="n">
        <v>44379.50560185185</v>
      </c>
      <c r="C3825" s="1" t="n">
        <v>45971</v>
      </c>
      <c r="D3825" t="inlineStr">
        <is>
          <t>VÄSTERBOTTENS LÄN</t>
        </is>
      </c>
      <c r="E3825" t="inlineStr">
        <is>
          <t>ÅSELE</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18498-2025</t>
        </is>
      </c>
      <c r="B3826" s="1" t="n">
        <v>45763.35789351852</v>
      </c>
      <c r="C3826" s="1" t="n">
        <v>45971</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27154-2024</t>
        </is>
      </c>
      <c r="B3827" s="1" t="n">
        <v>45471.56107638889</v>
      </c>
      <c r="C3827" s="1" t="n">
        <v>45971</v>
      </c>
      <c r="D3827" t="inlineStr">
        <is>
          <t>VÄSTERBOTTENS LÄN</t>
        </is>
      </c>
      <c r="E3827" t="inlineStr">
        <is>
          <t>UMEÅ</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49793-2024</t>
        </is>
      </c>
      <c r="B3828" s="1" t="n">
        <v>45597.3706712963</v>
      </c>
      <c r="C3828" s="1" t="n">
        <v>45971</v>
      </c>
      <c r="D3828" t="inlineStr">
        <is>
          <t>VÄSTERBOTTENS LÄN</t>
        </is>
      </c>
      <c r="E3828" t="inlineStr">
        <is>
          <t>UMEÅ</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59343-2023</t>
        </is>
      </c>
      <c r="B3829" s="1" t="n">
        <v>45253</v>
      </c>
      <c r="C3829" s="1" t="n">
        <v>45971</v>
      </c>
      <c r="D3829" t="inlineStr">
        <is>
          <t>VÄSTERBOTTENS LÄN</t>
        </is>
      </c>
      <c r="E3829" t="inlineStr">
        <is>
          <t>UMEÅ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59418-2023</t>
        </is>
      </c>
      <c r="B3830" s="1" t="n">
        <v>45253</v>
      </c>
      <c r="C3830" s="1" t="n">
        <v>45971</v>
      </c>
      <c r="D3830" t="inlineStr">
        <is>
          <t>VÄSTERBOTTENS LÄN</t>
        </is>
      </c>
      <c r="E3830" t="inlineStr">
        <is>
          <t>DOROTEA</t>
        </is>
      </c>
      <c r="F3830" t="inlineStr">
        <is>
          <t>SCA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20304-2025</t>
        </is>
      </c>
      <c r="B3831" s="1" t="n">
        <v>45774</v>
      </c>
      <c r="C3831" s="1" t="n">
        <v>45971</v>
      </c>
      <c r="D3831" t="inlineStr">
        <is>
          <t>VÄSTERBOTTENS LÄN</t>
        </is>
      </c>
      <c r="E3831" t="inlineStr">
        <is>
          <t>ÅSELE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47035-2025</t>
        </is>
      </c>
      <c r="B3832" s="1" t="n">
        <v>45929.59428240741</v>
      </c>
      <c r="C3832" s="1" t="n">
        <v>45971</v>
      </c>
      <c r="D3832" t="inlineStr">
        <is>
          <t>VÄSTERBOTTENS LÄN</t>
        </is>
      </c>
      <c r="E3832" t="inlineStr">
        <is>
          <t>VILHELMINA</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42808-2022</t>
        </is>
      </c>
      <c r="B3833" s="1" t="n">
        <v>44832</v>
      </c>
      <c r="C3833" s="1" t="n">
        <v>45971</v>
      </c>
      <c r="D3833" t="inlineStr">
        <is>
          <t>VÄSTERBOTTENS LÄN</t>
        </is>
      </c>
      <c r="E3833" t="inlineStr">
        <is>
          <t>SKELLEFTEÅ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4611-2025</t>
        </is>
      </c>
      <c r="B3834" s="1" t="n">
        <v>45687</v>
      </c>
      <c r="C3834" s="1" t="n">
        <v>45971</v>
      </c>
      <c r="D3834" t="inlineStr">
        <is>
          <t>VÄSTERBOTTENS LÄN</t>
        </is>
      </c>
      <c r="E3834" t="inlineStr">
        <is>
          <t>ROBERTSFORS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4645-2025</t>
        </is>
      </c>
      <c r="B3835" s="1" t="n">
        <v>45687</v>
      </c>
      <c r="C3835" s="1" t="n">
        <v>45971</v>
      </c>
      <c r="D3835" t="inlineStr">
        <is>
          <t>VÄSTERBOTTENS LÄN</t>
        </is>
      </c>
      <c r="E3835" t="inlineStr">
        <is>
          <t>SKELLEFTEÅ</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8941-2025</t>
        </is>
      </c>
      <c r="B3836" s="1" t="n">
        <v>45713.44863425926</v>
      </c>
      <c r="C3836" s="1" t="n">
        <v>45971</v>
      </c>
      <c r="D3836" t="inlineStr">
        <is>
          <t>VÄSTERBOTTENS LÄN</t>
        </is>
      </c>
      <c r="E3836" t="inlineStr">
        <is>
          <t>LYCKSELE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50646-2024</t>
        </is>
      </c>
      <c r="B3837" s="1" t="n">
        <v>45601.69196759259</v>
      </c>
      <c r="C3837" s="1" t="n">
        <v>45971</v>
      </c>
      <c r="D3837" t="inlineStr">
        <is>
          <t>VÄSTERBOTTENS LÄN</t>
        </is>
      </c>
      <c r="E3837" t="inlineStr">
        <is>
          <t>VINDELN</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32222-2024</t>
        </is>
      </c>
      <c r="B3838" s="1" t="n">
        <v>45511.92803240741</v>
      </c>
      <c r="C3838" s="1" t="n">
        <v>45971</v>
      </c>
      <c r="D3838" t="inlineStr">
        <is>
          <t>VÄSTERBOTTENS LÄN</t>
        </is>
      </c>
      <c r="E3838" t="inlineStr">
        <is>
          <t>VINDELN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32230-2024</t>
        </is>
      </c>
      <c r="B3839" s="1" t="n">
        <v>45511.92854166667</v>
      </c>
      <c r="C3839" s="1" t="n">
        <v>45971</v>
      </c>
      <c r="D3839" t="inlineStr">
        <is>
          <t>VÄSTERBOTTENS LÄN</t>
        </is>
      </c>
      <c r="E3839" t="inlineStr">
        <is>
          <t>NORSJÖ</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32232-2024</t>
        </is>
      </c>
      <c r="B3840" s="1" t="n">
        <v>45511</v>
      </c>
      <c r="C3840" s="1" t="n">
        <v>45971</v>
      </c>
      <c r="D3840" t="inlineStr">
        <is>
          <t>VÄSTERBOTTENS LÄN</t>
        </is>
      </c>
      <c r="E3840" t="inlineStr">
        <is>
          <t>VINDELN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34751-2022</t>
        </is>
      </c>
      <c r="B3841" s="1" t="n">
        <v>44795</v>
      </c>
      <c r="C3841" s="1" t="n">
        <v>45971</v>
      </c>
      <c r="D3841" t="inlineStr">
        <is>
          <t>VÄSTERBOTTENS LÄN</t>
        </is>
      </c>
      <c r="E3841" t="inlineStr">
        <is>
          <t>BJURHOLM</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56754-2023</t>
        </is>
      </c>
      <c r="B3842" s="1" t="n">
        <v>45238</v>
      </c>
      <c r="C3842" s="1" t="n">
        <v>45971</v>
      </c>
      <c r="D3842" t="inlineStr">
        <is>
          <t>VÄSTERBOTTENS LÄN</t>
        </is>
      </c>
      <c r="E3842" t="inlineStr">
        <is>
          <t>VILHELMINA</t>
        </is>
      </c>
      <c r="F3842" t="inlineStr">
        <is>
          <t>Allmännings- och besparingsskogar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22365-2024</t>
        </is>
      </c>
      <c r="B3843" s="1" t="n">
        <v>45446</v>
      </c>
      <c r="C3843" s="1" t="n">
        <v>45971</v>
      </c>
      <c r="D3843" t="inlineStr">
        <is>
          <t>VÄSTERBOTTENS LÄN</t>
        </is>
      </c>
      <c r="E3843" t="inlineStr">
        <is>
          <t>UMEÅ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19424-2023</t>
        </is>
      </c>
      <c r="B3844" s="1" t="n">
        <v>45049.92751157407</v>
      </c>
      <c r="C3844" s="1" t="n">
        <v>45971</v>
      </c>
      <c r="D3844" t="inlineStr">
        <is>
          <t>VÄSTERBOTTENS LÄN</t>
        </is>
      </c>
      <c r="E3844" t="inlineStr">
        <is>
          <t>SKELLEFTEÅ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5856-2025</t>
        </is>
      </c>
      <c r="B3845" s="1" t="n">
        <v>45695.34431712963</v>
      </c>
      <c r="C3845" s="1" t="n">
        <v>45971</v>
      </c>
      <c r="D3845" t="inlineStr">
        <is>
          <t>VÄSTERBOTTENS LÄN</t>
        </is>
      </c>
      <c r="E3845" t="inlineStr">
        <is>
          <t>LYCKSELE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49077-2022</t>
        </is>
      </c>
      <c r="B3846" s="1" t="n">
        <v>44860</v>
      </c>
      <c r="C3846" s="1" t="n">
        <v>45971</v>
      </c>
      <c r="D3846" t="inlineStr">
        <is>
          <t>VÄSTERBOTTENS LÄN</t>
        </is>
      </c>
      <c r="E3846" t="inlineStr">
        <is>
          <t>DOROTEA</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19428-2023</t>
        </is>
      </c>
      <c r="B3847" s="1" t="n">
        <v>45049.92771990741</v>
      </c>
      <c r="C3847" s="1" t="n">
        <v>45971</v>
      </c>
      <c r="D3847" t="inlineStr">
        <is>
          <t>VÄSTERBOTTENS LÄN</t>
        </is>
      </c>
      <c r="E3847" t="inlineStr">
        <is>
          <t>SKELLEFTEÅ</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4555-2024</t>
        </is>
      </c>
      <c r="B3848" s="1" t="n">
        <v>45327</v>
      </c>
      <c r="C3848" s="1" t="n">
        <v>45971</v>
      </c>
      <c r="D3848" t="inlineStr">
        <is>
          <t>VÄSTERBOTTENS LÄN</t>
        </is>
      </c>
      <c r="E3848" t="inlineStr">
        <is>
          <t>SORSELE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19657-2025</t>
        </is>
      </c>
      <c r="B3849" s="1" t="n">
        <v>45770.67743055556</v>
      </c>
      <c r="C3849" s="1" t="n">
        <v>45971</v>
      </c>
      <c r="D3849" t="inlineStr">
        <is>
          <t>VÄSTERBOTTENS LÄN</t>
        </is>
      </c>
      <c r="E3849" t="inlineStr">
        <is>
          <t>DOROTEA</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19658-2025</t>
        </is>
      </c>
      <c r="B3850" s="1" t="n">
        <v>45770</v>
      </c>
      <c r="C3850" s="1" t="n">
        <v>45971</v>
      </c>
      <c r="D3850" t="inlineStr">
        <is>
          <t>VÄSTERBOTTENS LÄN</t>
        </is>
      </c>
      <c r="E3850" t="inlineStr">
        <is>
          <t>SKELLEFTEÅ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59736-2021</t>
        </is>
      </c>
      <c r="B3851" s="1" t="n">
        <v>44494.44145833333</v>
      </c>
      <c r="C3851" s="1" t="n">
        <v>45971</v>
      </c>
      <c r="D3851" t="inlineStr">
        <is>
          <t>VÄSTERBOTTENS LÄN</t>
        </is>
      </c>
      <c r="E3851" t="inlineStr">
        <is>
          <t>SKELLEFTEÅ</t>
        </is>
      </c>
      <c r="F3851" t="inlineStr">
        <is>
          <t>Sveaskog</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31474-2024</t>
        </is>
      </c>
      <c r="B3852" s="1" t="n">
        <v>45505.95200231481</v>
      </c>
      <c r="C3852" s="1" t="n">
        <v>45971</v>
      </c>
      <c r="D3852" t="inlineStr">
        <is>
          <t>VÄSTERBOTTENS LÄN</t>
        </is>
      </c>
      <c r="E3852" t="inlineStr">
        <is>
          <t>ÅSELE</t>
        </is>
      </c>
      <c r="F3852" t="inlineStr">
        <is>
          <t>SCA</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60572-2024</t>
        </is>
      </c>
      <c r="B3853" s="1" t="n">
        <v>45644.32913194445</v>
      </c>
      <c r="C3853" s="1" t="n">
        <v>45971</v>
      </c>
      <c r="D3853" t="inlineStr">
        <is>
          <t>VÄSTERBOTTENS LÄN</t>
        </is>
      </c>
      <c r="E3853" t="inlineStr">
        <is>
          <t>VINDELN</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37669-2022</t>
        </is>
      </c>
      <c r="B3854" s="1" t="n">
        <v>44810</v>
      </c>
      <c r="C3854" s="1" t="n">
        <v>45971</v>
      </c>
      <c r="D3854" t="inlineStr">
        <is>
          <t>VÄSTERBOTTENS LÄN</t>
        </is>
      </c>
      <c r="E3854" t="inlineStr">
        <is>
          <t>SKELLEFTEÅ</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54691-2022</t>
        </is>
      </c>
      <c r="B3855" s="1" t="n">
        <v>44881</v>
      </c>
      <c r="C3855" s="1" t="n">
        <v>45971</v>
      </c>
      <c r="D3855" t="inlineStr">
        <is>
          <t>VÄSTERBOTTENS LÄN</t>
        </is>
      </c>
      <c r="E3855" t="inlineStr">
        <is>
          <t>VINDELN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61033-2022</t>
        </is>
      </c>
      <c r="B3856" s="1" t="n">
        <v>44914</v>
      </c>
      <c r="C3856" s="1" t="n">
        <v>45971</v>
      </c>
      <c r="D3856" t="inlineStr">
        <is>
          <t>VÄSTERBOTTENS LÄN</t>
        </is>
      </c>
      <c r="E3856" t="inlineStr">
        <is>
          <t>NORSJÖ</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52548-2022</t>
        </is>
      </c>
      <c r="B3857" s="1" t="n">
        <v>44874</v>
      </c>
      <c r="C3857" s="1" t="n">
        <v>45971</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54725-2022</t>
        </is>
      </c>
      <c r="B3858" s="1" t="n">
        <v>44883.55074074074</v>
      </c>
      <c r="C3858" s="1" t="n">
        <v>45971</v>
      </c>
      <c r="D3858" t="inlineStr">
        <is>
          <t>VÄSTERBOTTENS LÄN</t>
        </is>
      </c>
      <c r="E3858" t="inlineStr">
        <is>
          <t>VINDELN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54376-2022</t>
        </is>
      </c>
      <c r="B3859" s="1" t="n">
        <v>44879</v>
      </c>
      <c r="C3859" s="1" t="n">
        <v>45971</v>
      </c>
      <c r="D3859" t="inlineStr">
        <is>
          <t>VÄSTERBOTTENS LÄN</t>
        </is>
      </c>
      <c r="E3859" t="inlineStr">
        <is>
          <t>SORSELE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64346-2023</t>
        </is>
      </c>
      <c r="B3860" s="1" t="n">
        <v>45279</v>
      </c>
      <c r="C3860" s="1" t="n">
        <v>45971</v>
      </c>
      <c r="D3860" t="inlineStr">
        <is>
          <t>VÄSTERBOTTENS LÄN</t>
        </is>
      </c>
      <c r="E3860" t="inlineStr">
        <is>
          <t>LYCKSELE</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20574-2023</t>
        </is>
      </c>
      <c r="B3861" s="1" t="n">
        <v>45057</v>
      </c>
      <c r="C3861" s="1" t="n">
        <v>45971</v>
      </c>
      <c r="D3861" t="inlineStr">
        <is>
          <t>VÄSTERBOTTENS LÄN</t>
        </is>
      </c>
      <c r="E3861" t="inlineStr">
        <is>
          <t>VINDELN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33218-2021</t>
        </is>
      </c>
      <c r="B3862" s="1" t="n">
        <v>44376.93447916667</v>
      </c>
      <c r="C3862" s="1" t="n">
        <v>45971</v>
      </c>
      <c r="D3862" t="inlineStr">
        <is>
          <t>VÄSTERBOTTENS LÄN</t>
        </is>
      </c>
      <c r="E3862" t="inlineStr">
        <is>
          <t>DOROTEA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33219-2021</t>
        </is>
      </c>
      <c r="B3863" s="1" t="n">
        <v>44376.93453703704</v>
      </c>
      <c r="C3863" s="1" t="n">
        <v>45971</v>
      </c>
      <c r="D3863" t="inlineStr">
        <is>
          <t>VÄSTERBOTTENS LÄN</t>
        </is>
      </c>
      <c r="E3863" t="inlineStr">
        <is>
          <t>ÅSELE</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33226-2021</t>
        </is>
      </c>
      <c r="B3864" s="1" t="n">
        <v>44376</v>
      </c>
      <c r="C3864" s="1" t="n">
        <v>45971</v>
      </c>
      <c r="D3864" t="inlineStr">
        <is>
          <t>VÄSTERBOTTENS LÄN</t>
        </is>
      </c>
      <c r="E3864" t="inlineStr">
        <is>
          <t>VÄNNÄS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16719-2025</t>
        </is>
      </c>
      <c r="B3865" s="1" t="n">
        <v>45754.49008101852</v>
      </c>
      <c r="C3865" s="1" t="n">
        <v>45971</v>
      </c>
      <c r="D3865" t="inlineStr">
        <is>
          <t>VÄSTERBOTTENS LÄN</t>
        </is>
      </c>
      <c r="E3865" t="inlineStr">
        <is>
          <t>VILHELMINA</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29597-2024</t>
        </is>
      </c>
      <c r="B3866" s="1" t="n">
        <v>45484.58983796297</v>
      </c>
      <c r="C3866" s="1" t="n">
        <v>45971</v>
      </c>
      <c r="D3866" t="inlineStr">
        <is>
          <t>VÄSTERBOTTENS LÄN</t>
        </is>
      </c>
      <c r="E3866" t="inlineStr">
        <is>
          <t>ÅSELE</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17010-2025</t>
        </is>
      </c>
      <c r="B3867" s="1" t="n">
        <v>45754</v>
      </c>
      <c r="C3867" s="1" t="n">
        <v>45971</v>
      </c>
      <c r="D3867" t="inlineStr">
        <is>
          <t>VÄSTERBOTTENS LÄN</t>
        </is>
      </c>
      <c r="E3867" t="inlineStr">
        <is>
          <t>SKELLEFTEÅ</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62249-2022</t>
        </is>
      </c>
      <c r="B3868" s="1" t="n">
        <v>44922.92351851852</v>
      </c>
      <c r="C3868" s="1" t="n">
        <v>45971</v>
      </c>
      <c r="D3868" t="inlineStr">
        <is>
          <t>VÄSTERBOTTENS LÄN</t>
        </is>
      </c>
      <c r="E3868" t="inlineStr">
        <is>
          <t>SKELLEFTEÅ</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3756-2025</t>
        </is>
      </c>
      <c r="B3869" s="1" t="n">
        <v>45681</v>
      </c>
      <c r="C3869" s="1" t="n">
        <v>45971</v>
      </c>
      <c r="D3869" t="inlineStr">
        <is>
          <t>VÄSTERBOTTENS LÄN</t>
        </is>
      </c>
      <c r="E3869" t="inlineStr">
        <is>
          <t>SORSELE</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22113-2024</t>
        </is>
      </c>
      <c r="B3870" s="1" t="n">
        <v>45443</v>
      </c>
      <c r="C3870" s="1" t="n">
        <v>45971</v>
      </c>
      <c r="D3870" t="inlineStr">
        <is>
          <t>VÄSTERBOTTENS LÄN</t>
        </is>
      </c>
      <c r="E3870" t="inlineStr">
        <is>
          <t>ÅSELE</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32645-2024</t>
        </is>
      </c>
      <c r="B3871" s="1" t="n">
        <v>45513.96297453704</v>
      </c>
      <c r="C3871" s="1" t="n">
        <v>45971</v>
      </c>
      <c r="D3871" t="inlineStr">
        <is>
          <t>VÄSTERBOTTENS LÄN</t>
        </is>
      </c>
      <c r="E3871" t="inlineStr">
        <is>
          <t>VINDELN</t>
        </is>
      </c>
      <c r="F3871" t="inlineStr">
        <is>
          <t>SCA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8245-2024</t>
        </is>
      </c>
      <c r="B3872" s="1" t="n">
        <v>45351.98571759259</v>
      </c>
      <c r="C3872" s="1" t="n">
        <v>45971</v>
      </c>
      <c r="D3872" t="inlineStr">
        <is>
          <t>VÄSTERBOTTENS LÄN</t>
        </is>
      </c>
      <c r="E3872" t="inlineStr">
        <is>
          <t>DOROTEA</t>
        </is>
      </c>
      <c r="F3872" t="inlineStr">
        <is>
          <t>SCA</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8246-2024</t>
        </is>
      </c>
      <c r="B3873" s="1" t="n">
        <v>45351.98583333333</v>
      </c>
      <c r="C3873" s="1" t="n">
        <v>45971</v>
      </c>
      <c r="D3873" t="inlineStr">
        <is>
          <t>VÄSTERBOTTENS LÄN</t>
        </is>
      </c>
      <c r="E3873" t="inlineStr">
        <is>
          <t>DOROTEA</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17393-2023</t>
        </is>
      </c>
      <c r="B3874" s="1" t="n">
        <v>45035</v>
      </c>
      <c r="C3874" s="1" t="n">
        <v>45971</v>
      </c>
      <c r="D3874" t="inlineStr">
        <is>
          <t>VÄSTERBOTTENS LÄN</t>
        </is>
      </c>
      <c r="E3874" t="inlineStr">
        <is>
          <t>LYCKSELE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37325-2022</t>
        </is>
      </c>
      <c r="B3875" s="1" t="n">
        <v>44806</v>
      </c>
      <c r="C3875" s="1" t="n">
        <v>45971</v>
      </c>
      <c r="D3875" t="inlineStr">
        <is>
          <t>VÄSTERBOTTENS LÄN</t>
        </is>
      </c>
      <c r="E3875" t="inlineStr">
        <is>
          <t>VILHELMINA</t>
        </is>
      </c>
      <c r="F3875" t="inlineStr">
        <is>
          <t>Övriga statliga verk och myndigheter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17478-2023</t>
        </is>
      </c>
      <c r="B3876" s="1" t="n">
        <v>45034</v>
      </c>
      <c r="C3876" s="1" t="n">
        <v>45971</v>
      </c>
      <c r="D3876" t="inlineStr">
        <is>
          <t>VÄSTERBOTTENS LÄN</t>
        </is>
      </c>
      <c r="E3876" t="inlineStr">
        <is>
          <t>SKELLEFTEÅ</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52312-2022</t>
        </is>
      </c>
      <c r="B3877" s="1" t="n">
        <v>44873</v>
      </c>
      <c r="C3877" s="1" t="n">
        <v>45971</v>
      </c>
      <c r="D3877" t="inlineStr">
        <is>
          <t>VÄSTERBOTTENS LÄN</t>
        </is>
      </c>
      <c r="E3877" t="inlineStr">
        <is>
          <t>UMEÅ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16201-2025</t>
        </is>
      </c>
      <c r="B3878" s="1" t="n">
        <v>45750</v>
      </c>
      <c r="C3878" s="1" t="n">
        <v>45971</v>
      </c>
      <c r="D3878" t="inlineStr">
        <is>
          <t>VÄSTERBOTTENS LÄN</t>
        </is>
      </c>
      <c r="E3878" t="inlineStr">
        <is>
          <t>SKELLEFTEÅ</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59135-2022</t>
        </is>
      </c>
      <c r="B3879" s="1" t="n">
        <v>44904.44421296296</v>
      </c>
      <c r="C3879" s="1" t="n">
        <v>45971</v>
      </c>
      <c r="D3879" t="inlineStr">
        <is>
          <t>VÄSTERBOTTENS LÄN</t>
        </is>
      </c>
      <c r="E3879" t="inlineStr">
        <is>
          <t>NORSJÖ</t>
        </is>
      </c>
      <c r="F3879" t="inlineStr">
        <is>
          <t>Sveaskog</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28094-2021</t>
        </is>
      </c>
      <c r="B3880" s="1" t="n">
        <v>44355</v>
      </c>
      <c r="C3880" s="1" t="n">
        <v>45971</v>
      </c>
      <c r="D3880" t="inlineStr">
        <is>
          <t>VÄSTERBOTTENS LÄN</t>
        </is>
      </c>
      <c r="E3880" t="inlineStr">
        <is>
          <t>SORSELE</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33460-2022</t>
        </is>
      </c>
      <c r="B3881" s="1" t="n">
        <v>44788.6674537037</v>
      </c>
      <c r="C3881" s="1" t="n">
        <v>45971</v>
      </c>
      <c r="D3881" t="inlineStr">
        <is>
          <t>VÄSTERBOTTENS LÄN</t>
        </is>
      </c>
      <c r="E3881" t="inlineStr">
        <is>
          <t>BJURHOLM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52370-2022</t>
        </is>
      </c>
      <c r="B3882" s="1" t="n">
        <v>44874</v>
      </c>
      <c r="C3882" s="1" t="n">
        <v>45971</v>
      </c>
      <c r="D3882" t="inlineStr">
        <is>
          <t>VÄSTERBOTTENS LÄN</t>
        </is>
      </c>
      <c r="E3882" t="inlineStr">
        <is>
          <t>LYCKSELE</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36297-2024</t>
        </is>
      </c>
      <c r="B3883" s="1" t="n">
        <v>45534.6054050926</v>
      </c>
      <c r="C3883" s="1" t="n">
        <v>45971</v>
      </c>
      <c r="D3883" t="inlineStr">
        <is>
          <t>VÄSTERBOTTENS LÄN</t>
        </is>
      </c>
      <c r="E3883" t="inlineStr">
        <is>
          <t>SKELLEFTEÅ</t>
        </is>
      </c>
      <c r="F3883" t="inlineStr">
        <is>
          <t>Sveaskog</t>
        </is>
      </c>
      <c r="G3883" t="n">
        <v>20.9</v>
      </c>
      <c r="H3883" t="n">
        <v>0</v>
      </c>
      <c r="I3883" t="n">
        <v>0</v>
      </c>
      <c r="J3883" t="n">
        <v>0</v>
      </c>
      <c r="K3883" t="n">
        <v>0</v>
      </c>
      <c r="L3883" t="n">
        <v>0</v>
      </c>
      <c r="M3883" t="n">
        <v>0</v>
      </c>
      <c r="N3883" t="n">
        <v>0</v>
      </c>
      <c r="O3883" t="n">
        <v>0</v>
      </c>
      <c r="P3883" t="n">
        <v>0</v>
      </c>
      <c r="Q3883" t="n">
        <v>0</v>
      </c>
      <c r="R3883" s="2" t="inlineStr"/>
    </row>
    <row r="3884" ht="15" customHeight="1">
      <c r="A3884" t="inlineStr">
        <is>
          <t>A 32647-2024</t>
        </is>
      </c>
      <c r="B3884" s="1" t="n">
        <v>45513.9633912037</v>
      </c>
      <c r="C3884" s="1" t="n">
        <v>45971</v>
      </c>
      <c r="D3884" t="inlineStr">
        <is>
          <t>VÄSTERBOTTENS LÄN</t>
        </is>
      </c>
      <c r="E3884" t="inlineStr">
        <is>
          <t>VINDELN</t>
        </is>
      </c>
      <c r="F3884" t="inlineStr">
        <is>
          <t>SCA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36978-2024</t>
        </is>
      </c>
      <c r="B3885" s="1" t="n">
        <v>45539</v>
      </c>
      <c r="C3885" s="1" t="n">
        <v>45971</v>
      </c>
      <c r="D3885" t="inlineStr">
        <is>
          <t>VÄSTERBOTTENS LÄN</t>
        </is>
      </c>
      <c r="E3885" t="inlineStr">
        <is>
          <t>BJURHOLM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39590-2021</t>
        </is>
      </c>
      <c r="B3886" s="1" t="n">
        <v>44413</v>
      </c>
      <c r="C3886" s="1" t="n">
        <v>45971</v>
      </c>
      <c r="D3886" t="inlineStr">
        <is>
          <t>VÄSTERBOTTENS LÄN</t>
        </is>
      </c>
      <c r="E3886" t="inlineStr">
        <is>
          <t>SKELLEFTEÅ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1419-2023</t>
        </is>
      </c>
      <c r="B3887" s="1" t="n">
        <v>44936</v>
      </c>
      <c r="C3887" s="1" t="n">
        <v>45971</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59180-2021</t>
        </is>
      </c>
      <c r="B3888" s="1" t="n">
        <v>44489</v>
      </c>
      <c r="C3888" s="1" t="n">
        <v>45971</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18101-2021</t>
        </is>
      </c>
      <c r="B3889" s="1" t="n">
        <v>44302</v>
      </c>
      <c r="C3889" s="1" t="n">
        <v>45971</v>
      </c>
      <c r="D3889" t="inlineStr">
        <is>
          <t>VÄSTERBOTTENS LÄN</t>
        </is>
      </c>
      <c r="E3889" t="inlineStr">
        <is>
          <t>SKELLEFTEÅ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13533-2023</t>
        </is>
      </c>
      <c r="B3890" s="1" t="n">
        <v>45005</v>
      </c>
      <c r="C3890" s="1" t="n">
        <v>45971</v>
      </c>
      <c r="D3890" t="inlineStr">
        <is>
          <t>VÄSTERBOTTENS LÄN</t>
        </is>
      </c>
      <c r="E3890" t="inlineStr">
        <is>
          <t>ROBERTSFORS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7112-2023</t>
        </is>
      </c>
      <c r="B3891" s="1" t="n">
        <v>44965</v>
      </c>
      <c r="C3891" s="1" t="n">
        <v>45971</v>
      </c>
      <c r="D3891" t="inlineStr">
        <is>
          <t>VÄSTERBOTTENS LÄN</t>
        </is>
      </c>
      <c r="E3891" t="inlineStr">
        <is>
          <t>VINDELN</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18291-2025</t>
        </is>
      </c>
      <c r="B3892" s="1" t="n">
        <v>45762.41027777778</v>
      </c>
      <c r="C3892" s="1" t="n">
        <v>45971</v>
      </c>
      <c r="D3892" t="inlineStr">
        <is>
          <t>VÄSTERBOTTENS LÄN</t>
        </is>
      </c>
      <c r="E3892" t="inlineStr">
        <is>
          <t>SKELLEFTEÅ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35102-2023</t>
        </is>
      </c>
      <c r="B3893" s="1" t="n">
        <v>45145.46237268519</v>
      </c>
      <c r="C3893" s="1" t="n">
        <v>45971</v>
      </c>
      <c r="D3893" t="inlineStr">
        <is>
          <t>VÄSTERBOTTENS LÄN</t>
        </is>
      </c>
      <c r="E3893" t="inlineStr">
        <is>
          <t>SKELLEFTEÅ</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35227-2023</t>
        </is>
      </c>
      <c r="B3894" s="1" t="n">
        <v>45145.64986111111</v>
      </c>
      <c r="C3894" s="1" t="n">
        <v>45971</v>
      </c>
      <c r="D3894" t="inlineStr">
        <is>
          <t>VÄSTERBOTTENS LÄN</t>
        </is>
      </c>
      <c r="E3894" t="inlineStr">
        <is>
          <t>LYCKSELE</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41728-2023</t>
        </is>
      </c>
      <c r="B3895" s="1" t="n">
        <v>45176</v>
      </c>
      <c r="C3895" s="1" t="n">
        <v>45971</v>
      </c>
      <c r="D3895" t="inlineStr">
        <is>
          <t>VÄSTERBOTTENS LÄN</t>
        </is>
      </c>
      <c r="E3895" t="inlineStr">
        <is>
          <t>LYCKSELE</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63771-2023</t>
        </is>
      </c>
      <c r="B3896" s="1" t="n">
        <v>45278</v>
      </c>
      <c r="C3896" s="1" t="n">
        <v>45971</v>
      </c>
      <c r="D3896" t="inlineStr">
        <is>
          <t>VÄSTERBOTTENS LÄN</t>
        </is>
      </c>
      <c r="E3896" t="inlineStr">
        <is>
          <t>ROBERTSFORS</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50278-2024</t>
        </is>
      </c>
      <c r="B3897" s="1" t="n">
        <v>45600.60490740741</v>
      </c>
      <c r="C3897" s="1" t="n">
        <v>45971</v>
      </c>
      <c r="D3897" t="inlineStr">
        <is>
          <t>VÄSTERBOTTENS LÄN</t>
        </is>
      </c>
      <c r="E3897" t="inlineStr">
        <is>
          <t>VINDELN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51810-2024</t>
        </is>
      </c>
      <c r="B3898" s="1" t="n">
        <v>45607.48707175926</v>
      </c>
      <c r="C3898" s="1" t="n">
        <v>45971</v>
      </c>
      <c r="D3898" t="inlineStr">
        <is>
          <t>VÄSTERBOTTENS LÄN</t>
        </is>
      </c>
      <c r="E3898" t="inlineStr">
        <is>
          <t>SKELLEFTEÅ</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33379-2021</t>
        </is>
      </c>
      <c r="B3899" s="1" t="n">
        <v>44377</v>
      </c>
      <c r="C3899" s="1" t="n">
        <v>45971</v>
      </c>
      <c r="D3899" t="inlineStr">
        <is>
          <t>VÄSTERBOTTENS LÄN</t>
        </is>
      </c>
      <c r="E3899" t="inlineStr">
        <is>
          <t>ROBERTSFORS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5006-2024</t>
        </is>
      </c>
      <c r="B3900" s="1" t="n">
        <v>45329</v>
      </c>
      <c r="C3900" s="1" t="n">
        <v>45971</v>
      </c>
      <c r="D3900" t="inlineStr">
        <is>
          <t>VÄSTERBOTTENS LÄN</t>
        </is>
      </c>
      <c r="E3900" t="inlineStr">
        <is>
          <t>ÅSELE</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50615-2024</t>
        </is>
      </c>
      <c r="B3901" s="1" t="n">
        <v>45601</v>
      </c>
      <c r="C3901" s="1" t="n">
        <v>45971</v>
      </c>
      <c r="D3901" t="inlineStr">
        <is>
          <t>VÄSTERBOTTENS LÄN</t>
        </is>
      </c>
      <c r="E3901" t="inlineStr">
        <is>
          <t>VINDELN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19915-2025</t>
        </is>
      </c>
      <c r="B3902" s="1" t="n">
        <v>45771</v>
      </c>
      <c r="C3902" s="1" t="n">
        <v>45971</v>
      </c>
      <c r="D3902" t="inlineStr">
        <is>
          <t>VÄSTERBOTTENS LÄN</t>
        </is>
      </c>
      <c r="E3902" t="inlineStr">
        <is>
          <t>DOROTEA</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5013-2024</t>
        </is>
      </c>
      <c r="B3903" s="1" t="n">
        <v>45329</v>
      </c>
      <c r="C3903" s="1" t="n">
        <v>45971</v>
      </c>
      <c r="D3903" t="inlineStr">
        <is>
          <t>VÄSTERBOTTENS LÄN</t>
        </is>
      </c>
      <c r="E3903" t="inlineStr">
        <is>
          <t>ÅSELE</t>
        </is>
      </c>
      <c r="F3903" t="inlineStr">
        <is>
          <t>Övriga Aktiebolag</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49481-2024</t>
        </is>
      </c>
      <c r="B3904" s="1" t="n">
        <v>45596.3479050926</v>
      </c>
      <c r="C3904" s="1" t="n">
        <v>45971</v>
      </c>
      <c r="D3904" t="inlineStr">
        <is>
          <t>VÄSTERBOTTENS LÄN</t>
        </is>
      </c>
      <c r="E3904" t="inlineStr">
        <is>
          <t>NORSJÖ</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49031-2024</t>
        </is>
      </c>
      <c r="B3905" s="1" t="n">
        <v>45594.53015046296</v>
      </c>
      <c r="C3905" s="1" t="n">
        <v>45971</v>
      </c>
      <c r="D3905" t="inlineStr">
        <is>
          <t>VÄSTERBOTTENS LÄN</t>
        </is>
      </c>
      <c r="E3905" t="inlineStr">
        <is>
          <t>ROBERTSFORS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56539-2024</t>
        </is>
      </c>
      <c r="B3906" s="1" t="n">
        <v>45625</v>
      </c>
      <c r="C3906" s="1" t="n">
        <v>45971</v>
      </c>
      <c r="D3906" t="inlineStr">
        <is>
          <t>VÄSTERBOTTENS LÄN</t>
        </is>
      </c>
      <c r="E3906" t="inlineStr">
        <is>
          <t>SKELLEFTEÅ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11299-2025</t>
        </is>
      </c>
      <c r="B3907" s="1" t="n">
        <v>45726.44050925926</v>
      </c>
      <c r="C3907" s="1" t="n">
        <v>45971</v>
      </c>
      <c r="D3907" t="inlineStr">
        <is>
          <t>VÄSTERBOTTENS LÄN</t>
        </is>
      </c>
      <c r="E3907" t="inlineStr">
        <is>
          <t>MALÅ</t>
        </is>
      </c>
      <c r="F3907" t="inlineStr">
        <is>
          <t>Sveaskog</t>
        </is>
      </c>
      <c r="G3907" t="n">
        <v>37.2</v>
      </c>
      <c r="H3907" t="n">
        <v>0</v>
      </c>
      <c r="I3907" t="n">
        <v>0</v>
      </c>
      <c r="J3907" t="n">
        <v>0</v>
      </c>
      <c r="K3907" t="n">
        <v>0</v>
      </c>
      <c r="L3907" t="n">
        <v>0</v>
      </c>
      <c r="M3907" t="n">
        <v>0</v>
      </c>
      <c r="N3907" t="n">
        <v>0</v>
      </c>
      <c r="O3907" t="n">
        <v>0</v>
      </c>
      <c r="P3907" t="n">
        <v>0</v>
      </c>
      <c r="Q3907" t="n">
        <v>0</v>
      </c>
      <c r="R3907" s="2" t="inlineStr"/>
    </row>
    <row r="3908" ht="15" customHeight="1">
      <c r="A3908" t="inlineStr">
        <is>
          <t>A 10586-2025</t>
        </is>
      </c>
      <c r="B3908" s="1" t="n">
        <v>45721.5528587963</v>
      </c>
      <c r="C3908" s="1" t="n">
        <v>45971</v>
      </c>
      <c r="D3908" t="inlineStr">
        <is>
          <t>VÄSTERBOTTENS LÄN</t>
        </is>
      </c>
      <c r="E3908" t="inlineStr">
        <is>
          <t>LYCKSELE</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5500-2022</t>
        </is>
      </c>
      <c r="B3909" s="1" t="n">
        <v>44595</v>
      </c>
      <c r="C3909" s="1" t="n">
        <v>45971</v>
      </c>
      <c r="D3909" t="inlineStr">
        <is>
          <t>VÄSTERBOTTENS LÄN</t>
        </is>
      </c>
      <c r="E3909" t="inlineStr">
        <is>
          <t>STORUMAN</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54992-2024</t>
        </is>
      </c>
      <c r="B3910" s="1" t="n">
        <v>45620.91673611111</v>
      </c>
      <c r="C3910" s="1" t="n">
        <v>45971</v>
      </c>
      <c r="D3910" t="inlineStr">
        <is>
          <t>VÄSTERBOTTENS LÄN</t>
        </is>
      </c>
      <c r="E3910" t="inlineStr">
        <is>
          <t>ÅSELE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1058-2023</t>
        </is>
      </c>
      <c r="B3911" s="1" t="n">
        <v>44929</v>
      </c>
      <c r="C3911" s="1" t="n">
        <v>45971</v>
      </c>
      <c r="D3911" t="inlineStr">
        <is>
          <t>VÄSTERBOTTENS LÄN</t>
        </is>
      </c>
      <c r="E3911" t="inlineStr">
        <is>
          <t>VÄNNÄS</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1076-2023</t>
        </is>
      </c>
      <c r="B3912" s="1" t="n">
        <v>44929</v>
      </c>
      <c r="C3912" s="1" t="n">
        <v>45971</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11321-2023</t>
        </is>
      </c>
      <c r="B3913" s="1" t="n">
        <v>44993.01305555556</v>
      </c>
      <c r="C3913" s="1" t="n">
        <v>45971</v>
      </c>
      <c r="D3913" t="inlineStr">
        <is>
          <t>VÄSTERBOTTENS LÄN</t>
        </is>
      </c>
      <c r="E3913" t="inlineStr">
        <is>
          <t>ÅSELE</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55672-2023</t>
        </is>
      </c>
      <c r="B3914" s="1" t="n">
        <v>45238</v>
      </c>
      <c r="C3914" s="1" t="n">
        <v>45971</v>
      </c>
      <c r="D3914" t="inlineStr">
        <is>
          <t>VÄSTERBOTTENS LÄN</t>
        </is>
      </c>
      <c r="E3914" t="inlineStr">
        <is>
          <t>MALÅ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7700-2025</t>
        </is>
      </c>
      <c r="B3915" s="1" t="n">
        <v>45706</v>
      </c>
      <c r="C3915" s="1" t="n">
        <v>45971</v>
      </c>
      <c r="D3915" t="inlineStr">
        <is>
          <t>VÄSTERBOTTENS LÄN</t>
        </is>
      </c>
      <c r="E3915" t="inlineStr">
        <is>
          <t>VINDELN</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7430-2022</t>
        </is>
      </c>
      <c r="B3916" s="1" t="n">
        <v>44606.933125</v>
      </c>
      <c r="C3916" s="1" t="n">
        <v>45971</v>
      </c>
      <c r="D3916" t="inlineStr">
        <is>
          <t>VÄSTERBOTTENS LÄN</t>
        </is>
      </c>
      <c r="E3916" t="inlineStr">
        <is>
          <t>UMEÅ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32227-2024</t>
        </is>
      </c>
      <c r="B3917" s="1" t="n">
        <v>45511.92836805555</v>
      </c>
      <c r="C3917" s="1" t="n">
        <v>45971</v>
      </c>
      <c r="D3917" t="inlineStr">
        <is>
          <t>VÄSTERBOTTENS LÄN</t>
        </is>
      </c>
      <c r="E3917" t="inlineStr">
        <is>
          <t>NORSJÖ</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32229-2024</t>
        </is>
      </c>
      <c r="B3918" s="1" t="n">
        <v>45511.9284837963</v>
      </c>
      <c r="C3918" s="1" t="n">
        <v>45971</v>
      </c>
      <c r="D3918" t="inlineStr">
        <is>
          <t>VÄSTERBOTTENS LÄN</t>
        </is>
      </c>
      <c r="E3918" t="inlineStr">
        <is>
          <t>NORSJÖ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32231-2024</t>
        </is>
      </c>
      <c r="B3919" s="1" t="n">
        <v>45511.92864583333</v>
      </c>
      <c r="C3919" s="1" t="n">
        <v>45971</v>
      </c>
      <c r="D3919" t="inlineStr">
        <is>
          <t>VÄSTERBOTTENS LÄN</t>
        </is>
      </c>
      <c r="E3919" t="inlineStr">
        <is>
          <t>NORSJÖ</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55720-2023</t>
        </is>
      </c>
      <c r="B3920" s="1" t="n">
        <v>45232</v>
      </c>
      <c r="C3920" s="1" t="n">
        <v>45971</v>
      </c>
      <c r="D3920" t="inlineStr">
        <is>
          <t>VÄSTERBOTTENS LÄN</t>
        </is>
      </c>
      <c r="E3920" t="inlineStr">
        <is>
          <t>VILHELMINA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20508-2025</t>
        </is>
      </c>
      <c r="B3921" s="1" t="n">
        <v>45775</v>
      </c>
      <c r="C3921" s="1" t="n">
        <v>45971</v>
      </c>
      <c r="D3921" t="inlineStr">
        <is>
          <t>VÄSTERBOTTENS LÄN</t>
        </is>
      </c>
      <c r="E3921" t="inlineStr">
        <is>
          <t>LYCKSELE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26645-2023</t>
        </is>
      </c>
      <c r="B3922" s="1" t="n">
        <v>45092.92415509259</v>
      </c>
      <c r="C3922" s="1" t="n">
        <v>45971</v>
      </c>
      <c r="D3922" t="inlineStr">
        <is>
          <t>VÄSTERBOTTENS LÄN</t>
        </is>
      </c>
      <c r="E3922" t="inlineStr">
        <is>
          <t>SKELLEFTEÅ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26677-2023</t>
        </is>
      </c>
      <c r="B3923" s="1" t="n">
        <v>45093.31925925926</v>
      </c>
      <c r="C3923" s="1" t="n">
        <v>45971</v>
      </c>
      <c r="D3923" t="inlineStr">
        <is>
          <t>VÄSTERBOTTENS LÄN</t>
        </is>
      </c>
      <c r="E3923" t="inlineStr">
        <is>
          <t>ÅSELE</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12045-2024</t>
        </is>
      </c>
      <c r="B3924" s="1" t="n">
        <v>45377</v>
      </c>
      <c r="C3924" s="1" t="n">
        <v>45971</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30306-2024</t>
        </is>
      </c>
      <c r="B3925" s="1" t="n">
        <v>45490.69914351852</v>
      </c>
      <c r="C3925" s="1" t="n">
        <v>45971</v>
      </c>
      <c r="D3925" t="inlineStr">
        <is>
          <t>VÄSTERBOTTENS LÄN</t>
        </is>
      </c>
      <c r="E3925" t="inlineStr">
        <is>
          <t>LYCKSELE</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37856-2024</t>
        </is>
      </c>
      <c r="B3926" s="1" t="n">
        <v>45544</v>
      </c>
      <c r="C3926" s="1" t="n">
        <v>45971</v>
      </c>
      <c r="D3926" t="inlineStr">
        <is>
          <t>VÄSTERBOTTENS LÄN</t>
        </is>
      </c>
      <c r="E3926" t="inlineStr">
        <is>
          <t>UMEÅ</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32489-2024</t>
        </is>
      </c>
      <c r="B3927" s="1" t="n">
        <v>45513.38631944444</v>
      </c>
      <c r="C3927" s="1" t="n">
        <v>45971</v>
      </c>
      <c r="D3927" t="inlineStr">
        <is>
          <t>VÄSTERBOTTENS LÄN</t>
        </is>
      </c>
      <c r="E3927" t="inlineStr">
        <is>
          <t>VINDELN</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68665-2021</t>
        </is>
      </c>
      <c r="B3928" s="1" t="n">
        <v>44529</v>
      </c>
      <c r="C3928" s="1" t="n">
        <v>45971</v>
      </c>
      <c r="D3928" t="inlineStr">
        <is>
          <t>VÄSTERBOTTENS LÄN</t>
        </is>
      </c>
      <c r="E3928" t="inlineStr">
        <is>
          <t>LYCKSELE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19839-2024</t>
        </is>
      </c>
      <c r="B3929" s="1" t="n">
        <v>45433</v>
      </c>
      <c r="C3929" s="1" t="n">
        <v>45971</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2761-2025</t>
        </is>
      </c>
      <c r="B3930" s="1" t="n">
        <v>45677.48184027777</v>
      </c>
      <c r="C3930" s="1" t="n">
        <v>45971</v>
      </c>
      <c r="D3930" t="inlineStr">
        <is>
          <t>VÄSTERBOTTENS LÄN</t>
        </is>
      </c>
      <c r="E3930" t="inlineStr">
        <is>
          <t>LYCKSELE</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12798-2024</t>
        </is>
      </c>
      <c r="B3931" s="1" t="n">
        <v>45384</v>
      </c>
      <c r="C3931" s="1" t="n">
        <v>45971</v>
      </c>
      <c r="D3931" t="inlineStr">
        <is>
          <t>VÄSTERBOTTENS LÄN</t>
        </is>
      </c>
      <c r="E3931" t="inlineStr">
        <is>
          <t>SKELLEFTEÅ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38363-2023</t>
        </is>
      </c>
      <c r="B3932" s="1" t="n">
        <v>45161</v>
      </c>
      <c r="C3932" s="1" t="n">
        <v>45971</v>
      </c>
      <c r="D3932" t="inlineStr">
        <is>
          <t>VÄSTERBOTTENS LÄN</t>
        </is>
      </c>
      <c r="E3932" t="inlineStr">
        <is>
          <t>VILHELMINA</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10918-2023</t>
        </is>
      </c>
      <c r="B3933" s="1" t="n">
        <v>44991</v>
      </c>
      <c r="C3933" s="1" t="n">
        <v>45971</v>
      </c>
      <c r="D3933" t="inlineStr">
        <is>
          <t>VÄSTERBOTTENS LÄN</t>
        </is>
      </c>
      <c r="E3933" t="inlineStr">
        <is>
          <t>BJURHOLM</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8733-2023</t>
        </is>
      </c>
      <c r="B3934" s="1" t="n">
        <v>44972</v>
      </c>
      <c r="C3934" s="1" t="n">
        <v>45971</v>
      </c>
      <c r="D3934" t="inlineStr">
        <is>
          <t>VÄSTERBOTTENS LÄN</t>
        </is>
      </c>
      <c r="E3934" t="inlineStr">
        <is>
          <t>VILHELMINA</t>
        </is>
      </c>
      <c r="F3934" t="inlineStr">
        <is>
          <t>Allmännings- och besparingsskogar</t>
        </is>
      </c>
      <c r="G3934" t="n">
        <v>20</v>
      </c>
      <c r="H3934" t="n">
        <v>0</v>
      </c>
      <c r="I3934" t="n">
        <v>0</v>
      </c>
      <c r="J3934" t="n">
        <v>0</v>
      </c>
      <c r="K3934" t="n">
        <v>0</v>
      </c>
      <c r="L3934" t="n">
        <v>0</v>
      </c>
      <c r="M3934" t="n">
        <v>0</v>
      </c>
      <c r="N3934" t="n">
        <v>0</v>
      </c>
      <c r="O3934" t="n">
        <v>0</v>
      </c>
      <c r="P3934" t="n">
        <v>0</v>
      </c>
      <c r="Q3934" t="n">
        <v>0</v>
      </c>
      <c r="R3934" s="2" t="inlineStr"/>
    </row>
    <row r="3935" ht="15" customHeight="1">
      <c r="A3935" t="inlineStr">
        <is>
          <t>A 45102-2023</t>
        </is>
      </c>
      <c r="B3935" s="1" t="n">
        <v>45190</v>
      </c>
      <c r="C3935" s="1" t="n">
        <v>45971</v>
      </c>
      <c r="D3935" t="inlineStr">
        <is>
          <t>VÄSTERBOTTENS LÄN</t>
        </is>
      </c>
      <c r="E3935" t="inlineStr">
        <is>
          <t>MALÅ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1407-2023</t>
        </is>
      </c>
      <c r="B3936" s="1" t="n">
        <v>44936</v>
      </c>
      <c r="C3936" s="1" t="n">
        <v>45971</v>
      </c>
      <c r="D3936" t="inlineStr">
        <is>
          <t>VÄSTERBOTTENS LÄN</t>
        </is>
      </c>
      <c r="E3936" t="inlineStr">
        <is>
          <t>ÅSELE</t>
        </is>
      </c>
      <c r="G3936" t="n">
        <v>11.5</v>
      </c>
      <c r="H3936" t="n">
        <v>0</v>
      </c>
      <c r="I3936" t="n">
        <v>0</v>
      </c>
      <c r="J3936" t="n">
        <v>0</v>
      </c>
      <c r="K3936" t="n">
        <v>0</v>
      </c>
      <c r="L3936" t="n">
        <v>0</v>
      </c>
      <c r="M3936" t="n">
        <v>0</v>
      </c>
      <c r="N3936" t="n">
        <v>0</v>
      </c>
      <c r="O3936" t="n">
        <v>0</v>
      </c>
      <c r="P3936" t="n">
        <v>0</v>
      </c>
      <c r="Q3936" t="n">
        <v>0</v>
      </c>
      <c r="R3936" s="2" t="inlineStr"/>
    </row>
    <row r="3937" ht="15" customHeight="1">
      <c r="A3937" t="inlineStr">
        <is>
          <t>A 65688-2021</t>
        </is>
      </c>
      <c r="B3937" s="1" t="n">
        <v>44515</v>
      </c>
      <c r="C3937" s="1" t="n">
        <v>45971</v>
      </c>
      <c r="D3937" t="inlineStr">
        <is>
          <t>VÄSTERBOTTENS LÄN</t>
        </is>
      </c>
      <c r="E3937" t="inlineStr">
        <is>
          <t>NORDMALING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29656-2024</t>
        </is>
      </c>
      <c r="B3938" s="1" t="n">
        <v>45484.92354166666</v>
      </c>
      <c r="C3938" s="1" t="n">
        <v>45971</v>
      </c>
      <c r="D3938" t="inlineStr">
        <is>
          <t>VÄSTERBOTTENS LÄN</t>
        </is>
      </c>
      <c r="E3938" t="inlineStr">
        <is>
          <t>UMEÅ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8759-2023</t>
        </is>
      </c>
      <c r="B3939" s="1" t="n">
        <v>44972</v>
      </c>
      <c r="C3939" s="1" t="n">
        <v>45971</v>
      </c>
      <c r="D3939" t="inlineStr">
        <is>
          <t>VÄSTERBOTTENS LÄN</t>
        </is>
      </c>
      <c r="E3939" t="inlineStr">
        <is>
          <t>VILHELMINA</t>
        </is>
      </c>
      <c r="F3939" t="inlineStr">
        <is>
          <t>Allmännings- och besparingsskogar</t>
        </is>
      </c>
      <c r="G3939" t="n">
        <v>23.4</v>
      </c>
      <c r="H3939" t="n">
        <v>0</v>
      </c>
      <c r="I3939" t="n">
        <v>0</v>
      </c>
      <c r="J3939" t="n">
        <v>0</v>
      </c>
      <c r="K3939" t="n">
        <v>0</v>
      </c>
      <c r="L3939" t="n">
        <v>0</v>
      </c>
      <c r="M3939" t="n">
        <v>0</v>
      </c>
      <c r="N3939" t="n">
        <v>0</v>
      </c>
      <c r="O3939" t="n">
        <v>0</v>
      </c>
      <c r="P3939" t="n">
        <v>0</v>
      </c>
      <c r="Q3939" t="n">
        <v>0</v>
      </c>
      <c r="R3939" s="2" t="inlineStr"/>
    </row>
    <row r="3940" ht="15" customHeight="1">
      <c r="A3940" t="inlineStr">
        <is>
          <t>A 2813-2025</t>
        </is>
      </c>
      <c r="B3940" s="1" t="n">
        <v>45677.59814814815</v>
      </c>
      <c r="C3940" s="1" t="n">
        <v>45971</v>
      </c>
      <c r="D3940" t="inlineStr">
        <is>
          <t>VÄSTERBOTTENS LÄN</t>
        </is>
      </c>
      <c r="E3940" t="inlineStr">
        <is>
          <t>DOROTEA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22205-2024</t>
        </is>
      </c>
      <c r="B3941" s="1" t="n">
        <v>45446.37524305555</v>
      </c>
      <c r="C3941" s="1" t="n">
        <v>45971</v>
      </c>
      <c r="D3941" t="inlineStr">
        <is>
          <t>VÄSTERBOTTENS LÄN</t>
        </is>
      </c>
      <c r="E3941" t="inlineStr">
        <is>
          <t>SKELLEFTEÅ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43424-2024</t>
        </is>
      </c>
      <c r="B3942" s="1" t="n">
        <v>45568</v>
      </c>
      <c r="C3942" s="1" t="n">
        <v>45971</v>
      </c>
      <c r="D3942" t="inlineStr">
        <is>
          <t>VÄSTERBOTTENS LÄN</t>
        </is>
      </c>
      <c r="E3942" t="inlineStr">
        <is>
          <t>ROBERTSFORS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22502-2024</t>
        </is>
      </c>
      <c r="B3943" s="1" t="n">
        <v>45447</v>
      </c>
      <c r="C3943" s="1" t="n">
        <v>45971</v>
      </c>
      <c r="D3943" t="inlineStr">
        <is>
          <t>VÄSTERBOTTENS LÄN</t>
        </is>
      </c>
      <c r="E3943" t="inlineStr">
        <is>
          <t>BJURHOLM</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6225-2023</t>
        </is>
      </c>
      <c r="B3944" s="1" t="n">
        <v>44964.87805555556</v>
      </c>
      <c r="C3944" s="1" t="n">
        <v>45971</v>
      </c>
      <c r="D3944" t="inlineStr">
        <is>
          <t>VÄSTERBOTTENS LÄN</t>
        </is>
      </c>
      <c r="E3944" t="inlineStr">
        <is>
          <t>NORDMALING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18380-2025</t>
        </is>
      </c>
      <c r="B3945" s="1" t="n">
        <v>45762.57891203704</v>
      </c>
      <c r="C3945" s="1" t="n">
        <v>45971</v>
      </c>
      <c r="D3945" t="inlineStr">
        <is>
          <t>VÄSTERBOTTENS LÄN</t>
        </is>
      </c>
      <c r="E3945" t="inlineStr">
        <is>
          <t>VÄNNÄS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41360-2023</t>
        </is>
      </c>
      <c r="B3946" s="1" t="n">
        <v>45174</v>
      </c>
      <c r="C3946" s="1" t="n">
        <v>45971</v>
      </c>
      <c r="D3946" t="inlineStr">
        <is>
          <t>VÄSTERBOTTENS LÄN</t>
        </is>
      </c>
      <c r="E3946" t="inlineStr">
        <is>
          <t>MALÅ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41399-2023</t>
        </is>
      </c>
      <c r="B3947" s="1" t="n">
        <v>45174.93857638889</v>
      </c>
      <c r="C3947" s="1" t="n">
        <v>45971</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4008-2024</t>
        </is>
      </c>
      <c r="B3948" s="1" t="n">
        <v>45323</v>
      </c>
      <c r="C3948" s="1" t="n">
        <v>45971</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14806-2023</t>
        </is>
      </c>
      <c r="B3949" s="1" t="n">
        <v>45013</v>
      </c>
      <c r="C3949" s="1" t="n">
        <v>45971</v>
      </c>
      <c r="D3949" t="inlineStr">
        <is>
          <t>VÄSTERBOTTENS LÄN</t>
        </is>
      </c>
      <c r="E3949" t="inlineStr">
        <is>
          <t>DOROTEA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51724-2024</t>
        </is>
      </c>
      <c r="B3950" s="1" t="n">
        <v>45607.38243055555</v>
      </c>
      <c r="C3950" s="1" t="n">
        <v>45971</v>
      </c>
      <c r="D3950" t="inlineStr">
        <is>
          <t>VÄSTERBOTTENS LÄN</t>
        </is>
      </c>
      <c r="E3950" t="inlineStr">
        <is>
          <t>NORSJÖ</t>
        </is>
      </c>
      <c r="F3950" t="inlineStr">
        <is>
          <t>Holmen skog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35114-2024</t>
        </is>
      </c>
      <c r="B3951" s="1" t="n">
        <v>45529.92038194444</v>
      </c>
      <c r="C3951" s="1" t="n">
        <v>45971</v>
      </c>
      <c r="D3951" t="inlineStr">
        <is>
          <t>VÄSTERBOTTENS LÄN</t>
        </is>
      </c>
      <c r="E3951" t="inlineStr">
        <is>
          <t>SKELLEFTEÅ</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35124-2024</t>
        </is>
      </c>
      <c r="B3952" s="1" t="n">
        <v>45530</v>
      </c>
      <c r="C3952" s="1" t="n">
        <v>45971</v>
      </c>
      <c r="D3952" t="inlineStr">
        <is>
          <t>VÄSTERBOTTENS LÄN</t>
        </is>
      </c>
      <c r="E3952" t="inlineStr">
        <is>
          <t>VINDELN</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56830-2023</t>
        </is>
      </c>
      <c r="B3953" s="1" t="n">
        <v>45238</v>
      </c>
      <c r="C3953" s="1" t="n">
        <v>45971</v>
      </c>
      <c r="D3953" t="inlineStr">
        <is>
          <t>VÄSTERBOTTENS LÄN</t>
        </is>
      </c>
      <c r="E3953" t="inlineStr">
        <is>
          <t>VILHELMINA</t>
        </is>
      </c>
      <c r="F3953" t="inlineStr">
        <is>
          <t>Allmännings- och besparingsskogar</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56847-2023</t>
        </is>
      </c>
      <c r="B3954" s="1" t="n">
        <v>45238</v>
      </c>
      <c r="C3954" s="1" t="n">
        <v>45971</v>
      </c>
      <c r="D3954" t="inlineStr">
        <is>
          <t>VÄSTERBOTTENS LÄN</t>
        </is>
      </c>
      <c r="E3954" t="inlineStr">
        <is>
          <t>VILHELMINA</t>
        </is>
      </c>
      <c r="F3954" t="inlineStr">
        <is>
          <t>Allmännings- och besparingsskogar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13756-2025</t>
        </is>
      </c>
      <c r="B3955" s="1" t="n">
        <v>45737.41623842593</v>
      </c>
      <c r="C3955" s="1" t="n">
        <v>45971</v>
      </c>
      <c r="D3955" t="inlineStr">
        <is>
          <t>VÄSTERBOTTENS LÄN</t>
        </is>
      </c>
      <c r="E3955" t="inlineStr">
        <is>
          <t>VINDELN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31372-2024</t>
        </is>
      </c>
      <c r="B3956" s="1" t="n">
        <v>45503</v>
      </c>
      <c r="C3956" s="1" t="n">
        <v>45971</v>
      </c>
      <c r="D3956" t="inlineStr">
        <is>
          <t>VÄSTERBOTTENS LÄN</t>
        </is>
      </c>
      <c r="E3956" t="inlineStr">
        <is>
          <t>LYCKSELE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57577-2022</t>
        </is>
      </c>
      <c r="B3957" s="1" t="n">
        <v>44896.92947916667</v>
      </c>
      <c r="C3957" s="1" t="n">
        <v>45971</v>
      </c>
      <c r="D3957" t="inlineStr">
        <is>
          <t>VÄSTERBOTTENS LÄN</t>
        </is>
      </c>
      <c r="E3957" t="inlineStr">
        <is>
          <t>SKELLEFTEÅ</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31575-2024</t>
        </is>
      </c>
      <c r="B3958" s="1" t="n">
        <v>45506</v>
      </c>
      <c r="C3958" s="1" t="n">
        <v>45971</v>
      </c>
      <c r="D3958" t="inlineStr">
        <is>
          <t>VÄSTERBOTTENS LÄN</t>
        </is>
      </c>
      <c r="E3958" t="inlineStr">
        <is>
          <t>BJURHOLM</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56258-2024</t>
        </is>
      </c>
      <c r="B3959" s="1" t="n">
        <v>45624.64472222222</v>
      </c>
      <c r="C3959" s="1" t="n">
        <v>45971</v>
      </c>
      <c r="D3959" t="inlineStr">
        <is>
          <t>VÄSTERBOTTENS LÄN</t>
        </is>
      </c>
      <c r="E3959" t="inlineStr">
        <is>
          <t>VÄNNÄS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56262-2024</t>
        </is>
      </c>
      <c r="B3960" s="1" t="n">
        <v>45624.65004629629</v>
      </c>
      <c r="C3960" s="1" t="n">
        <v>45971</v>
      </c>
      <c r="D3960" t="inlineStr">
        <is>
          <t>VÄSTERBOTTENS LÄN</t>
        </is>
      </c>
      <c r="E3960" t="inlineStr">
        <is>
          <t>VÄNNÄS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40087-2023</t>
        </is>
      </c>
      <c r="B3961" s="1" t="n">
        <v>45168</v>
      </c>
      <c r="C3961" s="1" t="n">
        <v>45971</v>
      </c>
      <c r="D3961" t="inlineStr">
        <is>
          <t>VÄSTERBOTTENS LÄN</t>
        </is>
      </c>
      <c r="E3961" t="inlineStr">
        <is>
          <t>NORSJÖ</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52584-2024</t>
        </is>
      </c>
      <c r="B3962" s="1" t="n">
        <v>45609.67881944445</v>
      </c>
      <c r="C3962" s="1" t="n">
        <v>45971</v>
      </c>
      <c r="D3962" t="inlineStr">
        <is>
          <t>VÄSTERBOTTENS LÄN</t>
        </is>
      </c>
      <c r="E3962" t="inlineStr">
        <is>
          <t>BJURHOLM</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31625-2024</t>
        </is>
      </c>
      <c r="B3963" s="1" t="n">
        <v>45506.50579861111</v>
      </c>
      <c r="C3963" s="1" t="n">
        <v>45971</v>
      </c>
      <c r="D3963" t="inlineStr">
        <is>
          <t>VÄSTERBOTTENS LÄN</t>
        </is>
      </c>
      <c r="E3963" t="inlineStr">
        <is>
          <t>VINDELN</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13999-2025</t>
        </is>
      </c>
      <c r="B3964" s="1" t="n">
        <v>45739</v>
      </c>
      <c r="C3964" s="1" t="n">
        <v>45971</v>
      </c>
      <c r="D3964" t="inlineStr">
        <is>
          <t>VÄSTERBOTTENS LÄN</t>
        </is>
      </c>
      <c r="E3964" t="inlineStr">
        <is>
          <t>VINDELN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33524-2021</t>
        </is>
      </c>
      <c r="B3965" s="1" t="n">
        <v>44377</v>
      </c>
      <c r="C3965" s="1" t="n">
        <v>45971</v>
      </c>
      <c r="D3965" t="inlineStr">
        <is>
          <t>VÄSTERBOTTENS LÄN</t>
        </is>
      </c>
      <c r="E3965" t="inlineStr">
        <is>
          <t>ÅSELE</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57883-2023</t>
        </is>
      </c>
      <c r="B3966" s="1" t="n">
        <v>45247.47055555556</v>
      </c>
      <c r="C3966" s="1" t="n">
        <v>45971</v>
      </c>
      <c r="D3966" t="inlineStr">
        <is>
          <t>VÄSTERBOTTENS LÄN</t>
        </is>
      </c>
      <c r="E3966" t="inlineStr">
        <is>
          <t>UMEÅ</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30385-2024</t>
        </is>
      </c>
      <c r="B3967" s="1" t="n">
        <v>45491.4734375</v>
      </c>
      <c r="C3967" s="1" t="n">
        <v>45971</v>
      </c>
      <c r="D3967" t="inlineStr">
        <is>
          <t>VÄSTERBOTTENS LÄN</t>
        </is>
      </c>
      <c r="E3967" t="inlineStr">
        <is>
          <t>ÅSELE</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30415-2024</t>
        </is>
      </c>
      <c r="B3968" s="1" t="n">
        <v>45491.64607638889</v>
      </c>
      <c r="C3968" s="1" t="n">
        <v>45971</v>
      </c>
      <c r="D3968" t="inlineStr">
        <is>
          <t>VÄSTERBOTTENS LÄN</t>
        </is>
      </c>
      <c r="E3968" t="inlineStr">
        <is>
          <t>SORSELE</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10112-2025</t>
        </is>
      </c>
      <c r="B3969" s="1" t="n">
        <v>45719</v>
      </c>
      <c r="C3969" s="1" t="n">
        <v>45971</v>
      </c>
      <c r="D3969" t="inlineStr">
        <is>
          <t>VÄSTERBOTTENS LÄN</t>
        </is>
      </c>
      <c r="E3969" t="inlineStr">
        <is>
          <t>NORSJÖ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36665-2024</t>
        </is>
      </c>
      <c r="B3970" s="1" t="n">
        <v>45537</v>
      </c>
      <c r="C3970" s="1" t="n">
        <v>45971</v>
      </c>
      <c r="D3970" t="inlineStr">
        <is>
          <t>VÄSTERBOTTENS LÄN</t>
        </is>
      </c>
      <c r="E3970" t="inlineStr">
        <is>
          <t>VINDELN</t>
        </is>
      </c>
      <c r="F3970" t="inlineStr">
        <is>
          <t>Sveaskog</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28977-2024</t>
        </is>
      </c>
      <c r="B3971" s="1" t="n">
        <v>45481.46547453704</v>
      </c>
      <c r="C3971" s="1" t="n">
        <v>45971</v>
      </c>
      <c r="D3971" t="inlineStr">
        <is>
          <t>VÄSTERBOTTENS LÄN</t>
        </is>
      </c>
      <c r="E3971" t="inlineStr">
        <is>
          <t>ÅSELE</t>
        </is>
      </c>
      <c r="F3971" t="inlineStr">
        <is>
          <t>Sveaskog</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20534-2025</t>
        </is>
      </c>
      <c r="B3972" s="1" t="n">
        <v>45775.61550925926</v>
      </c>
      <c r="C3972" s="1" t="n">
        <v>45971</v>
      </c>
      <c r="D3972" t="inlineStr">
        <is>
          <t>VÄSTERBOTTENS LÄN</t>
        </is>
      </c>
      <c r="E3972" t="inlineStr">
        <is>
          <t>VILHELMINA</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19270-2024</t>
        </is>
      </c>
      <c r="B3973" s="1" t="n">
        <v>45428</v>
      </c>
      <c r="C3973" s="1" t="n">
        <v>45971</v>
      </c>
      <c r="D3973" t="inlineStr">
        <is>
          <t>VÄSTERBOTTENS LÄN</t>
        </is>
      </c>
      <c r="E3973" t="inlineStr">
        <is>
          <t>LYCKSELE</t>
        </is>
      </c>
      <c r="F3973" t="inlineStr">
        <is>
          <t>Holmen skog AB</t>
        </is>
      </c>
      <c r="G3973" t="n">
        <v>11.1</v>
      </c>
      <c r="H3973" t="n">
        <v>0</v>
      </c>
      <c r="I3973" t="n">
        <v>0</v>
      </c>
      <c r="J3973" t="n">
        <v>0</v>
      </c>
      <c r="K3973" t="n">
        <v>0</v>
      </c>
      <c r="L3973" t="n">
        <v>0</v>
      </c>
      <c r="M3973" t="n">
        <v>0</v>
      </c>
      <c r="N3973" t="n">
        <v>0</v>
      </c>
      <c r="O3973" t="n">
        <v>0</v>
      </c>
      <c r="P3973" t="n">
        <v>0</v>
      </c>
      <c r="Q3973" t="n">
        <v>0</v>
      </c>
      <c r="R3973" s="2" t="inlineStr"/>
    </row>
    <row r="3974" ht="15" customHeight="1">
      <c r="A3974" t="inlineStr">
        <is>
          <t>A 36713-2024</t>
        </is>
      </c>
      <c r="B3974" s="1" t="n">
        <v>45537</v>
      </c>
      <c r="C3974" s="1" t="n">
        <v>45971</v>
      </c>
      <c r="D3974" t="inlineStr">
        <is>
          <t>VÄSTERBOTTENS LÄN</t>
        </is>
      </c>
      <c r="E3974" t="inlineStr">
        <is>
          <t>STORUMAN</t>
        </is>
      </c>
      <c r="F3974" t="inlineStr">
        <is>
          <t>Holmen skog AB</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33724-2024</t>
        </is>
      </c>
      <c r="B3975" s="1" t="n">
        <v>45520.54362268518</v>
      </c>
      <c r="C3975" s="1" t="n">
        <v>45971</v>
      </c>
      <c r="D3975" t="inlineStr">
        <is>
          <t>VÄSTERBOTTENS LÄN</t>
        </is>
      </c>
      <c r="E3975" t="inlineStr">
        <is>
          <t>VINDELN</t>
        </is>
      </c>
      <c r="F3975" t="inlineStr">
        <is>
          <t>Sveaskog</t>
        </is>
      </c>
      <c r="G3975" t="n">
        <v>13.2</v>
      </c>
      <c r="H3975" t="n">
        <v>0</v>
      </c>
      <c r="I3975" t="n">
        <v>0</v>
      </c>
      <c r="J3975" t="n">
        <v>0</v>
      </c>
      <c r="K3975" t="n">
        <v>0</v>
      </c>
      <c r="L3975" t="n">
        <v>0</v>
      </c>
      <c r="M3975" t="n">
        <v>0</v>
      </c>
      <c r="N3975" t="n">
        <v>0</v>
      </c>
      <c r="O3975" t="n">
        <v>0</v>
      </c>
      <c r="P3975" t="n">
        <v>0</v>
      </c>
      <c r="Q3975" t="n">
        <v>0</v>
      </c>
      <c r="R3975" s="2" t="inlineStr"/>
    </row>
    <row r="3976" ht="15" customHeight="1">
      <c r="A3976" t="inlineStr">
        <is>
          <t>A 46302-2023</t>
        </is>
      </c>
      <c r="B3976" s="1" t="n">
        <v>45191</v>
      </c>
      <c r="C3976" s="1" t="n">
        <v>45971</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30286-2023</t>
        </is>
      </c>
      <c r="B3977" s="1" t="n">
        <v>45110</v>
      </c>
      <c r="C3977" s="1" t="n">
        <v>45971</v>
      </c>
      <c r="D3977" t="inlineStr">
        <is>
          <t>VÄSTERBOTTENS LÄN</t>
        </is>
      </c>
      <c r="E3977" t="inlineStr">
        <is>
          <t>DOROTEA</t>
        </is>
      </c>
      <c r="G3977" t="n">
        <v>21.2</v>
      </c>
      <c r="H3977" t="n">
        <v>0</v>
      </c>
      <c r="I3977" t="n">
        <v>0</v>
      </c>
      <c r="J3977" t="n">
        <v>0</v>
      </c>
      <c r="K3977" t="n">
        <v>0</v>
      </c>
      <c r="L3977" t="n">
        <v>0</v>
      </c>
      <c r="M3977" t="n">
        <v>0</v>
      </c>
      <c r="N3977" t="n">
        <v>0</v>
      </c>
      <c r="O3977" t="n">
        <v>0</v>
      </c>
      <c r="P3977" t="n">
        <v>0</v>
      </c>
      <c r="Q3977" t="n">
        <v>0</v>
      </c>
      <c r="R3977" s="2" t="inlineStr"/>
    </row>
    <row r="3978" ht="15" customHeight="1">
      <c r="A3978" t="inlineStr">
        <is>
          <t>A 5660-2024</t>
        </is>
      </c>
      <c r="B3978" s="1" t="n">
        <v>45334.64248842592</v>
      </c>
      <c r="C3978" s="1" t="n">
        <v>45971</v>
      </c>
      <c r="D3978" t="inlineStr">
        <is>
          <t>VÄSTERBOTTENS LÄN</t>
        </is>
      </c>
      <c r="E3978" t="inlineStr">
        <is>
          <t>SKELLEFTEÅ</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15160-2025</t>
        </is>
      </c>
      <c r="B3979" s="1" t="n">
        <v>45744</v>
      </c>
      <c r="C3979" s="1" t="n">
        <v>45971</v>
      </c>
      <c r="D3979" t="inlineStr">
        <is>
          <t>VÄSTERBOTTENS LÄN</t>
        </is>
      </c>
      <c r="E3979" t="inlineStr">
        <is>
          <t>UMEÅ</t>
        </is>
      </c>
      <c r="F3979" t="inlineStr">
        <is>
          <t>Kommuner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15161-2025</t>
        </is>
      </c>
      <c r="B3980" s="1" t="n">
        <v>45744</v>
      </c>
      <c r="C3980" s="1" t="n">
        <v>45971</v>
      </c>
      <c r="D3980" t="inlineStr">
        <is>
          <t>VÄSTERBOTTENS LÄN</t>
        </is>
      </c>
      <c r="E3980" t="inlineStr">
        <is>
          <t>UMEÅ</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30059-2024</t>
        </is>
      </c>
      <c r="B3981" s="1" t="n">
        <v>45488.94804398148</v>
      </c>
      <c r="C3981" s="1" t="n">
        <v>45971</v>
      </c>
      <c r="D3981" t="inlineStr">
        <is>
          <t>VÄSTERBOTTENS LÄN</t>
        </is>
      </c>
      <c r="E3981" t="inlineStr">
        <is>
          <t>DOROTEA</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6837-2022</t>
        </is>
      </c>
      <c r="B3982" s="1" t="n">
        <v>44602</v>
      </c>
      <c r="C3982" s="1" t="n">
        <v>45971</v>
      </c>
      <c r="D3982" t="inlineStr">
        <is>
          <t>VÄSTERBOTTENS LÄN</t>
        </is>
      </c>
      <c r="E3982" t="inlineStr">
        <is>
          <t>SKELLEFTEÅ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56823-2023</t>
        </is>
      </c>
      <c r="B3983" s="1" t="n">
        <v>45238</v>
      </c>
      <c r="C3983" s="1" t="n">
        <v>45971</v>
      </c>
      <c r="D3983" t="inlineStr">
        <is>
          <t>VÄSTERBOTTENS LÄN</t>
        </is>
      </c>
      <c r="E3983" t="inlineStr">
        <is>
          <t>VILHELMINA</t>
        </is>
      </c>
      <c r="F3983" t="inlineStr">
        <is>
          <t>Allmännings- och besparingsskogar</t>
        </is>
      </c>
      <c r="G3983" t="n">
        <v>82</v>
      </c>
      <c r="H3983" t="n">
        <v>0</v>
      </c>
      <c r="I3983" t="n">
        <v>0</v>
      </c>
      <c r="J3983" t="n">
        <v>0</v>
      </c>
      <c r="K3983" t="n">
        <v>0</v>
      </c>
      <c r="L3983" t="n">
        <v>0</v>
      </c>
      <c r="M3983" t="n">
        <v>0</v>
      </c>
      <c r="N3983" t="n">
        <v>0</v>
      </c>
      <c r="O3983" t="n">
        <v>0</v>
      </c>
      <c r="P3983" t="n">
        <v>0</v>
      </c>
      <c r="Q3983" t="n">
        <v>0</v>
      </c>
      <c r="R3983" s="2" t="inlineStr"/>
    </row>
    <row r="3984" ht="15" customHeight="1">
      <c r="A3984" t="inlineStr">
        <is>
          <t>A 22111-2024</t>
        </is>
      </c>
      <c r="B3984" s="1" t="n">
        <v>45443</v>
      </c>
      <c r="C3984" s="1" t="n">
        <v>45971</v>
      </c>
      <c r="D3984" t="inlineStr">
        <is>
          <t>VÄSTERBOTTENS LÄN</t>
        </is>
      </c>
      <c r="E3984" t="inlineStr">
        <is>
          <t>ÅSELE</t>
        </is>
      </c>
      <c r="F3984" t="inlineStr">
        <is>
          <t>SCA</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39513-2023</t>
        </is>
      </c>
      <c r="B3985" s="1" t="n">
        <v>45167</v>
      </c>
      <c r="C3985" s="1" t="n">
        <v>45971</v>
      </c>
      <c r="D3985" t="inlineStr">
        <is>
          <t>VÄSTERBOTTENS LÄN</t>
        </is>
      </c>
      <c r="E3985" t="inlineStr">
        <is>
          <t>SKELLEFTEÅ</t>
        </is>
      </c>
      <c r="F3985" t="inlineStr">
        <is>
          <t>Holmen skog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4619-2022</t>
        </is>
      </c>
      <c r="B3986" s="1" t="n">
        <v>44592</v>
      </c>
      <c r="C3986" s="1" t="n">
        <v>45971</v>
      </c>
      <c r="D3986" t="inlineStr">
        <is>
          <t>VÄSTERBOTTENS LÄN</t>
        </is>
      </c>
      <c r="E3986" t="inlineStr">
        <is>
          <t>ÅSELE</t>
        </is>
      </c>
      <c r="G3986" t="n">
        <v>17.6</v>
      </c>
      <c r="H3986" t="n">
        <v>0</v>
      </c>
      <c r="I3986" t="n">
        <v>0</v>
      </c>
      <c r="J3986" t="n">
        <v>0</v>
      </c>
      <c r="K3986" t="n">
        <v>0</v>
      </c>
      <c r="L3986" t="n">
        <v>0</v>
      </c>
      <c r="M3986" t="n">
        <v>0</v>
      </c>
      <c r="N3986" t="n">
        <v>0</v>
      </c>
      <c r="O3986" t="n">
        <v>0</v>
      </c>
      <c r="P3986" t="n">
        <v>0</v>
      </c>
      <c r="Q3986" t="n">
        <v>0</v>
      </c>
      <c r="R3986" s="2" t="inlineStr"/>
    </row>
    <row r="3987" ht="15" customHeight="1">
      <c r="A3987" t="inlineStr">
        <is>
          <t>A 4626-2022</t>
        </is>
      </c>
      <c r="B3987" s="1" t="n">
        <v>44592</v>
      </c>
      <c r="C3987" s="1" t="n">
        <v>45971</v>
      </c>
      <c r="D3987" t="inlineStr">
        <is>
          <t>VÄSTERBOTTENS LÄN</t>
        </is>
      </c>
      <c r="E3987" t="inlineStr">
        <is>
          <t>ÅSELE</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59693-2024</t>
        </is>
      </c>
      <c r="B3988" s="1" t="n">
        <v>45639</v>
      </c>
      <c r="C3988" s="1" t="n">
        <v>45971</v>
      </c>
      <c r="D3988" t="inlineStr">
        <is>
          <t>VÄSTERBOTTENS LÄN</t>
        </is>
      </c>
      <c r="E3988" t="inlineStr">
        <is>
          <t>VILHELMINA</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37078-2023</t>
        </is>
      </c>
      <c r="B3989" s="1" t="n">
        <v>45155</v>
      </c>
      <c r="C3989" s="1" t="n">
        <v>45971</v>
      </c>
      <c r="D3989" t="inlineStr">
        <is>
          <t>VÄSTERBOTTENS LÄN</t>
        </is>
      </c>
      <c r="E3989" t="inlineStr">
        <is>
          <t>MALÅ</t>
        </is>
      </c>
      <c r="G3989" t="n">
        <v>48.2</v>
      </c>
      <c r="H3989" t="n">
        <v>0</v>
      </c>
      <c r="I3989" t="n">
        <v>0</v>
      </c>
      <c r="J3989" t="n">
        <v>0</v>
      </c>
      <c r="K3989" t="n">
        <v>0</v>
      </c>
      <c r="L3989" t="n">
        <v>0</v>
      </c>
      <c r="M3989" t="n">
        <v>0</v>
      </c>
      <c r="N3989" t="n">
        <v>0</v>
      </c>
      <c r="O3989" t="n">
        <v>0</v>
      </c>
      <c r="P3989" t="n">
        <v>0</v>
      </c>
      <c r="Q3989" t="n">
        <v>0</v>
      </c>
      <c r="R3989" s="2" t="inlineStr"/>
    </row>
    <row r="3990" ht="15" customHeight="1">
      <c r="A3990" t="inlineStr">
        <is>
          <t>A 60209-2024</t>
        </is>
      </c>
      <c r="B3990" s="1" t="n">
        <v>45642</v>
      </c>
      <c r="C3990" s="1" t="n">
        <v>45971</v>
      </c>
      <c r="D3990" t="inlineStr">
        <is>
          <t>VÄSTERBOTTENS LÄN</t>
        </is>
      </c>
      <c r="E3990" t="inlineStr">
        <is>
          <t>SKELLEFTEÅ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23216-2024</t>
        </is>
      </c>
      <c r="B3991" s="1" t="n">
        <v>45452</v>
      </c>
      <c r="C3991" s="1" t="n">
        <v>45971</v>
      </c>
      <c r="D3991" t="inlineStr">
        <is>
          <t>VÄSTERBOTTENS LÄN</t>
        </is>
      </c>
      <c r="E3991" t="inlineStr">
        <is>
          <t>VINDELN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62119-2022</t>
        </is>
      </c>
      <c r="B3992" s="1" t="n">
        <v>44921.69261574074</v>
      </c>
      <c r="C3992" s="1" t="n">
        <v>45971</v>
      </c>
      <c r="D3992" t="inlineStr">
        <is>
          <t>VÄSTERBOTTENS LÄN</t>
        </is>
      </c>
      <c r="E3992" t="inlineStr">
        <is>
          <t>NORDMALING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36972-2023</t>
        </is>
      </c>
      <c r="B3993" s="1" t="n">
        <v>45154</v>
      </c>
      <c r="C3993" s="1" t="n">
        <v>45971</v>
      </c>
      <c r="D3993" t="inlineStr">
        <is>
          <t>VÄSTERBOTTENS LÄN</t>
        </is>
      </c>
      <c r="E3993" t="inlineStr">
        <is>
          <t>VILHELMINA</t>
        </is>
      </c>
      <c r="F3993" t="inlineStr">
        <is>
          <t>SCA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59032-2024</t>
        </is>
      </c>
      <c r="B3994" s="1" t="n">
        <v>45636.69321759259</v>
      </c>
      <c r="C3994" s="1" t="n">
        <v>45971</v>
      </c>
      <c r="D3994" t="inlineStr">
        <is>
          <t>VÄSTERBOTTENS LÄN</t>
        </is>
      </c>
      <c r="E3994" t="inlineStr">
        <is>
          <t>ROBERTSFORS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58700-2022</t>
        </is>
      </c>
      <c r="B3995" s="1" t="n">
        <v>44902.74778935185</v>
      </c>
      <c r="C3995" s="1" t="n">
        <v>45971</v>
      </c>
      <c r="D3995" t="inlineStr">
        <is>
          <t>VÄSTERBOTTENS LÄN</t>
        </is>
      </c>
      <c r="E3995" t="inlineStr">
        <is>
          <t>VINDELN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70195-2021</t>
        </is>
      </c>
      <c r="B3996" s="1" t="n">
        <v>44534.49537037037</v>
      </c>
      <c r="C3996" s="1" t="n">
        <v>45971</v>
      </c>
      <c r="D3996" t="inlineStr">
        <is>
          <t>VÄSTERBOTTENS LÄN</t>
        </is>
      </c>
      <c r="E3996" t="inlineStr">
        <is>
          <t>LYCKSELE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29454-2024</t>
        </is>
      </c>
      <c r="B3997" s="1" t="n">
        <v>45483.96839120371</v>
      </c>
      <c r="C3997" s="1" t="n">
        <v>45971</v>
      </c>
      <c r="D3997" t="inlineStr">
        <is>
          <t>VÄSTERBOTTENS LÄN</t>
        </is>
      </c>
      <c r="E3997" t="inlineStr">
        <is>
          <t>DOROTEA</t>
        </is>
      </c>
      <c r="F3997" t="inlineStr">
        <is>
          <t>SCA</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63980-2021</t>
        </is>
      </c>
      <c r="B3998" s="1" t="n">
        <v>44509</v>
      </c>
      <c r="C3998" s="1" t="n">
        <v>45971</v>
      </c>
      <c r="D3998" t="inlineStr">
        <is>
          <t>VÄSTERBOTTENS LÄN</t>
        </is>
      </c>
      <c r="E3998" t="inlineStr">
        <is>
          <t>VÄNNÄS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42787-2023</t>
        </is>
      </c>
      <c r="B3999" s="1" t="n">
        <v>45181</v>
      </c>
      <c r="C3999" s="1" t="n">
        <v>45971</v>
      </c>
      <c r="D3999" t="inlineStr">
        <is>
          <t>VÄSTERBOTTENS LÄN</t>
        </is>
      </c>
      <c r="E3999" t="inlineStr">
        <is>
          <t>SKELLEFTEÅ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30722-2024</t>
        </is>
      </c>
      <c r="B4000" s="1" t="n">
        <v>45496</v>
      </c>
      <c r="C4000" s="1" t="n">
        <v>45971</v>
      </c>
      <c r="D4000" t="inlineStr">
        <is>
          <t>VÄSTERBOTTENS LÄN</t>
        </is>
      </c>
      <c r="E4000" t="inlineStr">
        <is>
          <t>ROBERTSFORS</t>
        </is>
      </c>
      <c r="F4000" t="inlineStr">
        <is>
          <t>Holmen skog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18231-2025</t>
        </is>
      </c>
      <c r="B4001" s="1" t="n">
        <v>45761.87467592592</v>
      </c>
      <c r="C4001" s="1" t="n">
        <v>45971</v>
      </c>
      <c r="D4001" t="inlineStr">
        <is>
          <t>VÄSTERBOTTENS LÄN</t>
        </is>
      </c>
      <c r="E4001" t="inlineStr">
        <is>
          <t>VÄNNÄS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37326-2023</t>
        </is>
      </c>
      <c r="B4002" s="1" t="n">
        <v>45154</v>
      </c>
      <c r="C4002" s="1" t="n">
        <v>45971</v>
      </c>
      <c r="D4002" t="inlineStr">
        <is>
          <t>VÄSTERBOTTENS LÄN</t>
        </is>
      </c>
      <c r="E4002" t="inlineStr">
        <is>
          <t>MALÅ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17110-2023</t>
        </is>
      </c>
      <c r="B4003" s="1" t="n">
        <v>45030</v>
      </c>
      <c r="C4003" s="1" t="n">
        <v>45971</v>
      </c>
      <c r="D4003" t="inlineStr">
        <is>
          <t>VÄSTERBOTTENS LÄN</t>
        </is>
      </c>
      <c r="E4003" t="inlineStr">
        <is>
          <t>UMEÅ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60757-2022</t>
        </is>
      </c>
      <c r="B4004" s="1" t="n">
        <v>44914.33509259259</v>
      </c>
      <c r="C4004" s="1" t="n">
        <v>45971</v>
      </c>
      <c r="D4004" t="inlineStr">
        <is>
          <t>VÄSTERBOTTENS LÄN</t>
        </is>
      </c>
      <c r="E4004" t="inlineStr">
        <is>
          <t>VINDELN</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18240-2025</t>
        </is>
      </c>
      <c r="B4005" s="1" t="n">
        <v>45762.29850694445</v>
      </c>
      <c r="C4005" s="1" t="n">
        <v>45971</v>
      </c>
      <c r="D4005" t="inlineStr">
        <is>
          <t>VÄSTERBOTTENS LÄN</t>
        </is>
      </c>
      <c r="E4005" t="inlineStr">
        <is>
          <t>SKELLEFTEÅ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62553-2021</t>
        </is>
      </c>
      <c r="B4006" s="1" t="n">
        <v>44501</v>
      </c>
      <c r="C4006" s="1" t="n">
        <v>45971</v>
      </c>
      <c r="D4006" t="inlineStr">
        <is>
          <t>VÄSTERBOTTENS LÄN</t>
        </is>
      </c>
      <c r="E4006" t="inlineStr">
        <is>
          <t>VÄNNÄS</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19764-2025</t>
        </is>
      </c>
      <c r="B4007" s="1" t="n">
        <v>45771.4071412037</v>
      </c>
      <c r="C4007" s="1" t="n">
        <v>45971</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27382-2024</t>
        </is>
      </c>
      <c r="B4008" s="1" t="n">
        <v>45473.9594212963</v>
      </c>
      <c r="C4008" s="1" t="n">
        <v>45971</v>
      </c>
      <c r="D4008" t="inlineStr">
        <is>
          <t>VÄSTERBOTTENS LÄN</t>
        </is>
      </c>
      <c r="E4008" t="inlineStr">
        <is>
          <t>NORDMALING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40130-2024</t>
        </is>
      </c>
      <c r="B4009" s="1" t="n">
        <v>45554.47037037037</v>
      </c>
      <c r="C4009" s="1" t="n">
        <v>45971</v>
      </c>
      <c r="D4009" t="inlineStr">
        <is>
          <t>VÄSTERBOTTENS LÄN</t>
        </is>
      </c>
      <c r="E4009" t="inlineStr">
        <is>
          <t>VINDELN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19195-2025</t>
        </is>
      </c>
      <c r="B4010" s="1" t="n">
        <v>45769.425625</v>
      </c>
      <c r="C4010" s="1" t="n">
        <v>45971</v>
      </c>
      <c r="D4010" t="inlineStr">
        <is>
          <t>VÄSTERBOTTENS LÄN</t>
        </is>
      </c>
      <c r="E4010" t="inlineStr">
        <is>
          <t>UMEÅ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1149-2021</t>
        </is>
      </c>
      <c r="B4011" s="1" t="n">
        <v>44207</v>
      </c>
      <c r="C4011" s="1" t="n">
        <v>45971</v>
      </c>
      <c r="D4011" t="inlineStr">
        <is>
          <t>VÄSTERBOTTENS LÄN</t>
        </is>
      </c>
      <c r="E4011" t="inlineStr">
        <is>
          <t>SKELLEFTEÅ</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44426-2023</t>
        </is>
      </c>
      <c r="B4012" s="1" t="n">
        <v>45188</v>
      </c>
      <c r="C4012" s="1" t="n">
        <v>45971</v>
      </c>
      <c r="D4012" t="inlineStr">
        <is>
          <t>VÄSTERBOTTENS LÄN</t>
        </is>
      </c>
      <c r="E4012" t="inlineStr">
        <is>
          <t>MALÅ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44488-2023</t>
        </is>
      </c>
      <c r="B4013" s="1" t="n">
        <v>45189.44546296296</v>
      </c>
      <c r="C4013" s="1" t="n">
        <v>45971</v>
      </c>
      <c r="D4013" t="inlineStr">
        <is>
          <t>VÄSTERBOTTENS LÄN</t>
        </is>
      </c>
      <c r="E4013" t="inlineStr">
        <is>
          <t>BJURHOLM</t>
        </is>
      </c>
      <c r="F4013" t="inlineStr">
        <is>
          <t>Holmen skog AB</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58538-2021</t>
        </is>
      </c>
      <c r="B4014" s="1" t="n">
        <v>44488.6871875</v>
      </c>
      <c r="C4014" s="1" t="n">
        <v>45971</v>
      </c>
      <c r="D4014" t="inlineStr">
        <is>
          <t>VÄSTERBOTTENS LÄN</t>
        </is>
      </c>
      <c r="E4014" t="inlineStr">
        <is>
          <t>UMEÅ</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37901-2023</t>
        </is>
      </c>
      <c r="B4015" s="1" t="n">
        <v>45160.4729050926</v>
      </c>
      <c r="C4015" s="1" t="n">
        <v>45971</v>
      </c>
      <c r="D4015" t="inlineStr">
        <is>
          <t>VÄSTERBOTTENS LÄN</t>
        </is>
      </c>
      <c r="E4015" t="inlineStr">
        <is>
          <t>ROBERTSFORS</t>
        </is>
      </c>
      <c r="F4015" t="inlineStr">
        <is>
          <t>Holmen skog AB</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18936-2025</t>
        </is>
      </c>
      <c r="B4016" s="1" t="n">
        <v>45764.48995370371</v>
      </c>
      <c r="C4016" s="1" t="n">
        <v>45971</v>
      </c>
      <c r="D4016" t="inlineStr">
        <is>
          <t>VÄSTERBOTTENS LÄN</t>
        </is>
      </c>
      <c r="E4016" t="inlineStr">
        <is>
          <t>ÅSELE</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15750-2023</t>
        </is>
      </c>
      <c r="B4017" s="1" t="n">
        <v>45021.6141087963</v>
      </c>
      <c r="C4017" s="1" t="n">
        <v>45971</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82-2025</t>
        </is>
      </c>
      <c r="B4018" s="1" t="n">
        <v>45659</v>
      </c>
      <c r="C4018" s="1" t="n">
        <v>45971</v>
      </c>
      <c r="D4018" t="inlineStr">
        <is>
          <t>VÄSTERBOTTENS LÄN</t>
        </is>
      </c>
      <c r="E4018" t="inlineStr">
        <is>
          <t>BJURHOLM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29449-2024</t>
        </is>
      </c>
      <c r="B4019" s="1" t="n">
        <v>45483.93377314815</v>
      </c>
      <c r="C4019" s="1" t="n">
        <v>45971</v>
      </c>
      <c r="D4019" t="inlineStr">
        <is>
          <t>VÄSTERBOTTENS LÄN</t>
        </is>
      </c>
      <c r="E4019" t="inlineStr">
        <is>
          <t>LYCKSELE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28855-2024</t>
        </is>
      </c>
      <c r="B4020" s="1" t="n">
        <v>45478</v>
      </c>
      <c r="C4020" s="1" t="n">
        <v>45971</v>
      </c>
      <c r="D4020" t="inlineStr">
        <is>
          <t>VÄSTERBOTTENS LÄN</t>
        </is>
      </c>
      <c r="E4020" t="inlineStr">
        <is>
          <t>UMEÅ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12712-2025</t>
        </is>
      </c>
      <c r="B4021" s="1" t="n">
        <v>45733.47311342593</v>
      </c>
      <c r="C4021" s="1" t="n">
        <v>45971</v>
      </c>
      <c r="D4021" t="inlineStr">
        <is>
          <t>VÄSTERBOTTENS LÄN</t>
        </is>
      </c>
      <c r="E4021" t="inlineStr">
        <is>
          <t>SKELLEFTEÅ</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3885-2025</t>
        </is>
      </c>
      <c r="B4022" s="1" t="n">
        <v>45684.36349537037</v>
      </c>
      <c r="C4022" s="1" t="n">
        <v>45971</v>
      </c>
      <c r="D4022" t="inlineStr">
        <is>
          <t>VÄSTERBOTTENS LÄN</t>
        </is>
      </c>
      <c r="E4022" t="inlineStr">
        <is>
          <t>VINDELN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16274-2022</t>
        </is>
      </c>
      <c r="B4023" s="1" t="n">
        <v>44670</v>
      </c>
      <c r="C4023" s="1" t="n">
        <v>45971</v>
      </c>
      <c r="D4023" t="inlineStr">
        <is>
          <t>VÄSTERBOTTENS LÄN</t>
        </is>
      </c>
      <c r="E4023" t="inlineStr">
        <is>
          <t>LYCKSELE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18377-2025</t>
        </is>
      </c>
      <c r="B4024" s="1" t="n">
        <v>45762.57496527778</v>
      </c>
      <c r="C4024" s="1" t="n">
        <v>45971</v>
      </c>
      <c r="D4024" t="inlineStr">
        <is>
          <t>VÄSTERBOTTENS LÄN</t>
        </is>
      </c>
      <c r="E4024" t="inlineStr">
        <is>
          <t>VÄNNÄS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18339-2025</t>
        </is>
      </c>
      <c r="B4025" s="1" t="n">
        <v>45762.51096064815</v>
      </c>
      <c r="C4025" s="1" t="n">
        <v>45971</v>
      </c>
      <c r="D4025" t="inlineStr">
        <is>
          <t>VÄSTERBOTTENS LÄN</t>
        </is>
      </c>
      <c r="E4025" t="inlineStr">
        <is>
          <t>LYCKSELE</t>
        </is>
      </c>
      <c r="F4025" t="inlineStr">
        <is>
          <t>Naturvårdsverket</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4462-2023</t>
        </is>
      </c>
      <c r="B4026" s="1" t="n">
        <v>44952</v>
      </c>
      <c r="C4026" s="1" t="n">
        <v>45971</v>
      </c>
      <c r="D4026" t="inlineStr">
        <is>
          <t>VÄSTERBOTTENS LÄN</t>
        </is>
      </c>
      <c r="E4026" t="inlineStr">
        <is>
          <t>ÅSELE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17924-2023</t>
        </is>
      </c>
      <c r="B4027" s="1" t="n">
        <v>45037</v>
      </c>
      <c r="C4027" s="1" t="n">
        <v>45971</v>
      </c>
      <c r="D4027" t="inlineStr">
        <is>
          <t>VÄSTERBOTTENS LÄN</t>
        </is>
      </c>
      <c r="E4027" t="inlineStr">
        <is>
          <t>UMEÅ</t>
        </is>
      </c>
      <c r="F4027" t="inlineStr">
        <is>
          <t>Kommuner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17949-2023</t>
        </is>
      </c>
      <c r="B4028" s="1" t="n">
        <v>45037</v>
      </c>
      <c r="C4028" s="1" t="n">
        <v>45971</v>
      </c>
      <c r="D4028" t="inlineStr">
        <is>
          <t>VÄSTERBOTTENS LÄN</t>
        </is>
      </c>
      <c r="E4028" t="inlineStr">
        <is>
          <t>UMEÅ</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28998-2022</t>
        </is>
      </c>
      <c r="B4029" s="1" t="n">
        <v>44749</v>
      </c>
      <c r="C4029" s="1" t="n">
        <v>45971</v>
      </c>
      <c r="D4029" t="inlineStr">
        <is>
          <t>VÄSTERBOTTENS LÄN</t>
        </is>
      </c>
      <c r="E4029" t="inlineStr">
        <is>
          <t>VINDELN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41792-2023</t>
        </is>
      </c>
      <c r="B4030" s="1" t="n">
        <v>45176</v>
      </c>
      <c r="C4030" s="1" t="n">
        <v>45971</v>
      </c>
      <c r="D4030" t="inlineStr">
        <is>
          <t>VÄSTERBOTTENS LÄN</t>
        </is>
      </c>
      <c r="E4030" t="inlineStr">
        <is>
          <t>MALÅ</t>
        </is>
      </c>
      <c r="F4030" t="inlineStr">
        <is>
          <t>Sveaskog</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28881-2024</t>
        </is>
      </c>
      <c r="B4031" s="1" t="n">
        <v>45479</v>
      </c>
      <c r="C4031" s="1" t="n">
        <v>45971</v>
      </c>
      <c r="D4031" t="inlineStr">
        <is>
          <t>VÄSTERBOTTENS LÄN</t>
        </is>
      </c>
      <c r="E4031" t="inlineStr">
        <is>
          <t>ÅSELE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28997-2024</t>
        </is>
      </c>
      <c r="B4032" s="1" t="n">
        <v>45481</v>
      </c>
      <c r="C4032" s="1" t="n">
        <v>45971</v>
      </c>
      <c r="D4032" t="inlineStr">
        <is>
          <t>VÄSTERBOTTENS LÄN</t>
        </is>
      </c>
      <c r="E4032" t="inlineStr">
        <is>
          <t>UMEÅ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47200-2025</t>
        </is>
      </c>
      <c r="B4033" s="1" t="n">
        <v>45930.35950231482</v>
      </c>
      <c r="C4033" s="1" t="n">
        <v>45971</v>
      </c>
      <c r="D4033" t="inlineStr">
        <is>
          <t>VÄSTERBOTTENS LÄN</t>
        </is>
      </c>
      <c r="E4033" t="inlineStr">
        <is>
          <t>VINDELN</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62284-2022</t>
        </is>
      </c>
      <c r="B4034" s="1" t="n">
        <v>44923.40487268518</v>
      </c>
      <c r="C4034" s="1" t="n">
        <v>45971</v>
      </c>
      <c r="D4034" t="inlineStr">
        <is>
          <t>VÄSTERBOTTENS LÄN</t>
        </is>
      </c>
      <c r="E4034" t="inlineStr">
        <is>
          <t>SKELLEFTEÅ</t>
        </is>
      </c>
      <c r="F4034" t="inlineStr">
        <is>
          <t>Sveaskog</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14332-2023</t>
        </is>
      </c>
      <c r="B4035" s="1" t="n">
        <v>45009</v>
      </c>
      <c r="C4035" s="1" t="n">
        <v>45971</v>
      </c>
      <c r="D4035" t="inlineStr">
        <is>
          <t>VÄSTERBOTTENS LÄN</t>
        </is>
      </c>
      <c r="E4035" t="inlineStr">
        <is>
          <t>SKELLEFTEÅ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31442-2024</t>
        </is>
      </c>
      <c r="B4036" s="1" t="n">
        <v>45505</v>
      </c>
      <c r="C4036" s="1" t="n">
        <v>45971</v>
      </c>
      <c r="D4036" t="inlineStr">
        <is>
          <t>VÄSTERBOTTENS LÄN</t>
        </is>
      </c>
      <c r="E4036" t="inlineStr">
        <is>
          <t>UMEÅ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31453-2024</t>
        </is>
      </c>
      <c r="B4037" s="1" t="n">
        <v>45505.9484837963</v>
      </c>
      <c r="C4037" s="1" t="n">
        <v>45971</v>
      </c>
      <c r="D4037" t="inlineStr">
        <is>
          <t>VÄSTERBOTTENS LÄN</t>
        </is>
      </c>
      <c r="E4037" t="inlineStr">
        <is>
          <t>LYCKSELE</t>
        </is>
      </c>
      <c r="F4037" t="inlineStr">
        <is>
          <t>SCA</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59675-2021</t>
        </is>
      </c>
      <c r="B4038" s="1" t="n">
        <v>44494</v>
      </c>
      <c r="C4038" s="1" t="n">
        <v>45971</v>
      </c>
      <c r="D4038" t="inlineStr">
        <is>
          <t>VÄSTERBOTTENS LÄN</t>
        </is>
      </c>
      <c r="E4038" t="inlineStr">
        <is>
          <t>BJURHOLM</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29101-2025</t>
        </is>
      </c>
      <c r="B4039" s="1" t="n">
        <v>45821.56797453704</v>
      </c>
      <c r="C4039" s="1" t="n">
        <v>45971</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7745-2024</t>
        </is>
      </c>
      <c r="B4040" s="1" t="n">
        <v>45348</v>
      </c>
      <c r="C4040" s="1" t="n">
        <v>45971</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27370-2023</t>
        </is>
      </c>
      <c r="B4041" s="1" t="n">
        <v>45096.93837962963</v>
      </c>
      <c r="C4041" s="1" t="n">
        <v>45971</v>
      </c>
      <c r="D4041" t="inlineStr">
        <is>
          <t>VÄSTERBOTTENS LÄN</t>
        </is>
      </c>
      <c r="E4041" t="inlineStr">
        <is>
          <t>NORDMALING</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17805-2025</t>
        </is>
      </c>
      <c r="B4042" s="1" t="n">
        <v>45758.5525462963</v>
      </c>
      <c r="C4042" s="1" t="n">
        <v>45971</v>
      </c>
      <c r="D4042" t="inlineStr">
        <is>
          <t>VÄSTERBOTTENS LÄN</t>
        </is>
      </c>
      <c r="E4042" t="inlineStr">
        <is>
          <t>ÅSELE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64716-2023</t>
        </is>
      </c>
      <c r="B4043" s="1" t="n">
        <v>45281</v>
      </c>
      <c r="C4043" s="1" t="n">
        <v>45971</v>
      </c>
      <c r="D4043" t="inlineStr">
        <is>
          <t>VÄSTERBOTTENS LÄN</t>
        </is>
      </c>
      <c r="E4043" t="inlineStr">
        <is>
          <t>SKELLEFTEÅ</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17869-2025</t>
        </is>
      </c>
      <c r="B4044" s="1" t="n">
        <v>45758.63265046296</v>
      </c>
      <c r="C4044" s="1" t="n">
        <v>45971</v>
      </c>
      <c r="D4044" t="inlineStr">
        <is>
          <t>VÄSTERBOTTENS LÄN</t>
        </is>
      </c>
      <c r="E4044" t="inlineStr">
        <is>
          <t>SORSELE</t>
        </is>
      </c>
      <c r="G4044" t="n">
        <v>13.5</v>
      </c>
      <c r="H4044" t="n">
        <v>0</v>
      </c>
      <c r="I4044" t="n">
        <v>0</v>
      </c>
      <c r="J4044" t="n">
        <v>0</v>
      </c>
      <c r="K4044" t="n">
        <v>0</v>
      </c>
      <c r="L4044" t="n">
        <v>0</v>
      </c>
      <c r="M4044" t="n">
        <v>0</v>
      </c>
      <c r="N4044" t="n">
        <v>0</v>
      </c>
      <c r="O4044" t="n">
        <v>0</v>
      </c>
      <c r="P4044" t="n">
        <v>0</v>
      </c>
      <c r="Q4044" t="n">
        <v>0</v>
      </c>
      <c r="R4044" s="2" t="inlineStr"/>
    </row>
    <row r="4045" ht="15" customHeight="1">
      <c r="A4045" t="inlineStr">
        <is>
          <t>A 17870-2025</t>
        </is>
      </c>
      <c r="B4045" s="1" t="n">
        <v>45758.63540509259</v>
      </c>
      <c r="C4045" s="1" t="n">
        <v>45971</v>
      </c>
      <c r="D4045" t="inlineStr">
        <is>
          <t>VÄSTERBOTTENS LÄN</t>
        </is>
      </c>
      <c r="E4045" t="inlineStr">
        <is>
          <t>SORSELE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52679-2022</t>
        </is>
      </c>
      <c r="B4046" s="1" t="n">
        <v>44874</v>
      </c>
      <c r="C4046" s="1" t="n">
        <v>45971</v>
      </c>
      <c r="D4046" t="inlineStr">
        <is>
          <t>VÄSTERBOTTENS LÄN</t>
        </is>
      </c>
      <c r="E4046" t="inlineStr">
        <is>
          <t>UMEÅ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2308-2025</t>
        </is>
      </c>
      <c r="B4047" s="1" t="n">
        <v>45673.60113425926</v>
      </c>
      <c r="C4047" s="1" t="n">
        <v>45971</v>
      </c>
      <c r="D4047" t="inlineStr">
        <is>
          <t>VÄSTERBOTTENS LÄN</t>
        </is>
      </c>
      <c r="E4047" t="inlineStr">
        <is>
          <t>SKELLEFTEÅ</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16186-2023</t>
        </is>
      </c>
      <c r="B4048" s="1" t="n">
        <v>45027.925625</v>
      </c>
      <c r="C4048" s="1" t="n">
        <v>45971</v>
      </c>
      <c r="D4048" t="inlineStr">
        <is>
          <t>VÄSTERBOTTENS LÄN</t>
        </is>
      </c>
      <c r="E4048" t="inlineStr">
        <is>
          <t>SKELLEFTEÅ</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12445-2025</t>
        </is>
      </c>
      <c r="B4049" s="1" t="n">
        <v>45730.48341435185</v>
      </c>
      <c r="C4049" s="1" t="n">
        <v>45971</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19531-2025</t>
        </is>
      </c>
      <c r="B4050" s="1" t="n">
        <v>45770.46910879629</v>
      </c>
      <c r="C4050" s="1" t="n">
        <v>45971</v>
      </c>
      <c r="D4050" t="inlineStr">
        <is>
          <t>VÄSTERBOTTENS LÄN</t>
        </is>
      </c>
      <c r="E4050" t="inlineStr">
        <is>
          <t>LYCKSELE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19572-2025</t>
        </is>
      </c>
      <c r="B4051" s="1" t="n">
        <v>45770.55261574074</v>
      </c>
      <c r="C4051" s="1" t="n">
        <v>45971</v>
      </c>
      <c r="D4051" t="inlineStr">
        <is>
          <t>VÄSTERBOTTENS LÄN</t>
        </is>
      </c>
      <c r="E4051" t="inlineStr">
        <is>
          <t>ÅSELE</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61920-2020</t>
        </is>
      </c>
      <c r="B4052" s="1" t="n">
        <v>44155</v>
      </c>
      <c r="C4052" s="1" t="n">
        <v>45971</v>
      </c>
      <c r="D4052" t="inlineStr">
        <is>
          <t>VÄSTERBOTTENS LÄN</t>
        </is>
      </c>
      <c r="E4052" t="inlineStr">
        <is>
          <t>VILHELMINA</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2393-2025</t>
        </is>
      </c>
      <c r="B4053" s="1" t="n">
        <v>45674.33457175926</v>
      </c>
      <c r="C4053" s="1" t="n">
        <v>45971</v>
      </c>
      <c r="D4053" t="inlineStr">
        <is>
          <t>VÄSTERBOTTENS LÄN</t>
        </is>
      </c>
      <c r="E4053" t="inlineStr">
        <is>
          <t>SKELLEFTEÅ</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39148-2023</t>
        </is>
      </c>
      <c r="B4054" s="1" t="n">
        <v>45166</v>
      </c>
      <c r="C4054" s="1" t="n">
        <v>45971</v>
      </c>
      <c r="D4054" t="inlineStr">
        <is>
          <t>VÄSTERBOTTENS LÄN</t>
        </is>
      </c>
      <c r="E4054" t="inlineStr">
        <is>
          <t>MALÅ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56891-2023</t>
        </is>
      </c>
      <c r="B4055" s="1" t="n">
        <v>45239</v>
      </c>
      <c r="C4055" s="1" t="n">
        <v>45971</v>
      </c>
      <c r="D4055" t="inlineStr">
        <is>
          <t>VÄSTERBOTTENS LÄN</t>
        </is>
      </c>
      <c r="E4055" t="inlineStr">
        <is>
          <t>VILHELMINA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4215-2025</t>
        </is>
      </c>
      <c r="B4056" s="1" t="n">
        <v>45685.49891203704</v>
      </c>
      <c r="C4056" s="1" t="n">
        <v>45971</v>
      </c>
      <c r="D4056" t="inlineStr">
        <is>
          <t>VÄSTERBOTTENS LÄN</t>
        </is>
      </c>
      <c r="E4056" t="inlineStr">
        <is>
          <t>LYCKSELE</t>
        </is>
      </c>
      <c r="F4056" t="inlineStr">
        <is>
          <t>Sveaskog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26483-2024</t>
        </is>
      </c>
      <c r="B4057" s="1" t="n">
        <v>45469.55527777778</v>
      </c>
      <c r="C4057" s="1" t="n">
        <v>45971</v>
      </c>
      <c r="D4057" t="inlineStr">
        <is>
          <t>VÄSTERBOTTENS LÄN</t>
        </is>
      </c>
      <c r="E4057" t="inlineStr">
        <is>
          <t>LYCKSELE</t>
        </is>
      </c>
      <c r="F4057" t="inlineStr">
        <is>
          <t>Sveaskog</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66460-2021</t>
        </is>
      </c>
      <c r="B4058" s="1" t="n">
        <v>44518.92194444445</v>
      </c>
      <c r="C4058" s="1" t="n">
        <v>45971</v>
      </c>
      <c r="D4058" t="inlineStr">
        <is>
          <t>VÄSTERBOTTENS LÄN</t>
        </is>
      </c>
      <c r="E4058" t="inlineStr">
        <is>
          <t>LYCKSELE</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1959-2025</t>
        </is>
      </c>
      <c r="B4059" s="1" t="n">
        <v>45671</v>
      </c>
      <c r="C4059" s="1" t="n">
        <v>45971</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35921-2023</t>
        </is>
      </c>
      <c r="B4060" s="1" t="n">
        <v>45148</v>
      </c>
      <c r="C4060" s="1" t="n">
        <v>45971</v>
      </c>
      <c r="D4060" t="inlineStr">
        <is>
          <t>VÄSTERBOTTENS LÄN</t>
        </is>
      </c>
      <c r="E4060" t="inlineStr">
        <is>
          <t>VINDELN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35971-2023</t>
        </is>
      </c>
      <c r="B4061" s="1" t="n">
        <v>45148</v>
      </c>
      <c r="C4061" s="1" t="n">
        <v>45971</v>
      </c>
      <c r="D4061" t="inlineStr">
        <is>
          <t>VÄSTERBOTTENS LÄN</t>
        </is>
      </c>
      <c r="E4061" t="inlineStr">
        <is>
          <t>ÅSELE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26540-2024</t>
        </is>
      </c>
      <c r="B4062" s="1" t="n">
        <v>45469.61787037037</v>
      </c>
      <c r="C4062" s="1" t="n">
        <v>45971</v>
      </c>
      <c r="D4062" t="inlineStr">
        <is>
          <t>VÄSTERBOTTENS LÄN</t>
        </is>
      </c>
      <c r="E4062" t="inlineStr">
        <is>
          <t>VINDELN</t>
        </is>
      </c>
      <c r="F4062" t="inlineStr">
        <is>
          <t>Holmen skog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15301-2025</t>
        </is>
      </c>
      <c r="B4063" s="1" t="n">
        <v>45746.47777777778</v>
      </c>
      <c r="C4063" s="1" t="n">
        <v>45971</v>
      </c>
      <c r="D4063" t="inlineStr">
        <is>
          <t>VÄSTERBOTTENS LÄN</t>
        </is>
      </c>
      <c r="E4063" t="inlineStr">
        <is>
          <t>SKELLEFTEÅ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27951-2024</t>
        </is>
      </c>
      <c r="B4064" s="1" t="n">
        <v>45476.32990740741</v>
      </c>
      <c r="C4064" s="1" t="n">
        <v>45971</v>
      </c>
      <c r="D4064" t="inlineStr">
        <is>
          <t>VÄSTERBOTTENS LÄN</t>
        </is>
      </c>
      <c r="E4064" t="inlineStr">
        <is>
          <t>ÅSELE</t>
        </is>
      </c>
      <c r="F4064" t="inlineStr">
        <is>
          <t>Sveaskog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33698-2023</t>
        </is>
      </c>
      <c r="B4065" s="1" t="n">
        <v>45132.71641203704</v>
      </c>
      <c r="C4065" s="1" t="n">
        <v>45971</v>
      </c>
      <c r="D4065" t="inlineStr">
        <is>
          <t>VÄSTERBOTTENS LÄN</t>
        </is>
      </c>
      <c r="E4065" t="inlineStr">
        <is>
          <t>VINDELN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33702-2023</t>
        </is>
      </c>
      <c r="B4066" s="1" t="n">
        <v>45132</v>
      </c>
      <c r="C4066" s="1" t="n">
        <v>45971</v>
      </c>
      <c r="D4066" t="inlineStr">
        <is>
          <t>VÄSTERBOTTENS LÄN</t>
        </is>
      </c>
      <c r="E4066" t="inlineStr">
        <is>
          <t>VINDELN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27953-2024</t>
        </is>
      </c>
      <c r="B4067" s="1" t="n">
        <v>45476</v>
      </c>
      <c r="C4067" s="1" t="n">
        <v>45971</v>
      </c>
      <c r="D4067" t="inlineStr">
        <is>
          <t>VÄSTERBOTTENS LÄN</t>
        </is>
      </c>
      <c r="E4067" t="inlineStr">
        <is>
          <t>BJURHOLM</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16251-2025</t>
        </is>
      </c>
      <c r="B4068" s="1" t="n">
        <v>45750.69998842593</v>
      </c>
      <c r="C4068" s="1" t="n">
        <v>45971</v>
      </c>
      <c r="D4068" t="inlineStr">
        <is>
          <t>VÄSTERBOTTENS LÄN</t>
        </is>
      </c>
      <c r="E4068" t="inlineStr">
        <is>
          <t>SKELLEFTEÅ</t>
        </is>
      </c>
      <c r="F4068" t="inlineStr">
        <is>
          <t>Kommuner</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29962-2024</t>
        </is>
      </c>
      <c r="B4069" s="1" t="n">
        <v>45488.46452546296</v>
      </c>
      <c r="C4069" s="1" t="n">
        <v>45971</v>
      </c>
      <c r="D4069" t="inlineStr">
        <is>
          <t>VÄSTERBOTTENS LÄN</t>
        </is>
      </c>
      <c r="E4069" t="inlineStr">
        <is>
          <t>ÅSELE</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24875-2023</t>
        </is>
      </c>
      <c r="B4070" s="1" t="n">
        <v>45078</v>
      </c>
      <c r="C4070" s="1" t="n">
        <v>45971</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6279-2025</t>
        </is>
      </c>
      <c r="B4071" s="1" t="n">
        <v>45698.62097222222</v>
      </c>
      <c r="C4071" s="1" t="n">
        <v>45971</v>
      </c>
      <c r="D4071" t="inlineStr">
        <is>
          <t>VÄSTERBOTTENS LÄN</t>
        </is>
      </c>
      <c r="E4071" t="inlineStr">
        <is>
          <t>UMEÅ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27929-2024</t>
        </is>
      </c>
      <c r="B4072" s="1" t="n">
        <v>45475.94980324074</v>
      </c>
      <c r="C4072" s="1" t="n">
        <v>45971</v>
      </c>
      <c r="D4072" t="inlineStr">
        <is>
          <t>VÄSTERBOTTENS LÄN</t>
        </is>
      </c>
      <c r="E4072" t="inlineStr">
        <is>
          <t>LYCKSELE</t>
        </is>
      </c>
      <c r="F4072" t="inlineStr">
        <is>
          <t>Naturvårdsverket</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27932-2024</t>
        </is>
      </c>
      <c r="B4073" s="1" t="n">
        <v>45475.95016203704</v>
      </c>
      <c r="C4073" s="1" t="n">
        <v>45971</v>
      </c>
      <c r="D4073" t="inlineStr">
        <is>
          <t>VÄSTERBOTTENS LÄN</t>
        </is>
      </c>
      <c r="E4073" t="inlineStr">
        <is>
          <t>LYCKSELE</t>
        </is>
      </c>
      <c r="F4073" t="inlineStr">
        <is>
          <t>Naturvårdsverket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16183-2023</t>
        </is>
      </c>
      <c r="B4074" s="1" t="n">
        <v>45027</v>
      </c>
      <c r="C4074" s="1" t="n">
        <v>45971</v>
      </c>
      <c r="D4074" t="inlineStr">
        <is>
          <t>VÄSTERBOTTENS LÄN</t>
        </is>
      </c>
      <c r="E4074" t="inlineStr">
        <is>
          <t>SKELLEFTEÅ</t>
        </is>
      </c>
      <c r="G4074" t="n">
        <v>24.8</v>
      </c>
      <c r="H4074" t="n">
        <v>0</v>
      </c>
      <c r="I4074" t="n">
        <v>0</v>
      </c>
      <c r="J4074" t="n">
        <v>0</v>
      </c>
      <c r="K4074" t="n">
        <v>0</v>
      </c>
      <c r="L4074" t="n">
        <v>0</v>
      </c>
      <c r="M4074" t="n">
        <v>0</v>
      </c>
      <c r="N4074" t="n">
        <v>0</v>
      </c>
      <c r="O4074" t="n">
        <v>0</v>
      </c>
      <c r="P4074" t="n">
        <v>0</v>
      </c>
      <c r="Q4074" t="n">
        <v>0</v>
      </c>
      <c r="R4074" s="2" t="inlineStr"/>
    </row>
    <row r="4075" ht="15" customHeight="1">
      <c r="A4075" t="inlineStr">
        <is>
          <t>A 16212-2023</t>
        </is>
      </c>
      <c r="B4075" s="1" t="n">
        <v>45028</v>
      </c>
      <c r="C4075" s="1" t="n">
        <v>45971</v>
      </c>
      <c r="D4075" t="inlineStr">
        <is>
          <t>VÄSTERBOTTENS LÄN</t>
        </is>
      </c>
      <c r="E4075" t="inlineStr">
        <is>
          <t>NORDMALING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16148-2025</t>
        </is>
      </c>
      <c r="B4076" s="1" t="n">
        <v>45750.46479166667</v>
      </c>
      <c r="C4076" s="1" t="n">
        <v>45971</v>
      </c>
      <c r="D4076" t="inlineStr">
        <is>
          <t>VÄSTERBOTTENS LÄN</t>
        </is>
      </c>
      <c r="E4076" t="inlineStr">
        <is>
          <t>BJURHOLM</t>
        </is>
      </c>
      <c r="F4076" t="inlineStr">
        <is>
          <t>Sveaskog</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6326-2025</t>
        </is>
      </c>
      <c r="B4077" s="1" t="n">
        <v>45698.85268518519</v>
      </c>
      <c r="C4077" s="1" t="n">
        <v>45971</v>
      </c>
      <c r="D4077" t="inlineStr">
        <is>
          <t>VÄSTERBOTTENS LÄN</t>
        </is>
      </c>
      <c r="E4077" t="inlineStr">
        <is>
          <t>ÅSELE</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50488-2023</t>
        </is>
      </c>
      <c r="B4078" s="1" t="n">
        <v>45216</v>
      </c>
      <c r="C4078" s="1" t="n">
        <v>45971</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51669-2024</t>
        </is>
      </c>
      <c r="B4079" s="1" t="n">
        <v>45606.8803587963</v>
      </c>
      <c r="C4079" s="1" t="n">
        <v>45971</v>
      </c>
      <c r="D4079" t="inlineStr">
        <is>
          <t>VÄSTERBOTTENS LÄN</t>
        </is>
      </c>
      <c r="E4079" t="inlineStr">
        <is>
          <t>LYCKSELE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62203-2022</t>
        </is>
      </c>
      <c r="B4080" s="1" t="n">
        <v>44922.60114583333</v>
      </c>
      <c r="C4080" s="1" t="n">
        <v>45971</v>
      </c>
      <c r="D4080" t="inlineStr">
        <is>
          <t>VÄSTERBOTTENS LÄN</t>
        </is>
      </c>
      <c r="E4080" t="inlineStr">
        <is>
          <t>NORDMALING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28975-2024</t>
        </is>
      </c>
      <c r="B4081" s="1" t="n">
        <v>45481.45671296296</v>
      </c>
      <c r="C4081" s="1" t="n">
        <v>45971</v>
      </c>
      <c r="D4081" t="inlineStr">
        <is>
          <t>VÄSTERBOTTENS LÄN</t>
        </is>
      </c>
      <c r="E4081" t="inlineStr">
        <is>
          <t>VINDELN</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21109-2023</t>
        </is>
      </c>
      <c r="B4082" s="1" t="n">
        <v>45061.94275462963</v>
      </c>
      <c r="C4082" s="1" t="n">
        <v>45971</v>
      </c>
      <c r="D4082" t="inlineStr">
        <is>
          <t>VÄSTERBOTTENS LÄN</t>
        </is>
      </c>
      <c r="E4082" t="inlineStr">
        <is>
          <t>LYCKSELE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20228-2023</t>
        </is>
      </c>
      <c r="B4083" s="1" t="n">
        <v>45055</v>
      </c>
      <c r="C4083" s="1" t="n">
        <v>45971</v>
      </c>
      <c r="D4083" t="inlineStr">
        <is>
          <t>VÄSTERBOTTENS LÄN</t>
        </is>
      </c>
      <c r="E4083" t="inlineStr">
        <is>
          <t>VÄNNÄS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57236-2022</t>
        </is>
      </c>
      <c r="B4084" s="1" t="n">
        <v>44889</v>
      </c>
      <c r="C4084" s="1" t="n">
        <v>45971</v>
      </c>
      <c r="D4084" t="inlineStr">
        <is>
          <t>VÄSTERBOTTENS LÄN</t>
        </is>
      </c>
      <c r="E4084" t="inlineStr">
        <is>
          <t>DOROTEA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46861-2025</t>
        </is>
      </c>
      <c r="B4085" s="1" t="n">
        <v>45929.29958333333</v>
      </c>
      <c r="C4085" s="1" t="n">
        <v>45971</v>
      </c>
      <c r="D4085" t="inlineStr">
        <is>
          <t>VÄSTERBOTTENS LÄN</t>
        </is>
      </c>
      <c r="E4085" t="inlineStr">
        <is>
          <t>VINDELN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44380-2022</t>
        </is>
      </c>
      <c r="B4086" s="1" t="n">
        <v>44838</v>
      </c>
      <c r="C4086" s="1" t="n">
        <v>45971</v>
      </c>
      <c r="D4086" t="inlineStr">
        <is>
          <t>VÄSTERBOTTENS LÄN</t>
        </is>
      </c>
      <c r="E4086" t="inlineStr">
        <is>
          <t>DOROTEA</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44398-2022</t>
        </is>
      </c>
      <c r="B4087" s="1" t="n">
        <v>44839</v>
      </c>
      <c r="C4087" s="1" t="n">
        <v>45971</v>
      </c>
      <c r="D4087" t="inlineStr">
        <is>
          <t>VÄSTERBOTTENS LÄN</t>
        </is>
      </c>
      <c r="E4087" t="inlineStr">
        <is>
          <t>SKELLEFTEÅ</t>
        </is>
      </c>
      <c r="F4087" t="inlineStr">
        <is>
          <t>Sveaskog</t>
        </is>
      </c>
      <c r="G4087" t="n">
        <v>22.3</v>
      </c>
      <c r="H4087" t="n">
        <v>0</v>
      </c>
      <c r="I4087" t="n">
        <v>0</v>
      </c>
      <c r="J4087" t="n">
        <v>0</v>
      </c>
      <c r="K4087" t="n">
        <v>0</v>
      </c>
      <c r="L4087" t="n">
        <v>0</v>
      </c>
      <c r="M4087" t="n">
        <v>0</v>
      </c>
      <c r="N4087" t="n">
        <v>0</v>
      </c>
      <c r="O4087" t="n">
        <v>0</v>
      </c>
      <c r="P4087" t="n">
        <v>0</v>
      </c>
      <c r="Q4087" t="n">
        <v>0</v>
      </c>
      <c r="R4087" s="2" t="inlineStr"/>
    </row>
    <row r="4088" ht="15" customHeight="1">
      <c r="A4088" t="inlineStr">
        <is>
          <t>A 65334-2021</t>
        </is>
      </c>
      <c r="B4088" s="1" t="n">
        <v>44515</v>
      </c>
      <c r="C4088" s="1" t="n">
        <v>45971</v>
      </c>
      <c r="D4088" t="inlineStr">
        <is>
          <t>VÄSTERBOTTENS LÄN</t>
        </is>
      </c>
      <c r="E4088" t="inlineStr">
        <is>
          <t>NORDMALING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52386-2023</t>
        </is>
      </c>
      <c r="B4089" s="1" t="n">
        <v>45224.88442129629</v>
      </c>
      <c r="C4089" s="1" t="n">
        <v>45971</v>
      </c>
      <c r="D4089" t="inlineStr">
        <is>
          <t>VÄSTERBOTTENS LÄN</t>
        </is>
      </c>
      <c r="E4089" t="inlineStr">
        <is>
          <t>BJURHOLM</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40577-2024</t>
        </is>
      </c>
      <c r="B4090" s="1" t="n">
        <v>45555</v>
      </c>
      <c r="C4090" s="1" t="n">
        <v>45971</v>
      </c>
      <c r="D4090" t="inlineStr">
        <is>
          <t>VÄSTERBOTTENS LÄN</t>
        </is>
      </c>
      <c r="E4090" t="inlineStr">
        <is>
          <t>BJURHOLM</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41694-2023</t>
        </is>
      </c>
      <c r="B4091" s="1" t="n">
        <v>45176</v>
      </c>
      <c r="C4091" s="1" t="n">
        <v>45971</v>
      </c>
      <c r="D4091" t="inlineStr">
        <is>
          <t>VÄSTERBOTTENS LÄN</t>
        </is>
      </c>
      <c r="E4091" t="inlineStr">
        <is>
          <t>ÅSELE</t>
        </is>
      </c>
      <c r="F4091" t="inlineStr">
        <is>
          <t>Holmen skog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4004-2025</t>
        </is>
      </c>
      <c r="B4092" s="1" t="n">
        <v>45684</v>
      </c>
      <c r="C4092" s="1" t="n">
        <v>45971</v>
      </c>
      <c r="D4092" t="inlineStr">
        <is>
          <t>VÄSTERBOTTENS LÄN</t>
        </is>
      </c>
      <c r="E4092" t="inlineStr">
        <is>
          <t>VINDELN</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41711-2023</t>
        </is>
      </c>
      <c r="B4093" s="1" t="n">
        <v>45176.39111111111</v>
      </c>
      <c r="C4093" s="1" t="n">
        <v>45971</v>
      </c>
      <c r="D4093" t="inlineStr">
        <is>
          <t>VÄSTERBOTTENS LÄN</t>
        </is>
      </c>
      <c r="E4093" t="inlineStr">
        <is>
          <t>LYCKSELE</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59561-2024</t>
        </is>
      </c>
      <c r="B4094" s="1" t="n">
        <v>45638.63717592593</v>
      </c>
      <c r="C4094" s="1" t="n">
        <v>45971</v>
      </c>
      <c r="D4094" t="inlineStr">
        <is>
          <t>VÄSTERBOTTENS LÄN</t>
        </is>
      </c>
      <c r="E4094" t="inlineStr">
        <is>
          <t>MALÅ</t>
        </is>
      </c>
      <c r="G4094" t="n">
        <v>11.4</v>
      </c>
      <c r="H4094" t="n">
        <v>0</v>
      </c>
      <c r="I4094" t="n">
        <v>0</v>
      </c>
      <c r="J4094" t="n">
        <v>0</v>
      </c>
      <c r="K4094" t="n">
        <v>0</v>
      </c>
      <c r="L4094" t="n">
        <v>0</v>
      </c>
      <c r="M4094" t="n">
        <v>0</v>
      </c>
      <c r="N4094" t="n">
        <v>0</v>
      </c>
      <c r="O4094" t="n">
        <v>0</v>
      </c>
      <c r="P4094" t="n">
        <v>0</v>
      </c>
      <c r="Q4094" t="n">
        <v>0</v>
      </c>
      <c r="R4094" s="2" t="inlineStr"/>
    </row>
    <row r="4095" ht="15" customHeight="1">
      <c r="A4095" t="inlineStr">
        <is>
          <t>A 59569-2024</t>
        </is>
      </c>
      <c r="B4095" s="1" t="n">
        <v>45638.64100694445</v>
      </c>
      <c r="C4095" s="1" t="n">
        <v>45971</v>
      </c>
      <c r="D4095" t="inlineStr">
        <is>
          <t>VÄSTERBOTTENS LÄN</t>
        </is>
      </c>
      <c r="E4095" t="inlineStr">
        <is>
          <t>LYCKSELE</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42023-2024</t>
        </is>
      </c>
      <c r="B4096" s="1" t="n">
        <v>45561</v>
      </c>
      <c r="C4096" s="1" t="n">
        <v>45971</v>
      </c>
      <c r="D4096" t="inlineStr">
        <is>
          <t>VÄSTERBOTTENS LÄN</t>
        </is>
      </c>
      <c r="E4096" t="inlineStr">
        <is>
          <t>LYCKSELE</t>
        </is>
      </c>
      <c r="F4096" t="inlineStr">
        <is>
          <t>Sveaskog</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13768-2023</t>
        </is>
      </c>
      <c r="B4097" s="1" t="n">
        <v>45006</v>
      </c>
      <c r="C4097" s="1" t="n">
        <v>45971</v>
      </c>
      <c r="D4097" t="inlineStr">
        <is>
          <t>VÄSTERBOTTENS LÄN</t>
        </is>
      </c>
      <c r="E4097" t="inlineStr">
        <is>
          <t>UMEÅ</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52493-2023</t>
        </is>
      </c>
      <c r="B4098" s="1" t="n">
        <v>45225.45331018518</v>
      </c>
      <c r="C4098" s="1" t="n">
        <v>45971</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1508-2025</t>
        </is>
      </c>
      <c r="B4099" s="1" t="n">
        <v>45670.4403587963</v>
      </c>
      <c r="C4099" s="1" t="n">
        <v>45971</v>
      </c>
      <c r="D4099" t="inlineStr">
        <is>
          <t>VÄSTERBOTTENS LÄN</t>
        </is>
      </c>
      <c r="E4099" t="inlineStr">
        <is>
          <t>UMEÅ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50945-2024</t>
        </is>
      </c>
      <c r="B4100" s="1" t="n">
        <v>45602</v>
      </c>
      <c r="C4100" s="1" t="n">
        <v>45971</v>
      </c>
      <c r="D4100" t="inlineStr">
        <is>
          <t>VÄSTERBOTTENS LÄN</t>
        </is>
      </c>
      <c r="E4100" t="inlineStr">
        <is>
          <t>SORSELE</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60842-2023</t>
        </is>
      </c>
      <c r="B4101" s="1" t="n">
        <v>45260.9258912037</v>
      </c>
      <c r="C4101" s="1" t="n">
        <v>45971</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26358-2023</t>
        </is>
      </c>
      <c r="B4102" s="1" t="n">
        <v>45091</v>
      </c>
      <c r="C4102" s="1" t="n">
        <v>45971</v>
      </c>
      <c r="D4102" t="inlineStr">
        <is>
          <t>VÄSTERBOTTENS LÄN</t>
        </is>
      </c>
      <c r="E4102" t="inlineStr">
        <is>
          <t>LYCKSELE</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31273-2024</t>
        </is>
      </c>
      <c r="B4103" s="1" t="n">
        <v>45504</v>
      </c>
      <c r="C4103" s="1" t="n">
        <v>45971</v>
      </c>
      <c r="D4103" t="inlineStr">
        <is>
          <t>VÄSTERBOTTENS LÄN</t>
        </is>
      </c>
      <c r="E4103" t="inlineStr">
        <is>
          <t>MALÅ</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8726-2023</t>
        </is>
      </c>
      <c r="B4104" s="1" t="n">
        <v>44972</v>
      </c>
      <c r="C4104" s="1" t="n">
        <v>45971</v>
      </c>
      <c r="D4104" t="inlineStr">
        <is>
          <t>VÄSTERBOTTENS LÄN</t>
        </is>
      </c>
      <c r="E4104" t="inlineStr">
        <is>
          <t>VILHELMINA</t>
        </is>
      </c>
      <c r="F4104" t="inlineStr">
        <is>
          <t>Allmännings- och besparingsskogar</t>
        </is>
      </c>
      <c r="G4104" t="n">
        <v>50</v>
      </c>
      <c r="H4104" t="n">
        <v>0</v>
      </c>
      <c r="I4104" t="n">
        <v>0</v>
      </c>
      <c r="J4104" t="n">
        <v>0</v>
      </c>
      <c r="K4104" t="n">
        <v>0</v>
      </c>
      <c r="L4104" t="n">
        <v>0</v>
      </c>
      <c r="M4104" t="n">
        <v>0</v>
      </c>
      <c r="N4104" t="n">
        <v>0</v>
      </c>
      <c r="O4104" t="n">
        <v>0</v>
      </c>
      <c r="P4104" t="n">
        <v>0</v>
      </c>
      <c r="Q4104" t="n">
        <v>0</v>
      </c>
      <c r="R4104" s="2" t="inlineStr"/>
    </row>
    <row r="4105" ht="15" customHeight="1">
      <c r="A4105" t="inlineStr">
        <is>
          <t>A 41271-2024</t>
        </is>
      </c>
      <c r="B4105" s="1" t="n">
        <v>45559</v>
      </c>
      <c r="C4105" s="1" t="n">
        <v>45971</v>
      </c>
      <c r="D4105" t="inlineStr">
        <is>
          <t>VÄSTERBOTTENS LÄN</t>
        </is>
      </c>
      <c r="E4105" t="inlineStr">
        <is>
          <t>ROBERTSFORS</t>
        </is>
      </c>
      <c r="F4105" t="inlineStr">
        <is>
          <t>Sveaskog</t>
        </is>
      </c>
      <c r="G4105" t="n">
        <v>11.1</v>
      </c>
      <c r="H4105" t="n">
        <v>0</v>
      </c>
      <c r="I4105" t="n">
        <v>0</v>
      </c>
      <c r="J4105" t="n">
        <v>0</v>
      </c>
      <c r="K4105" t="n">
        <v>0</v>
      </c>
      <c r="L4105" t="n">
        <v>0</v>
      </c>
      <c r="M4105" t="n">
        <v>0</v>
      </c>
      <c r="N4105" t="n">
        <v>0</v>
      </c>
      <c r="O4105" t="n">
        <v>0</v>
      </c>
      <c r="P4105" t="n">
        <v>0</v>
      </c>
      <c r="Q4105" t="n">
        <v>0</v>
      </c>
      <c r="R4105" s="2" t="inlineStr"/>
    </row>
    <row r="4106" ht="15" customHeight="1">
      <c r="A4106" t="inlineStr">
        <is>
          <t>A 37855-2023</t>
        </is>
      </c>
      <c r="B4106" s="1" t="n">
        <v>45160.40148148148</v>
      </c>
      <c r="C4106" s="1" t="n">
        <v>45971</v>
      </c>
      <c r="D4106" t="inlineStr">
        <is>
          <t>VÄSTERBOTTENS LÄN</t>
        </is>
      </c>
      <c r="E4106" t="inlineStr">
        <is>
          <t>SKELLEFTEÅ</t>
        </is>
      </c>
      <c r="F4106" t="inlineStr">
        <is>
          <t>Holmen skog AB</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38808-2023</t>
        </is>
      </c>
      <c r="B4107" s="1" t="n">
        <v>45161</v>
      </c>
      <c r="C4107" s="1" t="n">
        <v>45971</v>
      </c>
      <c r="D4107" t="inlineStr">
        <is>
          <t>VÄSTERBOTTENS LÄN</t>
        </is>
      </c>
      <c r="E4107" t="inlineStr">
        <is>
          <t>NORSJÖ</t>
        </is>
      </c>
      <c r="G4107" t="n">
        <v>20.4</v>
      </c>
      <c r="H4107" t="n">
        <v>0</v>
      </c>
      <c r="I4107" t="n">
        <v>0</v>
      </c>
      <c r="J4107" t="n">
        <v>0</v>
      </c>
      <c r="K4107" t="n">
        <v>0</v>
      </c>
      <c r="L4107" t="n">
        <v>0</v>
      </c>
      <c r="M4107" t="n">
        <v>0</v>
      </c>
      <c r="N4107" t="n">
        <v>0</v>
      </c>
      <c r="O4107" t="n">
        <v>0</v>
      </c>
      <c r="P4107" t="n">
        <v>0</v>
      </c>
      <c r="Q4107" t="n">
        <v>0</v>
      </c>
      <c r="R4107" s="2" t="inlineStr"/>
    </row>
    <row r="4108" ht="15" customHeight="1">
      <c r="A4108" t="inlineStr">
        <is>
          <t>A 39101-2024</t>
        </is>
      </c>
      <c r="B4108" s="1" t="n">
        <v>45548.56578703703</v>
      </c>
      <c r="C4108" s="1" t="n">
        <v>45971</v>
      </c>
      <c r="D4108" t="inlineStr">
        <is>
          <t>VÄSTERBOTTENS LÄN</t>
        </is>
      </c>
      <c r="E4108" t="inlineStr">
        <is>
          <t>BJURHOLM</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39146-2024</t>
        </is>
      </c>
      <c r="B4109" s="1" t="n">
        <v>45548.61752314815</v>
      </c>
      <c r="C4109" s="1" t="n">
        <v>45971</v>
      </c>
      <c r="D4109" t="inlineStr">
        <is>
          <t>VÄSTERBOTTENS LÄN</t>
        </is>
      </c>
      <c r="E4109" t="inlineStr">
        <is>
          <t>SKELLEFTEÅ</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34508-2023</t>
        </is>
      </c>
      <c r="B4110" s="1" t="n">
        <v>45133</v>
      </c>
      <c r="C4110" s="1" t="n">
        <v>45971</v>
      </c>
      <c r="D4110" t="inlineStr">
        <is>
          <t>VÄSTERBOTTENS LÄN</t>
        </is>
      </c>
      <c r="E4110" t="inlineStr">
        <is>
          <t>SKELLEFTEÅ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16081-2024</t>
        </is>
      </c>
      <c r="B4111" s="1" t="n">
        <v>45406</v>
      </c>
      <c r="C4111" s="1" t="n">
        <v>45971</v>
      </c>
      <c r="D4111" t="inlineStr">
        <is>
          <t>VÄSTERBOTTENS LÄN</t>
        </is>
      </c>
      <c r="E4111" t="inlineStr">
        <is>
          <t>BJURHOLM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55134-2022</t>
        </is>
      </c>
      <c r="B4112" s="1" t="n">
        <v>44886</v>
      </c>
      <c r="C4112" s="1" t="n">
        <v>45971</v>
      </c>
      <c r="D4112" t="inlineStr">
        <is>
          <t>VÄSTERBOTTENS LÄN</t>
        </is>
      </c>
      <c r="E4112" t="inlineStr">
        <is>
          <t>VINDELN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61136-2024</t>
        </is>
      </c>
      <c r="B4113" s="1" t="n">
        <v>45645.58386574074</v>
      </c>
      <c r="C4113" s="1" t="n">
        <v>45971</v>
      </c>
      <c r="D4113" t="inlineStr">
        <is>
          <t>VÄSTERBOTTENS LÄN</t>
        </is>
      </c>
      <c r="E4113" t="inlineStr">
        <is>
          <t>NORDMALING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14343-2024</t>
        </is>
      </c>
      <c r="B4114" s="1" t="n">
        <v>45393</v>
      </c>
      <c r="C4114" s="1" t="n">
        <v>45971</v>
      </c>
      <c r="D4114" t="inlineStr">
        <is>
          <t>VÄSTERBOTTENS LÄN</t>
        </is>
      </c>
      <c r="E4114" t="inlineStr">
        <is>
          <t>LYCKSELE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5639-2024</t>
        </is>
      </c>
      <c r="B4115" s="1" t="n">
        <v>45334.61408564815</v>
      </c>
      <c r="C4115" s="1" t="n">
        <v>45971</v>
      </c>
      <c r="D4115" t="inlineStr">
        <is>
          <t>VÄSTERBOTTENS LÄN</t>
        </is>
      </c>
      <c r="E4115" t="inlineStr">
        <is>
          <t>SKELLEFTEÅ</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45927-2024</t>
        </is>
      </c>
      <c r="B4116" s="1" t="n">
        <v>45580</v>
      </c>
      <c r="C4116" s="1" t="n">
        <v>45971</v>
      </c>
      <c r="D4116" t="inlineStr">
        <is>
          <t>VÄSTERBOTTENS LÄN</t>
        </is>
      </c>
      <c r="E4116" t="inlineStr">
        <is>
          <t>ROBERTSFORS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33661-2023</t>
        </is>
      </c>
      <c r="B4117" s="1" t="n">
        <v>45119</v>
      </c>
      <c r="C4117" s="1" t="n">
        <v>45971</v>
      </c>
      <c r="D4117" t="inlineStr">
        <is>
          <t>VÄSTERBOTTENS LÄN</t>
        </is>
      </c>
      <c r="E4117" t="inlineStr">
        <is>
          <t>VILHELMINA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7373-2024</t>
        </is>
      </c>
      <c r="B4118" s="1" t="n">
        <v>45345</v>
      </c>
      <c r="C4118" s="1" t="n">
        <v>45971</v>
      </c>
      <c r="D4118" t="inlineStr">
        <is>
          <t>VÄSTERBOTTENS LÄN</t>
        </is>
      </c>
      <c r="E4118" t="inlineStr">
        <is>
          <t>UMEÅ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2119-2025</t>
        </is>
      </c>
      <c r="B4119" s="1" t="n">
        <v>45672.64280092593</v>
      </c>
      <c r="C4119" s="1" t="n">
        <v>45971</v>
      </c>
      <c r="D4119" t="inlineStr">
        <is>
          <t>VÄSTERBOTTENS LÄN</t>
        </is>
      </c>
      <c r="E4119" t="inlineStr">
        <is>
          <t>NORSJÖ</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40435-2023</t>
        </is>
      </c>
      <c r="B4120" s="1" t="n">
        <v>45169</v>
      </c>
      <c r="C4120" s="1" t="n">
        <v>45971</v>
      </c>
      <c r="D4120" t="inlineStr">
        <is>
          <t>VÄSTERBOTTENS LÄN</t>
        </is>
      </c>
      <c r="E4120" t="inlineStr">
        <is>
          <t>DOROTEA</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44734-2022</t>
        </is>
      </c>
      <c r="B4121" s="1" t="n">
        <v>44840</v>
      </c>
      <c r="C4121" s="1" t="n">
        <v>45971</v>
      </c>
      <c r="D4121" t="inlineStr">
        <is>
          <t>VÄSTERBOTTENS LÄN</t>
        </is>
      </c>
      <c r="E4121" t="inlineStr">
        <is>
          <t>VINDELN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40436-2023</t>
        </is>
      </c>
      <c r="B4122" s="1" t="n">
        <v>45169.9409837963</v>
      </c>
      <c r="C4122" s="1" t="n">
        <v>45971</v>
      </c>
      <c r="D4122" t="inlineStr">
        <is>
          <t>VÄSTERBOTTENS LÄN</t>
        </is>
      </c>
      <c r="E4122" t="inlineStr">
        <is>
          <t>DOROTEA</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40437-2023</t>
        </is>
      </c>
      <c r="B4123" s="1" t="n">
        <v>45169.94105324074</v>
      </c>
      <c r="C4123" s="1" t="n">
        <v>45971</v>
      </c>
      <c r="D4123" t="inlineStr">
        <is>
          <t>VÄSTERBOTTENS LÄN</t>
        </is>
      </c>
      <c r="E4123" t="inlineStr">
        <is>
          <t>DOROTEA</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52497-2022</t>
        </is>
      </c>
      <c r="B4124" s="1" t="n">
        <v>44869</v>
      </c>
      <c r="C4124" s="1" t="n">
        <v>45971</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24691-2023</t>
        </is>
      </c>
      <c r="B4125" s="1" t="n">
        <v>45077</v>
      </c>
      <c r="C4125" s="1" t="n">
        <v>45971</v>
      </c>
      <c r="D4125" t="inlineStr">
        <is>
          <t>VÄSTERBOTTENS LÄN</t>
        </is>
      </c>
      <c r="E4125" t="inlineStr">
        <is>
          <t>STORUMAN</t>
        </is>
      </c>
      <c r="G4125" t="n">
        <v>929</v>
      </c>
      <c r="H4125" t="n">
        <v>0</v>
      </c>
      <c r="I4125" t="n">
        <v>0</v>
      </c>
      <c r="J4125" t="n">
        <v>0</v>
      </c>
      <c r="K4125" t="n">
        <v>0</v>
      </c>
      <c r="L4125" t="n">
        <v>0</v>
      </c>
      <c r="M4125" t="n">
        <v>0</v>
      </c>
      <c r="N4125" t="n">
        <v>0</v>
      </c>
      <c r="O4125" t="n">
        <v>0</v>
      </c>
      <c r="P4125" t="n">
        <v>0</v>
      </c>
      <c r="Q4125" t="n">
        <v>0</v>
      </c>
      <c r="R4125" s="2" t="inlineStr"/>
    </row>
    <row r="4126" ht="15" customHeight="1">
      <c r="A4126" t="inlineStr">
        <is>
          <t>A 70718-2021</t>
        </is>
      </c>
      <c r="B4126" s="1" t="n">
        <v>44536</v>
      </c>
      <c r="C4126" s="1" t="n">
        <v>45971</v>
      </c>
      <c r="D4126" t="inlineStr">
        <is>
          <t>VÄSTERBOTTENS LÄN</t>
        </is>
      </c>
      <c r="E4126" t="inlineStr">
        <is>
          <t>SKELLEFTEÅ</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14983-2025</t>
        </is>
      </c>
      <c r="B4127" s="1" t="n">
        <v>45743</v>
      </c>
      <c r="C4127" s="1" t="n">
        <v>45971</v>
      </c>
      <c r="D4127" t="inlineStr">
        <is>
          <t>VÄSTERBOTTENS LÄN</t>
        </is>
      </c>
      <c r="E4127" t="inlineStr">
        <is>
          <t>NORSJÖ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67444-2020</t>
        </is>
      </c>
      <c r="B4128" s="1" t="n">
        <v>44179</v>
      </c>
      <c r="C4128" s="1" t="n">
        <v>45971</v>
      </c>
      <c r="D4128" t="inlineStr">
        <is>
          <t>VÄSTERBOTTENS LÄN</t>
        </is>
      </c>
      <c r="E4128" t="inlineStr">
        <is>
          <t>UMEÅ</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59605-2022</t>
        </is>
      </c>
      <c r="B4129" s="1" t="n">
        <v>44907</v>
      </c>
      <c r="C4129" s="1" t="n">
        <v>45971</v>
      </c>
      <c r="D4129" t="inlineStr">
        <is>
          <t>VÄSTERBOTTENS LÄN</t>
        </is>
      </c>
      <c r="E4129" t="inlineStr">
        <is>
          <t>NORDMALING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15089-2025</t>
        </is>
      </c>
      <c r="B4130" s="1" t="n">
        <v>45744.32665509259</v>
      </c>
      <c r="C4130" s="1" t="n">
        <v>45971</v>
      </c>
      <c r="D4130" t="inlineStr">
        <is>
          <t>VÄSTERBOTTENS LÄN</t>
        </is>
      </c>
      <c r="E4130" t="inlineStr">
        <is>
          <t>SKELLEFTEÅ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45766-2021</t>
        </is>
      </c>
      <c r="B4131" s="1" t="n">
        <v>44441.43959490741</v>
      </c>
      <c r="C4131" s="1" t="n">
        <v>45971</v>
      </c>
      <c r="D4131" t="inlineStr">
        <is>
          <t>VÄSTERBOTTENS LÄN</t>
        </is>
      </c>
      <c r="E4131" t="inlineStr">
        <is>
          <t>STORUMAN</t>
        </is>
      </c>
      <c r="F4131" t="inlineStr">
        <is>
          <t>Sveaskog</t>
        </is>
      </c>
      <c r="G4131" t="n">
        <v>13.6</v>
      </c>
      <c r="H4131" t="n">
        <v>0</v>
      </c>
      <c r="I4131" t="n">
        <v>0</v>
      </c>
      <c r="J4131" t="n">
        <v>0</v>
      </c>
      <c r="K4131" t="n">
        <v>0</v>
      </c>
      <c r="L4131" t="n">
        <v>0</v>
      </c>
      <c r="M4131" t="n">
        <v>0</v>
      </c>
      <c r="N4131" t="n">
        <v>0</v>
      </c>
      <c r="O4131" t="n">
        <v>0</v>
      </c>
      <c r="P4131" t="n">
        <v>0</v>
      </c>
      <c r="Q4131" t="n">
        <v>0</v>
      </c>
      <c r="R4131" s="2" t="inlineStr"/>
    </row>
    <row r="4132" ht="15" customHeight="1">
      <c r="A4132" t="inlineStr">
        <is>
          <t>A 35786-2023</t>
        </is>
      </c>
      <c r="B4132" s="1" t="n">
        <v>45147</v>
      </c>
      <c r="C4132" s="1" t="n">
        <v>45971</v>
      </c>
      <c r="D4132" t="inlineStr">
        <is>
          <t>VÄSTERBOTTENS LÄN</t>
        </is>
      </c>
      <c r="E4132" t="inlineStr">
        <is>
          <t>NORDMALING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35797-2023</t>
        </is>
      </c>
      <c r="B4133" s="1" t="n">
        <v>45147</v>
      </c>
      <c r="C4133" s="1" t="n">
        <v>45971</v>
      </c>
      <c r="D4133" t="inlineStr">
        <is>
          <t>VÄSTERBOTTENS LÄN</t>
        </is>
      </c>
      <c r="E4133" t="inlineStr">
        <is>
          <t>NORDMALING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35801-2023</t>
        </is>
      </c>
      <c r="B4134" s="1" t="n">
        <v>45147</v>
      </c>
      <c r="C4134" s="1" t="n">
        <v>45971</v>
      </c>
      <c r="D4134" t="inlineStr">
        <is>
          <t>VÄSTERBOTTENS LÄN</t>
        </is>
      </c>
      <c r="E4134" t="inlineStr">
        <is>
          <t>NORDMALING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29463-2024</t>
        </is>
      </c>
      <c r="B4135" s="1" t="n">
        <v>45483.96994212963</v>
      </c>
      <c r="C4135" s="1" t="n">
        <v>45971</v>
      </c>
      <c r="D4135" t="inlineStr">
        <is>
          <t>VÄSTERBOTTENS LÄN</t>
        </is>
      </c>
      <c r="E4135" t="inlineStr">
        <is>
          <t>VILHELMINA</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34713-2024</t>
        </is>
      </c>
      <c r="B4136" s="1" t="n">
        <v>45526.56255787037</v>
      </c>
      <c r="C4136" s="1" t="n">
        <v>45971</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34733-2024</t>
        </is>
      </c>
      <c r="B4137" s="1" t="n">
        <v>45526</v>
      </c>
      <c r="C4137" s="1" t="n">
        <v>45971</v>
      </c>
      <c r="D4137" t="inlineStr">
        <is>
          <t>VÄSTERBOTTENS LÄN</t>
        </is>
      </c>
      <c r="E4137" t="inlineStr">
        <is>
          <t>VINDELN</t>
        </is>
      </c>
      <c r="F4137" t="inlineStr">
        <is>
          <t>Sveaskog</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15375-2025</t>
        </is>
      </c>
      <c r="B4138" s="1" t="n">
        <v>45747.40652777778</v>
      </c>
      <c r="C4138" s="1" t="n">
        <v>45971</v>
      </c>
      <c r="D4138" t="inlineStr">
        <is>
          <t>VÄSTERBOTTENS LÄN</t>
        </is>
      </c>
      <c r="E4138" t="inlineStr">
        <is>
          <t>UMEÅ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11078-2024</t>
        </is>
      </c>
      <c r="B4139" s="1" t="n">
        <v>45370</v>
      </c>
      <c r="C4139" s="1" t="n">
        <v>45971</v>
      </c>
      <c r="D4139" t="inlineStr">
        <is>
          <t>VÄSTERBOTTENS LÄN</t>
        </is>
      </c>
      <c r="E4139" t="inlineStr">
        <is>
          <t>SKELLEFTEÅ</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14663-2024</t>
        </is>
      </c>
      <c r="B4140" s="1" t="n">
        <v>45397.41376157408</v>
      </c>
      <c r="C4140" s="1" t="n">
        <v>45971</v>
      </c>
      <c r="D4140" t="inlineStr">
        <is>
          <t>VÄSTERBOTTENS LÄN</t>
        </is>
      </c>
      <c r="E4140" t="inlineStr">
        <is>
          <t>SKELLEFTEÅ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29150-2024</t>
        </is>
      </c>
      <c r="B4141" s="1" t="n">
        <v>45482.44936342593</v>
      </c>
      <c r="C4141" s="1" t="n">
        <v>45971</v>
      </c>
      <c r="D4141" t="inlineStr">
        <is>
          <t>VÄSTERBOTTENS LÄN</t>
        </is>
      </c>
      <c r="E4141" t="inlineStr">
        <is>
          <t>NORDMALING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23427-2024</t>
        </is>
      </c>
      <c r="B4142" s="1" t="n">
        <v>45453</v>
      </c>
      <c r="C4142" s="1" t="n">
        <v>45971</v>
      </c>
      <c r="D4142" t="inlineStr">
        <is>
          <t>VÄSTERBOTTENS LÄN</t>
        </is>
      </c>
      <c r="E4142" t="inlineStr">
        <is>
          <t>VINDELN</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23523-2024</t>
        </is>
      </c>
      <c r="B4143" s="1" t="n">
        <v>45453.92482638889</v>
      </c>
      <c r="C4143" s="1" t="n">
        <v>45971</v>
      </c>
      <c r="D4143" t="inlineStr">
        <is>
          <t>VÄSTERBOTTENS LÄN</t>
        </is>
      </c>
      <c r="E4143" t="inlineStr">
        <is>
          <t>VINDELN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47063-2024</t>
        </is>
      </c>
      <c r="B4144" s="1" t="n">
        <v>45586.47215277778</v>
      </c>
      <c r="C4144" s="1" t="n">
        <v>45971</v>
      </c>
      <c r="D4144" t="inlineStr">
        <is>
          <t>VÄSTERBOTTENS LÄN</t>
        </is>
      </c>
      <c r="E4144" t="inlineStr">
        <is>
          <t>NORDMALING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44371-2023</t>
        </is>
      </c>
      <c r="B4145" s="1" t="n">
        <v>45188</v>
      </c>
      <c r="C4145" s="1" t="n">
        <v>45971</v>
      </c>
      <c r="D4145" t="inlineStr">
        <is>
          <t>VÄSTERBOTTENS LÄN</t>
        </is>
      </c>
      <c r="E4145" t="inlineStr">
        <is>
          <t>VILHELMINA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28888-2024</t>
        </is>
      </c>
      <c r="B4146" s="1" t="n">
        <v>45479</v>
      </c>
      <c r="C4146" s="1" t="n">
        <v>45971</v>
      </c>
      <c r="D4146" t="inlineStr">
        <is>
          <t>VÄSTERBOTTENS LÄN</t>
        </is>
      </c>
      <c r="E4146" t="inlineStr">
        <is>
          <t>BJURHOLM</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9355-2023</t>
        </is>
      </c>
      <c r="B4147" s="1" t="n">
        <v>44980.93821759259</v>
      </c>
      <c r="C4147" s="1" t="n">
        <v>45971</v>
      </c>
      <c r="D4147" t="inlineStr">
        <is>
          <t>VÄSTERBOTTENS LÄN</t>
        </is>
      </c>
      <c r="E4147" t="inlineStr">
        <is>
          <t>ÅSELE</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9490-2023</t>
        </is>
      </c>
      <c r="B4148" s="1" t="n">
        <v>44977</v>
      </c>
      <c r="C4148" s="1" t="n">
        <v>45971</v>
      </c>
      <c r="D4148" t="inlineStr">
        <is>
          <t>VÄSTERBOTTENS LÄN</t>
        </is>
      </c>
      <c r="E4148" t="inlineStr">
        <is>
          <t>NORDMALING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70028-2021</t>
        </is>
      </c>
      <c r="B4149" s="1" t="n">
        <v>44533</v>
      </c>
      <c r="C4149" s="1" t="n">
        <v>45971</v>
      </c>
      <c r="D4149" t="inlineStr">
        <is>
          <t>VÄSTERBOTTENS LÄN</t>
        </is>
      </c>
      <c r="E4149" t="inlineStr">
        <is>
          <t>NORDMALING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36348-2024</t>
        </is>
      </c>
      <c r="B4150" s="1" t="n">
        <v>45534.64422453703</v>
      </c>
      <c r="C4150" s="1" t="n">
        <v>45971</v>
      </c>
      <c r="D4150" t="inlineStr">
        <is>
          <t>VÄSTERBOTTENS LÄN</t>
        </is>
      </c>
      <c r="E4150" t="inlineStr">
        <is>
          <t>VILHELMINA</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36355-2024</t>
        </is>
      </c>
      <c r="B4151" s="1" t="n">
        <v>45534.64508101852</v>
      </c>
      <c r="C4151" s="1" t="n">
        <v>45971</v>
      </c>
      <c r="D4151" t="inlineStr">
        <is>
          <t>VÄSTERBOTTENS LÄN</t>
        </is>
      </c>
      <c r="E4151" t="inlineStr">
        <is>
          <t>VILHELMINA</t>
        </is>
      </c>
      <c r="F4151" t="inlineStr">
        <is>
          <t>SCA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41003-2023</t>
        </is>
      </c>
      <c r="B4152" s="1" t="n">
        <v>45161</v>
      </c>
      <c r="C4152" s="1" t="n">
        <v>45971</v>
      </c>
      <c r="D4152" t="inlineStr">
        <is>
          <t>VÄSTERBOTTENS LÄN</t>
        </is>
      </c>
      <c r="E4152" t="inlineStr">
        <is>
          <t>NORSJÖ</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41006-2023</t>
        </is>
      </c>
      <c r="B4153" s="1" t="n">
        <v>45173</v>
      </c>
      <c r="C4153" s="1" t="n">
        <v>45971</v>
      </c>
      <c r="D4153" t="inlineStr">
        <is>
          <t>VÄSTERBOTTENS LÄN</t>
        </is>
      </c>
      <c r="E4153" t="inlineStr">
        <is>
          <t>SKELLEFTEÅ</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15886-2023</t>
        </is>
      </c>
      <c r="B4154" s="1" t="n">
        <v>45022</v>
      </c>
      <c r="C4154" s="1" t="n">
        <v>45971</v>
      </c>
      <c r="D4154" t="inlineStr">
        <is>
          <t>VÄSTERBOTTENS LÄN</t>
        </is>
      </c>
      <c r="E4154" t="inlineStr">
        <is>
          <t>UMEÅ</t>
        </is>
      </c>
      <c r="F4154" t="inlineStr">
        <is>
          <t>Holmen skog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15906-2023</t>
        </is>
      </c>
      <c r="B4155" s="1" t="n">
        <v>45021</v>
      </c>
      <c r="C4155" s="1" t="n">
        <v>45971</v>
      </c>
      <c r="D4155" t="inlineStr">
        <is>
          <t>VÄSTERBOTTENS LÄN</t>
        </is>
      </c>
      <c r="E4155" t="inlineStr">
        <is>
          <t>SKELLEFTEÅ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58440-2024</t>
        </is>
      </c>
      <c r="B4156" s="1" t="n">
        <v>45635.31018518518</v>
      </c>
      <c r="C4156" s="1" t="n">
        <v>45971</v>
      </c>
      <c r="D4156" t="inlineStr">
        <is>
          <t>VÄSTERBOTTENS LÄN</t>
        </is>
      </c>
      <c r="E4156" t="inlineStr">
        <is>
          <t>UMEÅ</t>
        </is>
      </c>
      <c r="F4156" t="inlineStr">
        <is>
          <t>Holmen skog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29675-2023</t>
        </is>
      </c>
      <c r="B4157" s="1" t="n">
        <v>45107</v>
      </c>
      <c r="C4157" s="1" t="n">
        <v>45971</v>
      </c>
      <c r="D4157" t="inlineStr">
        <is>
          <t>VÄSTERBOTTENS LÄN</t>
        </is>
      </c>
      <c r="E4157" t="inlineStr">
        <is>
          <t>LYCKSELE</t>
        </is>
      </c>
      <c r="F4157" t="inlineStr">
        <is>
          <t>Holmen skog AB</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52772-2024</t>
        </is>
      </c>
      <c r="B4158" s="1" t="n">
        <v>45610</v>
      </c>
      <c r="C4158" s="1" t="n">
        <v>45971</v>
      </c>
      <c r="D4158" t="inlineStr">
        <is>
          <t>VÄSTERBOTTENS LÄN</t>
        </is>
      </c>
      <c r="E4158" t="inlineStr">
        <is>
          <t>ÅSELE</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36267-2023</t>
        </is>
      </c>
      <c r="B4159" s="1" t="n">
        <v>45151.94417824074</v>
      </c>
      <c r="C4159" s="1" t="n">
        <v>45971</v>
      </c>
      <c r="D4159" t="inlineStr">
        <is>
          <t>VÄSTERBOTTENS LÄN</t>
        </is>
      </c>
      <c r="E4159" t="inlineStr">
        <is>
          <t>LYCKSELE</t>
        </is>
      </c>
      <c r="F4159" t="inlineStr">
        <is>
          <t>SCA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21152-2024</t>
        </is>
      </c>
      <c r="B4160" s="1" t="n">
        <v>45440</v>
      </c>
      <c r="C4160" s="1" t="n">
        <v>45971</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28148-2023</t>
        </is>
      </c>
      <c r="B4161" s="1" t="n">
        <v>45099.48684027778</v>
      </c>
      <c r="C4161" s="1" t="n">
        <v>45971</v>
      </c>
      <c r="D4161" t="inlineStr">
        <is>
          <t>VÄSTERBOTTENS LÄN</t>
        </is>
      </c>
      <c r="E4161" t="inlineStr">
        <is>
          <t>SKELLEFTEÅ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3705-2023</t>
        </is>
      </c>
      <c r="B4162" s="1" t="n">
        <v>44950.95469907407</v>
      </c>
      <c r="C4162" s="1" t="n">
        <v>45971</v>
      </c>
      <c r="D4162" t="inlineStr">
        <is>
          <t>VÄSTERBOTTENS LÄN</t>
        </is>
      </c>
      <c r="E4162" t="inlineStr">
        <is>
          <t>BJURHOLM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19678-2024</t>
        </is>
      </c>
      <c r="B4163" s="1" t="n">
        <v>45432.48533564815</v>
      </c>
      <c r="C4163" s="1" t="n">
        <v>45971</v>
      </c>
      <c r="D4163" t="inlineStr">
        <is>
          <t>VÄSTERBOTTENS LÄN</t>
        </is>
      </c>
      <c r="E4163" t="inlineStr">
        <is>
          <t>UMEÅ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31541-2024</t>
        </is>
      </c>
      <c r="B4164" s="1" t="n">
        <v>45505</v>
      </c>
      <c r="C4164" s="1" t="n">
        <v>45971</v>
      </c>
      <c r="D4164" t="inlineStr">
        <is>
          <t>VÄSTERBOTTENS LÄN</t>
        </is>
      </c>
      <c r="E4164" t="inlineStr">
        <is>
          <t>ÅSELE</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33349-2023</t>
        </is>
      </c>
      <c r="B4165" s="1" t="n">
        <v>45117</v>
      </c>
      <c r="C4165" s="1" t="n">
        <v>45971</v>
      </c>
      <c r="D4165" t="inlineStr">
        <is>
          <t>VÄSTERBOTTENS LÄN</t>
        </is>
      </c>
      <c r="E4165" t="inlineStr">
        <is>
          <t>VILHELMINA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12374-2025</t>
        </is>
      </c>
      <c r="B4166" s="1" t="n">
        <v>45730</v>
      </c>
      <c r="C4166" s="1" t="n">
        <v>45971</v>
      </c>
      <c r="D4166" t="inlineStr">
        <is>
          <t>VÄSTERBOTTENS LÄN</t>
        </is>
      </c>
      <c r="E4166" t="inlineStr">
        <is>
          <t>VILHELMINA</t>
        </is>
      </c>
      <c r="F4166" t="inlineStr">
        <is>
          <t>Övriga statliga verk och myndigheter</t>
        </is>
      </c>
      <c r="G4166" t="n">
        <v>18.7</v>
      </c>
      <c r="H4166" t="n">
        <v>0</v>
      </c>
      <c r="I4166" t="n">
        <v>0</v>
      </c>
      <c r="J4166" t="n">
        <v>0</v>
      </c>
      <c r="K4166" t="n">
        <v>0</v>
      </c>
      <c r="L4166" t="n">
        <v>0</v>
      </c>
      <c r="M4166" t="n">
        <v>0</v>
      </c>
      <c r="N4166" t="n">
        <v>0</v>
      </c>
      <c r="O4166" t="n">
        <v>0</v>
      </c>
      <c r="P4166" t="n">
        <v>0</v>
      </c>
      <c r="Q4166" t="n">
        <v>0</v>
      </c>
      <c r="R4166" s="2" t="inlineStr"/>
    </row>
    <row r="4167" ht="15" customHeight="1">
      <c r="A4167" t="inlineStr">
        <is>
          <t>A 12375-2025</t>
        </is>
      </c>
      <c r="B4167" s="1" t="n">
        <v>45730</v>
      </c>
      <c r="C4167" s="1" t="n">
        <v>45971</v>
      </c>
      <c r="D4167" t="inlineStr">
        <is>
          <t>VÄSTERBOTTENS LÄN</t>
        </is>
      </c>
      <c r="E4167" t="inlineStr">
        <is>
          <t>VILHELMINA</t>
        </is>
      </c>
      <c r="F4167" t="inlineStr">
        <is>
          <t>Övriga statliga verk och myndigheter</t>
        </is>
      </c>
      <c r="G4167" t="n">
        <v>22.3</v>
      </c>
      <c r="H4167" t="n">
        <v>0</v>
      </c>
      <c r="I4167" t="n">
        <v>0</v>
      </c>
      <c r="J4167" t="n">
        <v>0</v>
      </c>
      <c r="K4167" t="n">
        <v>0</v>
      </c>
      <c r="L4167" t="n">
        <v>0</v>
      </c>
      <c r="M4167" t="n">
        <v>0</v>
      </c>
      <c r="N4167" t="n">
        <v>0</v>
      </c>
      <c r="O4167" t="n">
        <v>0</v>
      </c>
      <c r="P4167" t="n">
        <v>0</v>
      </c>
      <c r="Q4167" t="n">
        <v>0</v>
      </c>
      <c r="R4167" s="2" t="inlineStr"/>
    </row>
    <row r="4168" ht="15" customHeight="1">
      <c r="A4168" t="inlineStr">
        <is>
          <t>A 70748-2021</t>
        </is>
      </c>
      <c r="B4168" s="1" t="n">
        <v>44537.63729166667</v>
      </c>
      <c r="C4168" s="1" t="n">
        <v>45971</v>
      </c>
      <c r="D4168" t="inlineStr">
        <is>
          <t>VÄSTERBOTTENS LÄN</t>
        </is>
      </c>
      <c r="E4168" t="inlineStr">
        <is>
          <t>SKELLEFTEÅ</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12391-2025</t>
        </is>
      </c>
      <c r="B4169" s="1" t="n">
        <v>45730.39814814815</v>
      </c>
      <c r="C4169" s="1" t="n">
        <v>45971</v>
      </c>
      <c r="D4169" t="inlineStr">
        <is>
          <t>VÄSTERBOTTENS LÄN</t>
        </is>
      </c>
      <c r="E4169" t="inlineStr">
        <is>
          <t>BJURHOLM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35631-2024</t>
        </is>
      </c>
      <c r="B4170" s="1" t="n">
        <v>45531.74990740741</v>
      </c>
      <c r="C4170" s="1" t="n">
        <v>45971</v>
      </c>
      <c r="D4170" t="inlineStr">
        <is>
          <t>VÄSTERBOTTENS LÄN</t>
        </is>
      </c>
      <c r="E4170" t="inlineStr">
        <is>
          <t>UMEÅ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49428-2022</t>
        </is>
      </c>
      <c r="B4171" s="1" t="n">
        <v>44859</v>
      </c>
      <c r="C4171" s="1" t="n">
        <v>45971</v>
      </c>
      <c r="D4171" t="inlineStr">
        <is>
          <t>VÄSTERBOTTENS LÄN</t>
        </is>
      </c>
      <c r="E4171" t="inlineStr">
        <is>
          <t>ÅSELE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59381-2023</t>
        </is>
      </c>
      <c r="B4172" s="1" t="n">
        <v>45253.8090162037</v>
      </c>
      <c r="C4172" s="1" t="n">
        <v>45971</v>
      </c>
      <c r="D4172" t="inlineStr">
        <is>
          <t>VÄSTERBOTTENS LÄN</t>
        </is>
      </c>
      <c r="E4172" t="inlineStr">
        <is>
          <t>BJURHOLM</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59395-2023</t>
        </is>
      </c>
      <c r="B4173" s="1" t="n">
        <v>45253</v>
      </c>
      <c r="C4173" s="1" t="n">
        <v>45971</v>
      </c>
      <c r="D4173" t="inlineStr">
        <is>
          <t>VÄSTERBOTTENS LÄN</t>
        </is>
      </c>
      <c r="E4173" t="inlineStr">
        <is>
          <t>DOROTEA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59397-2023</t>
        </is>
      </c>
      <c r="B4174" s="1" t="n">
        <v>45253</v>
      </c>
      <c r="C4174" s="1" t="n">
        <v>45971</v>
      </c>
      <c r="D4174" t="inlineStr">
        <is>
          <t>VÄSTERBOTTENS LÄN</t>
        </is>
      </c>
      <c r="E4174" t="inlineStr">
        <is>
          <t>DOROTEA</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15430-2024</t>
        </is>
      </c>
      <c r="B4175" s="1" t="n">
        <v>45401</v>
      </c>
      <c r="C4175" s="1" t="n">
        <v>45971</v>
      </c>
      <c r="D4175" t="inlineStr">
        <is>
          <t>VÄSTERBOTTENS LÄN</t>
        </is>
      </c>
      <c r="E4175" t="inlineStr">
        <is>
          <t>UMEÅ</t>
        </is>
      </c>
      <c r="F4175" t="inlineStr">
        <is>
          <t>Holmen skog AB</t>
        </is>
      </c>
      <c r="G4175" t="n">
        <v>37.4</v>
      </c>
      <c r="H4175" t="n">
        <v>0</v>
      </c>
      <c r="I4175" t="n">
        <v>0</v>
      </c>
      <c r="J4175" t="n">
        <v>0</v>
      </c>
      <c r="K4175" t="n">
        <v>0</v>
      </c>
      <c r="L4175" t="n">
        <v>0</v>
      </c>
      <c r="M4175" t="n">
        <v>0</v>
      </c>
      <c r="N4175" t="n">
        <v>0</v>
      </c>
      <c r="O4175" t="n">
        <v>0</v>
      </c>
      <c r="P4175" t="n">
        <v>0</v>
      </c>
      <c r="Q4175" t="n">
        <v>0</v>
      </c>
      <c r="R4175" s="2" t="inlineStr"/>
    </row>
    <row r="4176" ht="15" customHeight="1">
      <c r="A4176" t="inlineStr">
        <is>
          <t>A 22663-2021</t>
        </is>
      </c>
      <c r="B4176" s="1" t="n">
        <v>44327</v>
      </c>
      <c r="C4176" s="1" t="n">
        <v>45971</v>
      </c>
      <c r="D4176" t="inlineStr">
        <is>
          <t>VÄSTERBOTTENS LÄN</t>
        </is>
      </c>
      <c r="E4176" t="inlineStr">
        <is>
          <t>SKELLEFTEÅ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61586-2024</t>
        </is>
      </c>
      <c r="B4177" s="1" t="n">
        <v>45646.62806712963</v>
      </c>
      <c r="C4177" s="1" t="n">
        <v>45971</v>
      </c>
      <c r="D4177" t="inlineStr">
        <is>
          <t>VÄSTERBOTTENS LÄN</t>
        </is>
      </c>
      <c r="E4177" t="inlineStr">
        <is>
          <t>VINDELN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12871-2025</t>
        </is>
      </c>
      <c r="B4178" s="1" t="n">
        <v>45733.67770833334</v>
      </c>
      <c r="C4178" s="1" t="n">
        <v>45971</v>
      </c>
      <c r="D4178" t="inlineStr">
        <is>
          <t>VÄSTERBOTTENS LÄN</t>
        </is>
      </c>
      <c r="E4178" t="inlineStr">
        <is>
          <t>DOROTEA</t>
        </is>
      </c>
      <c r="F4178" t="inlineStr">
        <is>
          <t>SCA</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25453-2024</t>
        </is>
      </c>
      <c r="B4179" s="1" t="n">
        <v>45463.42144675926</v>
      </c>
      <c r="C4179" s="1" t="n">
        <v>45971</v>
      </c>
      <c r="D4179" t="inlineStr">
        <is>
          <t>VÄSTERBOTTENS LÄN</t>
        </is>
      </c>
      <c r="E4179" t="inlineStr">
        <is>
          <t>VÄNNÄS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4104-2023</t>
        </is>
      </c>
      <c r="B4180" s="1" t="n">
        <v>44952</v>
      </c>
      <c r="C4180" s="1" t="n">
        <v>45971</v>
      </c>
      <c r="D4180" t="inlineStr">
        <is>
          <t>VÄSTERBOTTENS LÄN</t>
        </is>
      </c>
      <c r="E4180" t="inlineStr">
        <is>
          <t>SKELLEFTEÅ</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31839-2024</t>
        </is>
      </c>
      <c r="B4181" s="1" t="n">
        <v>45509.65498842593</v>
      </c>
      <c r="C4181" s="1" t="n">
        <v>45971</v>
      </c>
      <c r="D4181" t="inlineStr">
        <is>
          <t>VÄSTERBOTTENS LÄN</t>
        </is>
      </c>
      <c r="E4181" t="inlineStr">
        <is>
          <t>VÄNNÄS</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54509-2024</t>
        </is>
      </c>
      <c r="B4182" s="1" t="n">
        <v>45617.58597222222</v>
      </c>
      <c r="C4182" s="1" t="n">
        <v>45971</v>
      </c>
      <c r="D4182" t="inlineStr">
        <is>
          <t>VÄSTERBOTTENS LÄN</t>
        </is>
      </c>
      <c r="E4182" t="inlineStr">
        <is>
          <t>UMEÅ</t>
        </is>
      </c>
      <c r="F4182" t="inlineStr">
        <is>
          <t>Holmen skog AB</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1225-2023</t>
        </is>
      </c>
      <c r="B4183" s="1" t="n">
        <v>44935.97194444444</v>
      </c>
      <c r="C4183" s="1" t="n">
        <v>45971</v>
      </c>
      <c r="D4183" t="inlineStr">
        <is>
          <t>VÄSTERBOTTENS LÄN</t>
        </is>
      </c>
      <c r="E4183" t="inlineStr">
        <is>
          <t>ÅSELE</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17506-2024</t>
        </is>
      </c>
      <c r="B4184" s="1" t="n">
        <v>45415</v>
      </c>
      <c r="C4184" s="1" t="n">
        <v>45971</v>
      </c>
      <c r="D4184" t="inlineStr">
        <is>
          <t>VÄSTERBOTTENS LÄN</t>
        </is>
      </c>
      <c r="E4184" t="inlineStr">
        <is>
          <t>SKELLEFTEÅ</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31871-2024</t>
        </is>
      </c>
      <c r="B4185" s="1" t="n">
        <v>45509.92899305555</v>
      </c>
      <c r="C4185" s="1" t="n">
        <v>45971</v>
      </c>
      <c r="D4185" t="inlineStr">
        <is>
          <t>VÄSTERBOTTENS LÄN</t>
        </is>
      </c>
      <c r="E4185" t="inlineStr">
        <is>
          <t>SKELLEFTEÅ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41025-2023</t>
        </is>
      </c>
      <c r="B4186" s="1" t="n">
        <v>45173</v>
      </c>
      <c r="C4186" s="1" t="n">
        <v>45971</v>
      </c>
      <c r="D4186" t="inlineStr">
        <is>
          <t>VÄSTERBOTTENS LÄN</t>
        </is>
      </c>
      <c r="E4186" t="inlineStr">
        <is>
          <t>NORDMALING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408-2023</t>
        </is>
      </c>
      <c r="B4187" s="1" t="n">
        <v>44924</v>
      </c>
      <c r="C4187" s="1" t="n">
        <v>45971</v>
      </c>
      <c r="D4187" t="inlineStr">
        <is>
          <t>VÄSTERBOTTENS LÄN</t>
        </is>
      </c>
      <c r="E4187" t="inlineStr">
        <is>
          <t>LYCKSELE</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62538-2023</t>
        </is>
      </c>
      <c r="B4188" s="1" t="n">
        <v>45267</v>
      </c>
      <c r="C4188" s="1" t="n">
        <v>45971</v>
      </c>
      <c r="D4188" t="inlineStr">
        <is>
          <t>VÄSTERBOTTENS LÄN</t>
        </is>
      </c>
      <c r="E4188" t="inlineStr">
        <is>
          <t>UMEÅ</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10760-2023</t>
        </is>
      </c>
      <c r="B4189" s="1" t="n">
        <v>44988.92247685185</v>
      </c>
      <c r="C4189" s="1" t="n">
        <v>45971</v>
      </c>
      <c r="D4189" t="inlineStr">
        <is>
          <t>VÄSTERBOTTENS LÄN</t>
        </is>
      </c>
      <c r="E4189" t="inlineStr">
        <is>
          <t>ÅSELE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10761-2023</t>
        </is>
      </c>
      <c r="B4190" s="1" t="n">
        <v>44988.92252314815</v>
      </c>
      <c r="C4190" s="1" t="n">
        <v>45971</v>
      </c>
      <c r="D4190" t="inlineStr">
        <is>
          <t>VÄSTERBOTTENS LÄN</t>
        </is>
      </c>
      <c r="E4190" t="inlineStr">
        <is>
          <t>ÅSELE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13088-2023</t>
        </is>
      </c>
      <c r="B4191" s="1" t="n">
        <v>45001</v>
      </c>
      <c r="C4191" s="1" t="n">
        <v>45971</v>
      </c>
      <c r="D4191" t="inlineStr">
        <is>
          <t>VÄSTERBOTTENS LÄN</t>
        </is>
      </c>
      <c r="E4191" t="inlineStr">
        <is>
          <t>SORSELE</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13187-2023</t>
        </is>
      </c>
      <c r="B4192" s="1" t="n">
        <v>45002</v>
      </c>
      <c r="C4192" s="1" t="n">
        <v>45971</v>
      </c>
      <c r="D4192" t="inlineStr">
        <is>
          <t>VÄSTERBOTTENS LÄN</t>
        </is>
      </c>
      <c r="E4192" t="inlineStr">
        <is>
          <t>ROBERTSFORS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16856-2025</t>
        </is>
      </c>
      <c r="B4193" s="1" t="n">
        <v>45754</v>
      </c>
      <c r="C4193" s="1" t="n">
        <v>45971</v>
      </c>
      <c r="D4193" t="inlineStr">
        <is>
          <t>VÄSTERBOTTENS LÄN</t>
        </is>
      </c>
      <c r="E4193" t="inlineStr">
        <is>
          <t>SKELLEFTEÅ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6244-2024</t>
        </is>
      </c>
      <c r="B4194" s="1" t="n">
        <v>45337</v>
      </c>
      <c r="C4194" s="1" t="n">
        <v>45971</v>
      </c>
      <c r="D4194" t="inlineStr">
        <is>
          <t>VÄSTERBOTTENS LÄN</t>
        </is>
      </c>
      <c r="E4194" t="inlineStr">
        <is>
          <t>SKELLEFTEÅ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6723-2024</t>
        </is>
      </c>
      <c r="B4195" s="1" t="n">
        <v>45342.37591435185</v>
      </c>
      <c r="C4195" s="1" t="n">
        <v>45971</v>
      </c>
      <c r="D4195" t="inlineStr">
        <is>
          <t>VÄSTERBOTTENS LÄN</t>
        </is>
      </c>
      <c r="E4195" t="inlineStr">
        <is>
          <t>SKELLEFTEÅ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32253-2024</t>
        </is>
      </c>
      <c r="B4196" s="1" t="n">
        <v>45511.95214120371</v>
      </c>
      <c r="C4196" s="1" t="n">
        <v>45971</v>
      </c>
      <c r="D4196" t="inlineStr">
        <is>
          <t>VÄSTERBOTTENS LÄN</t>
        </is>
      </c>
      <c r="E4196" t="inlineStr">
        <is>
          <t>VILHELMINA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512-2025</t>
        </is>
      </c>
      <c r="B4197" s="1" t="n">
        <v>45660</v>
      </c>
      <c r="C4197" s="1" t="n">
        <v>45971</v>
      </c>
      <c r="D4197" t="inlineStr">
        <is>
          <t>VÄSTERBOTTENS LÄN</t>
        </is>
      </c>
      <c r="E4197" t="inlineStr">
        <is>
          <t>STORUMAN</t>
        </is>
      </c>
      <c r="G4197" t="n">
        <v>18.5</v>
      </c>
      <c r="H4197" t="n">
        <v>0</v>
      </c>
      <c r="I4197" t="n">
        <v>0</v>
      </c>
      <c r="J4197" t="n">
        <v>0</v>
      </c>
      <c r="K4197" t="n">
        <v>0</v>
      </c>
      <c r="L4197" t="n">
        <v>0</v>
      </c>
      <c r="M4197" t="n">
        <v>0</v>
      </c>
      <c r="N4197" t="n">
        <v>0</v>
      </c>
      <c r="O4197" t="n">
        <v>0</v>
      </c>
      <c r="P4197" t="n">
        <v>0</v>
      </c>
      <c r="Q4197" t="n">
        <v>0</v>
      </c>
      <c r="R4197" s="2" t="inlineStr"/>
    </row>
    <row r="4198" ht="15" customHeight="1">
      <c r="A4198" t="inlineStr">
        <is>
          <t>A 560-2025</t>
        </is>
      </c>
      <c r="B4198" s="1" t="n">
        <v>45660</v>
      </c>
      <c r="C4198" s="1" t="n">
        <v>45971</v>
      </c>
      <c r="D4198" t="inlineStr">
        <is>
          <t>VÄSTERBOTTENS LÄN</t>
        </is>
      </c>
      <c r="E4198" t="inlineStr">
        <is>
          <t>SKELLEFTEÅ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56993-2022</t>
        </is>
      </c>
      <c r="B4199" s="1" t="n">
        <v>44894</v>
      </c>
      <c r="C4199" s="1" t="n">
        <v>45971</v>
      </c>
      <c r="D4199" t="inlineStr">
        <is>
          <t>VÄSTERBOTTENS LÄN</t>
        </is>
      </c>
      <c r="E4199" t="inlineStr">
        <is>
          <t>SKELLEFTEÅ</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6719-2025</t>
        </is>
      </c>
      <c r="B4200" s="1" t="n">
        <v>45700.5778587963</v>
      </c>
      <c r="C4200" s="1" t="n">
        <v>45971</v>
      </c>
      <c r="D4200" t="inlineStr">
        <is>
          <t>VÄSTERBOTTENS LÄN</t>
        </is>
      </c>
      <c r="E4200" t="inlineStr">
        <is>
          <t>SORSELE</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19189-2024</t>
        </is>
      </c>
      <c r="B4201" s="1" t="n">
        <v>45428</v>
      </c>
      <c r="C4201" s="1" t="n">
        <v>45971</v>
      </c>
      <c r="D4201" t="inlineStr">
        <is>
          <t>VÄSTERBOTTENS LÄN</t>
        </is>
      </c>
      <c r="E4201" t="inlineStr">
        <is>
          <t>UMEÅ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25018-2024</t>
        </is>
      </c>
      <c r="B4202" s="1" t="n">
        <v>45461.92976851852</v>
      </c>
      <c r="C4202" s="1" t="n">
        <v>45971</v>
      </c>
      <c r="D4202" t="inlineStr">
        <is>
          <t>VÄSTERBOTTENS LÄN</t>
        </is>
      </c>
      <c r="E4202" t="inlineStr">
        <is>
          <t>STORUMAN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25020-2024</t>
        </is>
      </c>
      <c r="B4203" s="1" t="n">
        <v>45461.9625</v>
      </c>
      <c r="C4203" s="1" t="n">
        <v>45971</v>
      </c>
      <c r="D4203" t="inlineStr">
        <is>
          <t>VÄSTERBOTTENS LÄN</t>
        </is>
      </c>
      <c r="E4203" t="inlineStr">
        <is>
          <t>LYCKSELE</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37210-2024</t>
        </is>
      </c>
      <c r="B4204" s="1" t="n">
        <v>45539</v>
      </c>
      <c r="C4204" s="1" t="n">
        <v>45971</v>
      </c>
      <c r="D4204" t="inlineStr">
        <is>
          <t>VÄSTERBOTTENS LÄN</t>
        </is>
      </c>
      <c r="E4204" t="inlineStr">
        <is>
          <t>VINDELN</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28893-2024</t>
        </is>
      </c>
      <c r="B4205" s="1" t="n">
        <v>45479.949375</v>
      </c>
      <c r="C4205" s="1" t="n">
        <v>45971</v>
      </c>
      <c r="D4205" t="inlineStr">
        <is>
          <t>VÄSTERBOTTENS LÄN</t>
        </is>
      </c>
      <c r="E4205" t="inlineStr">
        <is>
          <t>LYCKSELE</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28939-2024</t>
        </is>
      </c>
      <c r="B4206" s="1" t="n">
        <v>45481.37263888889</v>
      </c>
      <c r="C4206" s="1" t="n">
        <v>45971</v>
      </c>
      <c r="D4206" t="inlineStr">
        <is>
          <t>VÄSTERBOTTENS LÄN</t>
        </is>
      </c>
      <c r="E4206" t="inlineStr">
        <is>
          <t>ÅSELE</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64384-2023</t>
        </is>
      </c>
      <c r="B4207" s="1" t="n">
        <v>45280</v>
      </c>
      <c r="C4207" s="1" t="n">
        <v>45971</v>
      </c>
      <c r="D4207" t="inlineStr">
        <is>
          <t>VÄSTERBOTTENS LÄN</t>
        </is>
      </c>
      <c r="E4207" t="inlineStr">
        <is>
          <t>SORSELE</t>
        </is>
      </c>
      <c r="G4207" t="n">
        <v>30.3</v>
      </c>
      <c r="H4207" t="n">
        <v>0</v>
      </c>
      <c r="I4207" t="n">
        <v>0</v>
      </c>
      <c r="J4207" t="n">
        <v>0</v>
      </c>
      <c r="K4207" t="n">
        <v>0</v>
      </c>
      <c r="L4207" t="n">
        <v>0</v>
      </c>
      <c r="M4207" t="n">
        <v>0</v>
      </c>
      <c r="N4207" t="n">
        <v>0</v>
      </c>
      <c r="O4207" t="n">
        <v>0</v>
      </c>
      <c r="P4207" t="n">
        <v>0</v>
      </c>
      <c r="Q4207" t="n">
        <v>0</v>
      </c>
      <c r="R4207" s="2" t="inlineStr"/>
    </row>
    <row r="4208" ht="15" customHeight="1">
      <c r="A4208" t="inlineStr">
        <is>
          <t>A 52245-2024</t>
        </is>
      </c>
      <c r="B4208" s="1" t="n">
        <v>45608.62322916667</v>
      </c>
      <c r="C4208" s="1" t="n">
        <v>45971</v>
      </c>
      <c r="D4208" t="inlineStr">
        <is>
          <t>VÄSTERBOTTENS LÄN</t>
        </is>
      </c>
      <c r="E4208" t="inlineStr">
        <is>
          <t>SKELLEFTEÅ</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52255-2024</t>
        </is>
      </c>
      <c r="B4209" s="1" t="n">
        <v>45608.64011574074</v>
      </c>
      <c r="C4209" s="1" t="n">
        <v>45971</v>
      </c>
      <c r="D4209" t="inlineStr">
        <is>
          <t>VÄSTERBOTTENS LÄN</t>
        </is>
      </c>
      <c r="E4209" t="inlineStr">
        <is>
          <t>VÄNNÄS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5302-2025</t>
        </is>
      </c>
      <c r="B4210" s="1" t="n">
        <v>45692.47335648148</v>
      </c>
      <c r="C4210" s="1" t="n">
        <v>45971</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26924-2024</t>
        </is>
      </c>
      <c r="B4211" s="1" t="n">
        <v>45470.93101851852</v>
      </c>
      <c r="C4211" s="1" t="n">
        <v>45971</v>
      </c>
      <c r="D4211" t="inlineStr">
        <is>
          <t>VÄSTERBOTTENS LÄN</t>
        </is>
      </c>
      <c r="E4211" t="inlineStr">
        <is>
          <t>UMEÅ</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26930-2024</t>
        </is>
      </c>
      <c r="B4212" s="1" t="n">
        <v>45470.93159722222</v>
      </c>
      <c r="C4212" s="1" t="n">
        <v>45971</v>
      </c>
      <c r="D4212" t="inlineStr">
        <is>
          <t>VÄSTERBOTTENS LÄN</t>
        </is>
      </c>
      <c r="E4212" t="inlineStr">
        <is>
          <t>NORDMALING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30019-2024</t>
        </is>
      </c>
      <c r="B4213" s="1" t="n">
        <v>45485</v>
      </c>
      <c r="C4213" s="1" t="n">
        <v>45971</v>
      </c>
      <c r="D4213" t="inlineStr">
        <is>
          <t>VÄSTERBOTTENS LÄN</t>
        </is>
      </c>
      <c r="E4213" t="inlineStr">
        <is>
          <t>NORSJÖ</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20276-2025</t>
        </is>
      </c>
      <c r="B4214" s="1" t="n">
        <v>45774.32366898148</v>
      </c>
      <c r="C4214" s="1" t="n">
        <v>45971</v>
      </c>
      <c r="D4214" t="inlineStr">
        <is>
          <t>VÄSTERBOTTENS LÄN</t>
        </is>
      </c>
      <c r="E4214" t="inlineStr">
        <is>
          <t>ÅSELE</t>
        </is>
      </c>
      <c r="G4214" t="n">
        <v>16.3</v>
      </c>
      <c r="H4214" t="n">
        <v>0</v>
      </c>
      <c r="I4214" t="n">
        <v>0</v>
      </c>
      <c r="J4214" t="n">
        <v>0</v>
      </c>
      <c r="K4214" t="n">
        <v>0</v>
      </c>
      <c r="L4214" t="n">
        <v>0</v>
      </c>
      <c r="M4214" t="n">
        <v>0</v>
      </c>
      <c r="N4214" t="n">
        <v>0</v>
      </c>
      <c r="O4214" t="n">
        <v>0</v>
      </c>
      <c r="P4214" t="n">
        <v>0</v>
      </c>
      <c r="Q4214" t="n">
        <v>0</v>
      </c>
      <c r="R4214" s="2" t="inlineStr"/>
    </row>
    <row r="4215" ht="15" customHeight="1">
      <c r="A4215" t="inlineStr">
        <is>
          <t>A 20390-2025</t>
        </is>
      </c>
      <c r="B4215" s="1" t="n">
        <v>45775.44846064815</v>
      </c>
      <c r="C4215" s="1" t="n">
        <v>45971</v>
      </c>
      <c r="D4215" t="inlineStr">
        <is>
          <t>VÄSTERBOTTENS LÄN</t>
        </is>
      </c>
      <c r="E4215" t="inlineStr">
        <is>
          <t>VINDELN</t>
        </is>
      </c>
      <c r="F4215" t="inlineStr">
        <is>
          <t>SCA</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42642-2024</t>
        </is>
      </c>
      <c r="B4216" s="1" t="n">
        <v>45566</v>
      </c>
      <c r="C4216" s="1" t="n">
        <v>45971</v>
      </c>
      <c r="D4216" t="inlineStr">
        <is>
          <t>VÄSTERBOTTENS LÄN</t>
        </is>
      </c>
      <c r="E4216" t="inlineStr">
        <is>
          <t>ÅSELE</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43311-2024</t>
        </is>
      </c>
      <c r="B4217" s="1" t="n">
        <v>45568.44950231481</v>
      </c>
      <c r="C4217" s="1" t="n">
        <v>45971</v>
      </c>
      <c r="D4217" t="inlineStr">
        <is>
          <t>VÄSTERBOTTENS LÄN</t>
        </is>
      </c>
      <c r="E4217" t="inlineStr">
        <is>
          <t>BJURHOLM</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46862-2025</t>
        </is>
      </c>
      <c r="B4218" s="1" t="n">
        <v>45929.30164351852</v>
      </c>
      <c r="C4218" s="1" t="n">
        <v>45971</v>
      </c>
      <c r="D4218" t="inlineStr">
        <is>
          <t>VÄSTERBOTTENS LÄN</t>
        </is>
      </c>
      <c r="E4218" t="inlineStr">
        <is>
          <t>VINDELN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6800-2025</t>
        </is>
      </c>
      <c r="B4219" s="1" t="n">
        <v>45700.67916666667</v>
      </c>
      <c r="C4219" s="1" t="n">
        <v>45971</v>
      </c>
      <c r="D4219" t="inlineStr">
        <is>
          <t>VÄSTERBOTTENS LÄN</t>
        </is>
      </c>
      <c r="E4219" t="inlineStr">
        <is>
          <t>LYCKSELE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62325-2022</t>
        </is>
      </c>
      <c r="B4220" s="1" t="n">
        <v>44916</v>
      </c>
      <c r="C4220" s="1" t="n">
        <v>45971</v>
      </c>
      <c r="D4220" t="inlineStr">
        <is>
          <t>VÄSTERBOTTENS LÄN</t>
        </is>
      </c>
      <c r="E4220" t="inlineStr">
        <is>
          <t>SKELLEFTEÅ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15159-2025</t>
        </is>
      </c>
      <c r="B4221" s="1" t="n">
        <v>45744.47206018519</v>
      </c>
      <c r="C4221" s="1" t="n">
        <v>45971</v>
      </c>
      <c r="D4221" t="inlineStr">
        <is>
          <t>VÄSTERBOTTENS LÄN</t>
        </is>
      </c>
      <c r="E4221" t="inlineStr">
        <is>
          <t>ROBERTSFORS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16604-2025</t>
        </is>
      </c>
      <c r="B4222" s="1" t="n">
        <v>45753</v>
      </c>
      <c r="C4222" s="1" t="n">
        <v>45971</v>
      </c>
      <c r="D4222" t="inlineStr">
        <is>
          <t>VÄSTERBOTTENS LÄN</t>
        </is>
      </c>
      <c r="E4222" t="inlineStr">
        <is>
          <t>SKELLEFTEÅ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53557-2021</t>
        </is>
      </c>
      <c r="B4223" s="1" t="n">
        <v>44468</v>
      </c>
      <c r="C4223" s="1" t="n">
        <v>45971</v>
      </c>
      <c r="D4223" t="inlineStr">
        <is>
          <t>VÄSTERBOTTENS LÄN</t>
        </is>
      </c>
      <c r="E4223" t="inlineStr">
        <is>
          <t>NORSJÖ</t>
        </is>
      </c>
      <c r="F4223" t="inlineStr">
        <is>
          <t>Övriga Aktiebolag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53614-2021</t>
        </is>
      </c>
      <c r="B4224" s="1" t="n">
        <v>44469.38017361111</v>
      </c>
      <c r="C4224" s="1" t="n">
        <v>45971</v>
      </c>
      <c r="D4224" t="inlineStr">
        <is>
          <t>VÄSTERBOTTENS LÄN</t>
        </is>
      </c>
      <c r="E4224" t="inlineStr">
        <is>
          <t>LYCKSELE</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44481-2022</t>
        </is>
      </c>
      <c r="B4225" s="1" t="n">
        <v>44840</v>
      </c>
      <c r="C4225" s="1" t="n">
        <v>45971</v>
      </c>
      <c r="D4225" t="inlineStr">
        <is>
          <t>VÄSTERBOTTENS LÄN</t>
        </is>
      </c>
      <c r="E4225" t="inlineStr">
        <is>
          <t>UMEÅ</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26980-2024</t>
        </is>
      </c>
      <c r="B4226" s="1" t="n">
        <v>45471</v>
      </c>
      <c r="C4226" s="1" t="n">
        <v>45971</v>
      </c>
      <c r="D4226" t="inlineStr">
        <is>
          <t>VÄSTERBOTTENS LÄN</t>
        </is>
      </c>
      <c r="E4226" t="inlineStr">
        <is>
          <t>ÅSELE</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20759-2023</t>
        </is>
      </c>
      <c r="B4227" s="1" t="n">
        <v>45055</v>
      </c>
      <c r="C4227" s="1" t="n">
        <v>45971</v>
      </c>
      <c r="D4227" t="inlineStr">
        <is>
          <t>VÄSTERBOTTENS LÄN</t>
        </is>
      </c>
      <c r="E4227" t="inlineStr">
        <is>
          <t>DOROTEA</t>
        </is>
      </c>
      <c r="F4227" t="inlineStr">
        <is>
          <t>Övriga statliga verk och myndigheter</t>
        </is>
      </c>
      <c r="G4227" t="n">
        <v>13.9</v>
      </c>
      <c r="H4227" t="n">
        <v>0</v>
      </c>
      <c r="I4227" t="n">
        <v>0</v>
      </c>
      <c r="J4227" t="n">
        <v>0</v>
      </c>
      <c r="K4227" t="n">
        <v>0</v>
      </c>
      <c r="L4227" t="n">
        <v>0</v>
      </c>
      <c r="M4227" t="n">
        <v>0</v>
      </c>
      <c r="N4227" t="n">
        <v>0</v>
      </c>
      <c r="O4227" t="n">
        <v>0</v>
      </c>
      <c r="P4227" t="n">
        <v>0</v>
      </c>
      <c r="Q4227" t="n">
        <v>0</v>
      </c>
      <c r="R4227" s="2" t="inlineStr"/>
    </row>
    <row r="4228" ht="15" customHeight="1">
      <c r="A4228" t="inlineStr">
        <is>
          <t>A 39185-2024</t>
        </is>
      </c>
      <c r="B4228" s="1" t="n">
        <v>45548</v>
      </c>
      <c r="C4228" s="1" t="n">
        <v>45971</v>
      </c>
      <c r="D4228" t="inlineStr">
        <is>
          <t>VÄSTERBOTTENS LÄN</t>
        </is>
      </c>
      <c r="E4228" t="inlineStr">
        <is>
          <t>VÄNNÄS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57795-2023</t>
        </is>
      </c>
      <c r="B4229" s="1" t="n">
        <v>45246.96861111111</v>
      </c>
      <c r="C4229" s="1" t="n">
        <v>45971</v>
      </c>
      <c r="D4229" t="inlineStr">
        <is>
          <t>VÄSTERBOTTENS LÄN</t>
        </is>
      </c>
      <c r="E4229" t="inlineStr">
        <is>
          <t>VILHELMINA</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30425-2024</t>
        </is>
      </c>
      <c r="B4230" s="1" t="n">
        <v>45491.67836805555</v>
      </c>
      <c r="C4230" s="1" t="n">
        <v>45971</v>
      </c>
      <c r="D4230" t="inlineStr">
        <is>
          <t>VÄSTERBOTTENS LÄN</t>
        </is>
      </c>
      <c r="E4230" t="inlineStr">
        <is>
          <t>LYCKSELE</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47016-2022</t>
        </is>
      </c>
      <c r="B4231" s="1" t="n">
        <v>44851</v>
      </c>
      <c r="C4231" s="1" t="n">
        <v>45971</v>
      </c>
      <c r="D4231" t="inlineStr">
        <is>
          <t>VÄSTERBOTTENS LÄN</t>
        </is>
      </c>
      <c r="E4231" t="inlineStr">
        <is>
          <t>LYCKSELE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55810-2022</t>
        </is>
      </c>
      <c r="B4232" s="1" t="n">
        <v>44888.65146990741</v>
      </c>
      <c r="C4232" s="1" t="n">
        <v>45971</v>
      </c>
      <c r="D4232" t="inlineStr">
        <is>
          <t>VÄSTERBOTTENS LÄN</t>
        </is>
      </c>
      <c r="E4232" t="inlineStr">
        <is>
          <t>NORDMALING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55459-2024</t>
        </is>
      </c>
      <c r="B4233" s="1" t="n">
        <v>45622.42745370371</v>
      </c>
      <c r="C4233" s="1" t="n">
        <v>45971</v>
      </c>
      <c r="D4233" t="inlineStr">
        <is>
          <t>VÄSTERBOTTENS LÄN</t>
        </is>
      </c>
      <c r="E4233" t="inlineStr">
        <is>
          <t>BJURHOLM</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49356-2024</t>
        </is>
      </c>
      <c r="B4234" s="1" t="n">
        <v>45595</v>
      </c>
      <c r="C4234" s="1" t="n">
        <v>45971</v>
      </c>
      <c r="D4234" t="inlineStr">
        <is>
          <t>VÄSTERBOTTENS LÄN</t>
        </is>
      </c>
      <c r="E4234" t="inlineStr">
        <is>
          <t>SKELLEFTEÅ</t>
        </is>
      </c>
      <c r="F4234" t="inlineStr">
        <is>
          <t>Sveaskog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4625-2024</t>
        </is>
      </c>
      <c r="B4235" s="1" t="n">
        <v>45328</v>
      </c>
      <c r="C4235" s="1" t="n">
        <v>45971</v>
      </c>
      <c r="D4235" t="inlineStr">
        <is>
          <t>VÄSTERBOTTENS LÄN</t>
        </is>
      </c>
      <c r="E4235" t="inlineStr">
        <is>
          <t>LYCKSELE</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30417-2024</t>
        </is>
      </c>
      <c r="B4236" s="1" t="n">
        <v>45491.64728009259</v>
      </c>
      <c r="C4236" s="1" t="n">
        <v>45971</v>
      </c>
      <c r="D4236" t="inlineStr">
        <is>
          <t>VÄSTERBOTTENS LÄN</t>
        </is>
      </c>
      <c r="E4236" t="inlineStr">
        <is>
          <t>SORSELE</t>
        </is>
      </c>
      <c r="F4236" t="inlineStr">
        <is>
          <t>Sveaskog</t>
        </is>
      </c>
      <c r="G4236" t="n">
        <v>13.2</v>
      </c>
      <c r="H4236" t="n">
        <v>0</v>
      </c>
      <c r="I4236" t="n">
        <v>0</v>
      </c>
      <c r="J4236" t="n">
        <v>0</v>
      </c>
      <c r="K4236" t="n">
        <v>0</v>
      </c>
      <c r="L4236" t="n">
        <v>0</v>
      </c>
      <c r="M4236" t="n">
        <v>0</v>
      </c>
      <c r="N4236" t="n">
        <v>0</v>
      </c>
      <c r="O4236" t="n">
        <v>0</v>
      </c>
      <c r="P4236" t="n">
        <v>0</v>
      </c>
      <c r="Q4236" t="n">
        <v>0</v>
      </c>
      <c r="R4236" s="2" t="inlineStr"/>
    </row>
    <row r="4237" ht="15" customHeight="1">
      <c r="A4237" t="inlineStr">
        <is>
          <t>A 34317-2024</t>
        </is>
      </c>
      <c r="B4237" s="1" t="n">
        <v>45524.70659722222</v>
      </c>
      <c r="C4237" s="1" t="n">
        <v>45971</v>
      </c>
      <c r="D4237" t="inlineStr">
        <is>
          <t>VÄSTERBOTTENS LÄN</t>
        </is>
      </c>
      <c r="E4237" t="inlineStr">
        <is>
          <t>NORSJÖ</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37841-2023</t>
        </is>
      </c>
      <c r="B4238" s="1" t="n">
        <v>45156</v>
      </c>
      <c r="C4238" s="1" t="n">
        <v>45971</v>
      </c>
      <c r="D4238" t="inlineStr">
        <is>
          <t>VÄSTERBOTTENS LÄN</t>
        </is>
      </c>
      <c r="E4238" t="inlineStr">
        <is>
          <t>NORSJÖ</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63010-2023</t>
        </is>
      </c>
      <c r="B4239" s="1" t="n">
        <v>45272</v>
      </c>
      <c r="C4239" s="1" t="n">
        <v>45971</v>
      </c>
      <c r="D4239" t="inlineStr">
        <is>
          <t>VÄSTERBOTTENS LÄN</t>
        </is>
      </c>
      <c r="E4239" t="inlineStr">
        <is>
          <t>SKELLEFTEÅ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23633-2024</t>
        </is>
      </c>
      <c r="B4240" s="1" t="n">
        <v>45454</v>
      </c>
      <c r="C4240" s="1" t="n">
        <v>45971</v>
      </c>
      <c r="D4240" t="inlineStr">
        <is>
          <t>VÄSTERBOTTENS LÄN</t>
        </is>
      </c>
      <c r="E4240" t="inlineStr">
        <is>
          <t>MALÅ</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21012-2024</t>
        </is>
      </c>
      <c r="B4241" s="1" t="n">
        <v>45439</v>
      </c>
      <c r="C4241" s="1" t="n">
        <v>45971</v>
      </c>
      <c r="D4241" t="inlineStr">
        <is>
          <t>VÄSTERBOTTENS LÄN</t>
        </is>
      </c>
      <c r="E4241" t="inlineStr">
        <is>
          <t>NORSJÖ</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54825-2022</t>
        </is>
      </c>
      <c r="B4242" s="1" t="n">
        <v>44883</v>
      </c>
      <c r="C4242" s="1" t="n">
        <v>45971</v>
      </c>
      <c r="D4242" t="inlineStr">
        <is>
          <t>VÄSTERBOTTENS LÄN</t>
        </is>
      </c>
      <c r="E4242" t="inlineStr">
        <is>
          <t>SKELLEFTEÅ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28954-2024</t>
        </is>
      </c>
      <c r="B4243" s="1" t="n">
        <v>45481.40775462963</v>
      </c>
      <c r="C4243" s="1" t="n">
        <v>45971</v>
      </c>
      <c r="D4243" t="inlineStr">
        <is>
          <t>VÄSTERBOTTENS LÄN</t>
        </is>
      </c>
      <c r="E4243" t="inlineStr">
        <is>
          <t>ÅSELE</t>
        </is>
      </c>
      <c r="F4243" t="inlineStr">
        <is>
          <t>Sveaskog</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31167-2024</t>
        </is>
      </c>
      <c r="B4244" s="1" t="n">
        <v>45503.39758101852</v>
      </c>
      <c r="C4244" s="1" t="n">
        <v>45971</v>
      </c>
      <c r="D4244" t="inlineStr">
        <is>
          <t>VÄSTERBOTTENS LÄN</t>
        </is>
      </c>
      <c r="E4244" t="inlineStr">
        <is>
          <t>SKELLEFTEÅ</t>
        </is>
      </c>
      <c r="F4244" t="inlineStr">
        <is>
          <t>Holmen skog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45325-2024</t>
        </is>
      </c>
      <c r="B4245" s="1" t="n">
        <v>45576.45346064815</v>
      </c>
      <c r="C4245" s="1" t="n">
        <v>45971</v>
      </c>
      <c r="D4245" t="inlineStr">
        <is>
          <t>VÄSTERBOTTENS LÄN</t>
        </is>
      </c>
      <c r="E4245" t="inlineStr">
        <is>
          <t>UMEÅ</t>
        </is>
      </c>
      <c r="F4245" t="inlineStr">
        <is>
          <t>Holmen skog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45330-2024</t>
        </is>
      </c>
      <c r="B4246" s="1" t="n">
        <v>45576.45649305556</v>
      </c>
      <c r="C4246" s="1" t="n">
        <v>45971</v>
      </c>
      <c r="D4246" t="inlineStr">
        <is>
          <t>VÄSTERBOTTENS LÄN</t>
        </is>
      </c>
      <c r="E4246" t="inlineStr">
        <is>
          <t>LYCKSELE</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35614-2024</t>
        </is>
      </c>
      <c r="B4247" s="1" t="n">
        <v>45531.69734953704</v>
      </c>
      <c r="C4247" s="1" t="n">
        <v>45971</v>
      </c>
      <c r="D4247" t="inlineStr">
        <is>
          <t>VÄSTERBOTTENS LÄN</t>
        </is>
      </c>
      <c r="E4247" t="inlineStr">
        <is>
          <t>BJURHOLM</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27322-2023</t>
        </is>
      </c>
      <c r="B4248" s="1" t="n">
        <v>45096</v>
      </c>
      <c r="C4248" s="1" t="n">
        <v>45971</v>
      </c>
      <c r="D4248" t="inlineStr">
        <is>
          <t>VÄSTERBOTTENS LÄN</t>
        </is>
      </c>
      <c r="E4248" t="inlineStr">
        <is>
          <t>SKELLEFTEÅ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67677-2021</t>
        </is>
      </c>
      <c r="B4249" s="1" t="n">
        <v>44524.9221412037</v>
      </c>
      <c r="C4249" s="1" t="n">
        <v>45971</v>
      </c>
      <c r="D4249" t="inlineStr">
        <is>
          <t>VÄSTERBOTTENS LÄN</t>
        </is>
      </c>
      <c r="E4249" t="inlineStr">
        <is>
          <t>NORSJÖ</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67679-2021</t>
        </is>
      </c>
      <c r="B4250" s="1" t="n">
        <v>44524</v>
      </c>
      <c r="C4250" s="1" t="n">
        <v>45971</v>
      </c>
      <c r="D4250" t="inlineStr">
        <is>
          <t>VÄSTERBOTTENS LÄN</t>
        </is>
      </c>
      <c r="E4250" t="inlineStr">
        <is>
          <t>MALÅ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67686-2021</t>
        </is>
      </c>
      <c r="B4251" s="1" t="n">
        <v>44524</v>
      </c>
      <c r="C4251" s="1" t="n">
        <v>45971</v>
      </c>
      <c r="D4251" t="inlineStr">
        <is>
          <t>VÄSTERBOTTENS LÄN</t>
        </is>
      </c>
      <c r="E4251" t="inlineStr">
        <is>
          <t>DOROTEA</t>
        </is>
      </c>
      <c r="F4251" t="inlineStr">
        <is>
          <t>SCA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31258-2024</t>
        </is>
      </c>
      <c r="B4252" s="1" t="n">
        <v>45503.70638888889</v>
      </c>
      <c r="C4252" s="1" t="n">
        <v>45971</v>
      </c>
      <c r="D4252" t="inlineStr">
        <is>
          <t>VÄSTERBOTTENS LÄN</t>
        </is>
      </c>
      <c r="E4252" t="inlineStr">
        <is>
          <t>NORDMALING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50913-2022</t>
        </is>
      </c>
      <c r="B4253" s="1" t="n">
        <v>44867</v>
      </c>
      <c r="C4253" s="1" t="n">
        <v>45971</v>
      </c>
      <c r="D4253" t="inlineStr">
        <is>
          <t>VÄSTERBOTTENS LÄN</t>
        </is>
      </c>
      <c r="E4253" t="inlineStr">
        <is>
          <t>STORUMAN</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32058-2024</t>
        </is>
      </c>
      <c r="B4254" s="1" t="n">
        <v>45510</v>
      </c>
      <c r="C4254" s="1" t="n">
        <v>45971</v>
      </c>
      <c r="D4254" t="inlineStr">
        <is>
          <t>VÄSTERBOTTENS LÄN</t>
        </is>
      </c>
      <c r="E4254" t="inlineStr">
        <is>
          <t>ÅSELE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47131-2024</t>
        </is>
      </c>
      <c r="B4255" s="1" t="n">
        <v>45586.57693287037</v>
      </c>
      <c r="C4255" s="1" t="n">
        <v>45971</v>
      </c>
      <c r="D4255" t="inlineStr">
        <is>
          <t>VÄSTERBOTTENS LÄN</t>
        </is>
      </c>
      <c r="E4255" t="inlineStr">
        <is>
          <t>LYCKSELE</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11843-2025</t>
        </is>
      </c>
      <c r="B4256" s="1" t="n">
        <v>45728</v>
      </c>
      <c r="C4256" s="1" t="n">
        <v>45971</v>
      </c>
      <c r="D4256" t="inlineStr">
        <is>
          <t>VÄSTERBOTTENS LÄN</t>
        </is>
      </c>
      <c r="E4256" t="inlineStr">
        <is>
          <t>SKELLEFTEÅ</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32104-2024</t>
        </is>
      </c>
      <c r="B4257" s="1" t="n">
        <v>45511.4325925926</v>
      </c>
      <c r="C4257" s="1" t="n">
        <v>45971</v>
      </c>
      <c r="D4257" t="inlineStr">
        <is>
          <t>VÄSTERBOTTENS LÄN</t>
        </is>
      </c>
      <c r="E4257" t="inlineStr">
        <is>
          <t>ROBERTSFORS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58450-2024</t>
        </is>
      </c>
      <c r="B4258" s="1" t="n">
        <v>45635.34425925926</v>
      </c>
      <c r="C4258" s="1" t="n">
        <v>45971</v>
      </c>
      <c r="D4258" t="inlineStr">
        <is>
          <t>VÄSTERBOTTENS LÄN</t>
        </is>
      </c>
      <c r="E4258" t="inlineStr">
        <is>
          <t>VILHELMINA</t>
        </is>
      </c>
      <c r="F4258" t="inlineStr">
        <is>
          <t>SCA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2087-2025</t>
        </is>
      </c>
      <c r="B4259" s="1" t="n">
        <v>45672.59090277777</v>
      </c>
      <c r="C4259" s="1" t="n">
        <v>45971</v>
      </c>
      <c r="D4259" t="inlineStr">
        <is>
          <t>VÄSTERBOTTENS LÄN</t>
        </is>
      </c>
      <c r="E4259" t="inlineStr">
        <is>
          <t>SKELLEFTEÅ</t>
        </is>
      </c>
      <c r="F4259" t="inlineStr">
        <is>
          <t>Holmen skog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59712-2023</t>
        </is>
      </c>
      <c r="B4260" s="1" t="n">
        <v>45257</v>
      </c>
      <c r="C4260" s="1" t="n">
        <v>45971</v>
      </c>
      <c r="D4260" t="inlineStr">
        <is>
          <t>VÄSTERBOTTENS LÄN</t>
        </is>
      </c>
      <c r="E4260" t="inlineStr">
        <is>
          <t>BJURHOLM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59814-2023</t>
        </is>
      </c>
      <c r="B4261" s="1" t="n">
        <v>45257.50859953704</v>
      </c>
      <c r="C4261" s="1" t="n">
        <v>45971</v>
      </c>
      <c r="D4261" t="inlineStr">
        <is>
          <t>VÄSTERBOTTENS LÄN</t>
        </is>
      </c>
      <c r="E4261" t="inlineStr">
        <is>
          <t>NORSJÖ</t>
        </is>
      </c>
      <c r="G4261" t="n">
        <v>28.6</v>
      </c>
      <c r="H4261" t="n">
        <v>0</v>
      </c>
      <c r="I4261" t="n">
        <v>0</v>
      </c>
      <c r="J4261" t="n">
        <v>0</v>
      </c>
      <c r="K4261" t="n">
        <v>0</v>
      </c>
      <c r="L4261" t="n">
        <v>0</v>
      </c>
      <c r="M4261" t="n">
        <v>0</v>
      </c>
      <c r="N4261" t="n">
        <v>0</v>
      </c>
      <c r="O4261" t="n">
        <v>0</v>
      </c>
      <c r="P4261" t="n">
        <v>0</v>
      </c>
      <c r="Q4261" t="n">
        <v>0</v>
      </c>
      <c r="R4261" s="2" t="inlineStr"/>
    </row>
    <row r="4262" ht="15" customHeight="1">
      <c r="A4262" t="inlineStr">
        <is>
          <t>A 51000-2022</t>
        </is>
      </c>
      <c r="B4262" s="1" t="n">
        <v>44867</v>
      </c>
      <c r="C4262" s="1" t="n">
        <v>45971</v>
      </c>
      <c r="D4262" t="inlineStr">
        <is>
          <t>VÄSTERBOTTENS LÄN</t>
        </is>
      </c>
      <c r="E4262" t="inlineStr">
        <is>
          <t>NORSJÖ</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54837-2024</t>
        </is>
      </c>
      <c r="B4263" s="1" t="n">
        <v>45618.56424768519</v>
      </c>
      <c r="C4263" s="1" t="n">
        <v>45971</v>
      </c>
      <c r="D4263" t="inlineStr">
        <is>
          <t>VÄSTERBOTTENS LÄN</t>
        </is>
      </c>
      <c r="E4263" t="inlineStr">
        <is>
          <t>NORDMALING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2758-2023</t>
        </is>
      </c>
      <c r="B4264" s="1" t="n">
        <v>44943</v>
      </c>
      <c r="C4264" s="1" t="n">
        <v>45971</v>
      </c>
      <c r="D4264" t="inlineStr">
        <is>
          <t>VÄSTERBOTTENS LÄN</t>
        </is>
      </c>
      <c r="E4264" t="inlineStr">
        <is>
          <t>LYCKSELE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27052-2024</t>
        </is>
      </c>
      <c r="B4265" s="1" t="n">
        <v>45471</v>
      </c>
      <c r="C4265" s="1" t="n">
        <v>45971</v>
      </c>
      <c r="D4265" t="inlineStr">
        <is>
          <t>VÄSTERBOTTENS LÄN</t>
        </is>
      </c>
      <c r="E4265" t="inlineStr">
        <is>
          <t>UMEÅ</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58592-2024</t>
        </is>
      </c>
      <c r="B4266" s="1" t="n">
        <v>45635</v>
      </c>
      <c r="C4266" s="1" t="n">
        <v>45971</v>
      </c>
      <c r="D4266" t="inlineStr">
        <is>
          <t>VÄSTERBOTTENS LÄN</t>
        </is>
      </c>
      <c r="E4266" t="inlineStr">
        <is>
          <t>NORSJÖ</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11747-2025</t>
        </is>
      </c>
      <c r="B4267" s="1" t="n">
        <v>45727.6358912037</v>
      </c>
      <c r="C4267" s="1" t="n">
        <v>45971</v>
      </c>
      <c r="D4267" t="inlineStr">
        <is>
          <t>VÄSTERBOTTENS LÄN</t>
        </is>
      </c>
      <c r="E4267" t="inlineStr">
        <is>
          <t>NORSJÖ</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44548-2023</t>
        </is>
      </c>
      <c r="B4268" s="1" t="n">
        <v>45183</v>
      </c>
      <c r="C4268" s="1" t="n">
        <v>45971</v>
      </c>
      <c r="D4268" t="inlineStr">
        <is>
          <t>VÄSTERBOTTENS LÄN</t>
        </is>
      </c>
      <c r="E4268" t="inlineStr">
        <is>
          <t>NORDMALING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13873-2025</t>
        </is>
      </c>
      <c r="B4269" s="1" t="n">
        <v>45737.58700231482</v>
      </c>
      <c r="C4269" s="1" t="n">
        <v>45971</v>
      </c>
      <c r="D4269" t="inlineStr">
        <is>
          <t>VÄSTERBOTTENS LÄN</t>
        </is>
      </c>
      <c r="E4269" t="inlineStr">
        <is>
          <t>VINDELN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47014-2024</t>
        </is>
      </c>
      <c r="B4270" s="1" t="n">
        <v>45586.38862268518</v>
      </c>
      <c r="C4270" s="1" t="n">
        <v>45971</v>
      </c>
      <c r="D4270" t="inlineStr">
        <is>
          <t>VÄSTERBOTTENS LÄN</t>
        </is>
      </c>
      <c r="E4270" t="inlineStr">
        <is>
          <t>SKELLEFTEÅ</t>
        </is>
      </c>
      <c r="G4270" t="n">
        <v>14.7</v>
      </c>
      <c r="H4270" t="n">
        <v>0</v>
      </c>
      <c r="I4270" t="n">
        <v>0</v>
      </c>
      <c r="J4270" t="n">
        <v>0</v>
      </c>
      <c r="K4270" t="n">
        <v>0</v>
      </c>
      <c r="L4270" t="n">
        <v>0</v>
      </c>
      <c r="M4270" t="n">
        <v>0</v>
      </c>
      <c r="N4270" t="n">
        <v>0</v>
      </c>
      <c r="O4270" t="n">
        <v>0</v>
      </c>
      <c r="P4270" t="n">
        <v>0</v>
      </c>
      <c r="Q4270" t="n">
        <v>0</v>
      </c>
      <c r="R4270" s="2" t="inlineStr"/>
    </row>
    <row r="4271" ht="15" customHeight="1">
      <c r="A4271" t="inlineStr">
        <is>
          <t>A 58669-2024</t>
        </is>
      </c>
      <c r="B4271" s="1" t="n">
        <v>45634</v>
      </c>
      <c r="C4271" s="1" t="n">
        <v>45971</v>
      </c>
      <c r="D4271" t="inlineStr">
        <is>
          <t>VÄSTERBOTTENS LÄN</t>
        </is>
      </c>
      <c r="E4271" t="inlineStr">
        <is>
          <t>SORSELE</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58671-2024</t>
        </is>
      </c>
      <c r="B4272" s="1" t="n">
        <v>45635</v>
      </c>
      <c r="C4272" s="1" t="n">
        <v>45971</v>
      </c>
      <c r="D4272" t="inlineStr">
        <is>
          <t>VÄSTERBOTTENS LÄN</t>
        </is>
      </c>
      <c r="E4272" t="inlineStr">
        <is>
          <t>SORSELE</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16999-2023</t>
        </is>
      </c>
      <c r="B4273" s="1" t="n">
        <v>45033.92614583333</v>
      </c>
      <c r="C4273" s="1" t="n">
        <v>45971</v>
      </c>
      <c r="D4273" t="inlineStr">
        <is>
          <t>VÄSTERBOTTENS LÄN</t>
        </is>
      </c>
      <c r="E4273" t="inlineStr">
        <is>
          <t>UMEÅ</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35179-2024</t>
        </is>
      </c>
      <c r="B4274" s="1" t="n">
        <v>45530.44016203703</v>
      </c>
      <c r="C4274" s="1" t="n">
        <v>45971</v>
      </c>
      <c r="D4274" t="inlineStr">
        <is>
          <t>VÄSTERBOTTENS LÄN</t>
        </is>
      </c>
      <c r="E4274" t="inlineStr">
        <is>
          <t>NORSJÖ</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39973-2021</t>
        </is>
      </c>
      <c r="B4275" s="1" t="n">
        <v>44417</v>
      </c>
      <c r="C4275" s="1" t="n">
        <v>45971</v>
      </c>
      <c r="D4275" t="inlineStr">
        <is>
          <t>VÄSTERBOTTENS LÄN</t>
        </is>
      </c>
      <c r="E4275" t="inlineStr">
        <is>
          <t>STORUMAN</t>
        </is>
      </c>
      <c r="G4275" t="n">
        <v>34.6</v>
      </c>
      <c r="H4275" t="n">
        <v>0</v>
      </c>
      <c r="I4275" t="n">
        <v>0</v>
      </c>
      <c r="J4275" t="n">
        <v>0</v>
      </c>
      <c r="K4275" t="n">
        <v>0</v>
      </c>
      <c r="L4275" t="n">
        <v>0</v>
      </c>
      <c r="M4275" t="n">
        <v>0</v>
      </c>
      <c r="N4275" t="n">
        <v>0</v>
      </c>
      <c r="O4275" t="n">
        <v>0</v>
      </c>
      <c r="P4275" t="n">
        <v>0</v>
      </c>
      <c r="Q4275" t="n">
        <v>0</v>
      </c>
      <c r="R4275" s="2" t="inlineStr"/>
    </row>
    <row r="4276" ht="15" customHeight="1">
      <c r="A4276" t="inlineStr">
        <is>
          <t>A 55405-2024</t>
        </is>
      </c>
      <c r="B4276" s="1" t="n">
        <v>45621</v>
      </c>
      <c r="C4276" s="1" t="n">
        <v>45971</v>
      </c>
      <c r="D4276" t="inlineStr">
        <is>
          <t>VÄSTERBOTTENS LÄN</t>
        </is>
      </c>
      <c r="E4276" t="inlineStr">
        <is>
          <t>NORSJÖ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12112-2024</t>
        </is>
      </c>
      <c r="B4277" s="1" t="n">
        <v>45376</v>
      </c>
      <c r="C4277" s="1" t="n">
        <v>45971</v>
      </c>
      <c r="D4277" t="inlineStr">
        <is>
          <t>VÄSTERBOTTENS LÄN</t>
        </is>
      </c>
      <c r="E4277" t="inlineStr">
        <is>
          <t>SKELLEFTEÅ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58776-2024</t>
        </is>
      </c>
      <c r="B4278" s="1" t="n">
        <v>45635.80726851852</v>
      </c>
      <c r="C4278" s="1" t="n">
        <v>45971</v>
      </c>
      <c r="D4278" t="inlineStr">
        <is>
          <t>VÄSTERBOTTENS LÄN</t>
        </is>
      </c>
      <c r="E4278" t="inlineStr">
        <is>
          <t>SKELLEFTEÅ</t>
        </is>
      </c>
      <c r="F4278" t="inlineStr">
        <is>
          <t>Sveaskog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4927-2025</t>
        </is>
      </c>
      <c r="B4279" s="1" t="n">
        <v>45688.68456018518</v>
      </c>
      <c r="C4279" s="1" t="n">
        <v>45971</v>
      </c>
      <c r="D4279" t="inlineStr">
        <is>
          <t>VÄSTERBOTTENS LÄN</t>
        </is>
      </c>
      <c r="E4279" t="inlineStr">
        <is>
          <t>MALÅ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36449-2024</t>
        </is>
      </c>
      <c r="B4280" s="1" t="n">
        <v>45537</v>
      </c>
      <c r="C4280" s="1" t="n">
        <v>45971</v>
      </c>
      <c r="D4280" t="inlineStr">
        <is>
          <t>VÄSTERBOTTENS LÄN</t>
        </is>
      </c>
      <c r="E4280" t="inlineStr">
        <is>
          <t>ROBERTSFORS</t>
        </is>
      </c>
      <c r="F4280" t="inlineStr">
        <is>
          <t>Holmen skog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60356-2022</t>
        </is>
      </c>
      <c r="B4281" s="1" t="n">
        <v>44904</v>
      </c>
      <c r="C4281" s="1" t="n">
        <v>45971</v>
      </c>
      <c r="D4281" t="inlineStr">
        <is>
          <t>VÄSTERBOTTENS LÄN</t>
        </is>
      </c>
      <c r="E4281" t="inlineStr">
        <is>
          <t>SKELLEFTEÅ</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59082-2022</t>
        </is>
      </c>
      <c r="B4282" s="1" t="n">
        <v>44897</v>
      </c>
      <c r="C4282" s="1" t="n">
        <v>45971</v>
      </c>
      <c r="D4282" t="inlineStr">
        <is>
          <t>VÄSTERBOTTENS LÄN</t>
        </is>
      </c>
      <c r="E4282" t="inlineStr">
        <is>
          <t>SORSELE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47635-2024</t>
        </is>
      </c>
      <c r="B4283" s="1" t="n">
        <v>45588.35972222222</v>
      </c>
      <c r="C4283" s="1" t="n">
        <v>45971</v>
      </c>
      <c r="D4283" t="inlineStr">
        <is>
          <t>VÄSTERBOTTENS LÄN</t>
        </is>
      </c>
      <c r="E4283" t="inlineStr">
        <is>
          <t>NORDMALING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8484-2023</t>
        </is>
      </c>
      <c r="B4284" s="1" t="n">
        <v>44972</v>
      </c>
      <c r="C4284" s="1" t="n">
        <v>45971</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57071-2023</t>
        </is>
      </c>
      <c r="B4285" s="1" t="n">
        <v>45244.96703703704</v>
      </c>
      <c r="C4285" s="1" t="n">
        <v>45971</v>
      </c>
      <c r="D4285" t="inlineStr">
        <is>
          <t>VÄSTERBOTTENS LÄN</t>
        </is>
      </c>
      <c r="E4285" t="inlineStr">
        <is>
          <t>DOROTEA</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29575-2023</t>
        </is>
      </c>
      <c r="B4286" s="1" t="n">
        <v>45106</v>
      </c>
      <c r="C4286" s="1" t="n">
        <v>45971</v>
      </c>
      <c r="D4286" t="inlineStr">
        <is>
          <t>VÄSTERBOTTENS LÄN</t>
        </is>
      </c>
      <c r="E4286" t="inlineStr">
        <is>
          <t>STORUMAN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47697-2021</t>
        </is>
      </c>
      <c r="B4287" s="1" t="n">
        <v>44448.47038194445</v>
      </c>
      <c r="C4287" s="1" t="n">
        <v>45971</v>
      </c>
      <c r="D4287" t="inlineStr">
        <is>
          <t>VÄSTERBOTTENS LÄN</t>
        </is>
      </c>
      <c r="E4287" t="inlineStr">
        <is>
          <t>LYCKSELE</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44078-2023</t>
        </is>
      </c>
      <c r="B4288" s="1" t="n">
        <v>45188.41950231481</v>
      </c>
      <c r="C4288" s="1" t="n">
        <v>45971</v>
      </c>
      <c r="D4288" t="inlineStr">
        <is>
          <t>VÄSTERBOTTENS LÄN</t>
        </is>
      </c>
      <c r="E4288" t="inlineStr">
        <is>
          <t>SKELLEFTEÅ</t>
        </is>
      </c>
      <c r="F4288" t="inlineStr">
        <is>
          <t>Holmen skog AB</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53261-2024</t>
        </is>
      </c>
      <c r="B4289" s="1" t="n">
        <v>45614.34428240741</v>
      </c>
      <c r="C4289" s="1" t="n">
        <v>45971</v>
      </c>
      <c r="D4289" t="inlineStr">
        <is>
          <t>VÄSTERBOTTENS LÄN</t>
        </is>
      </c>
      <c r="E4289" t="inlineStr">
        <is>
          <t>BJURHOLM</t>
        </is>
      </c>
      <c r="F4289" t="inlineStr">
        <is>
          <t>SCA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52149-2024</t>
        </is>
      </c>
      <c r="B4290" s="1" t="n">
        <v>45608.52366898148</v>
      </c>
      <c r="C4290" s="1" t="n">
        <v>45971</v>
      </c>
      <c r="D4290" t="inlineStr">
        <is>
          <t>VÄSTERBOTTENS LÄN</t>
        </is>
      </c>
      <c r="E4290" t="inlineStr">
        <is>
          <t>NORDMALING</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32891-2024</t>
        </is>
      </c>
      <c r="B4291" s="1" t="n">
        <v>45516.83846064815</v>
      </c>
      <c r="C4291" s="1" t="n">
        <v>45971</v>
      </c>
      <c r="D4291" t="inlineStr">
        <is>
          <t>VÄSTERBOTTENS LÄN</t>
        </is>
      </c>
      <c r="E4291" t="inlineStr">
        <is>
          <t>NORSJÖ</t>
        </is>
      </c>
      <c r="F4291" t="inlineStr">
        <is>
          <t>Holmen skog AB</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41594-2023</t>
        </is>
      </c>
      <c r="B4292" s="1" t="n">
        <v>45175</v>
      </c>
      <c r="C4292" s="1" t="n">
        <v>45971</v>
      </c>
      <c r="D4292" t="inlineStr">
        <is>
          <t>VÄSTERBOTTENS LÄN</t>
        </is>
      </c>
      <c r="E4292" t="inlineStr">
        <is>
          <t>UMEÅ</t>
        </is>
      </c>
      <c r="F4292" t="inlineStr">
        <is>
          <t>Holmen skog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460-2025</t>
        </is>
      </c>
      <c r="B4293" s="1" t="n">
        <v>45664.41229166667</v>
      </c>
      <c r="C4293" s="1" t="n">
        <v>45971</v>
      </c>
      <c r="D4293" t="inlineStr">
        <is>
          <t>VÄSTERBOTTENS LÄN</t>
        </is>
      </c>
      <c r="E4293" t="inlineStr">
        <is>
          <t>DOROTEA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60785-2022</t>
        </is>
      </c>
      <c r="B4294" s="1" t="n">
        <v>44907</v>
      </c>
      <c r="C4294" s="1" t="n">
        <v>45971</v>
      </c>
      <c r="D4294" t="inlineStr">
        <is>
          <t>VÄSTERBOTTENS LÄN</t>
        </is>
      </c>
      <c r="E4294" t="inlineStr">
        <is>
          <t>SKELLEFTEÅ</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55688-2023</t>
        </is>
      </c>
      <c r="B4295" s="1" t="n">
        <v>45232</v>
      </c>
      <c r="C4295" s="1" t="n">
        <v>45971</v>
      </c>
      <c r="D4295" t="inlineStr">
        <is>
          <t>VÄSTERBOTTENS LÄN</t>
        </is>
      </c>
      <c r="E4295" t="inlineStr">
        <is>
          <t>VILHELMINA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579-2023</t>
        </is>
      </c>
      <c r="B4296" s="1" t="n">
        <v>44925</v>
      </c>
      <c r="C4296" s="1" t="n">
        <v>45971</v>
      </c>
      <c r="D4296" t="inlineStr">
        <is>
          <t>VÄSTERBOTTENS LÄN</t>
        </is>
      </c>
      <c r="E4296" t="inlineStr">
        <is>
          <t>VINDELN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58187-2023</t>
        </is>
      </c>
      <c r="B4297" s="1" t="n">
        <v>45250.42211805555</v>
      </c>
      <c r="C4297" s="1" t="n">
        <v>45971</v>
      </c>
      <c r="D4297" t="inlineStr">
        <is>
          <t>VÄSTERBOTTENS LÄN</t>
        </is>
      </c>
      <c r="E4297" t="inlineStr">
        <is>
          <t>VINDELN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18862-2023</t>
        </is>
      </c>
      <c r="B4298" s="1" t="n">
        <v>45043</v>
      </c>
      <c r="C4298" s="1" t="n">
        <v>45971</v>
      </c>
      <c r="D4298" t="inlineStr">
        <is>
          <t>VÄSTERBOTTENS LÄN</t>
        </is>
      </c>
      <c r="E4298" t="inlineStr">
        <is>
          <t>VINDELN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29239-2024</t>
        </is>
      </c>
      <c r="B4299" s="1" t="n">
        <v>45482.92789351852</v>
      </c>
      <c r="C4299" s="1" t="n">
        <v>45971</v>
      </c>
      <c r="D4299" t="inlineStr">
        <is>
          <t>VÄSTERBOTTENS LÄN</t>
        </is>
      </c>
      <c r="E4299" t="inlineStr">
        <is>
          <t>DOROTEA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8600-2025</t>
        </is>
      </c>
      <c r="B4300" s="1" t="n">
        <v>45709</v>
      </c>
      <c r="C4300" s="1" t="n">
        <v>45971</v>
      </c>
      <c r="D4300" t="inlineStr">
        <is>
          <t>VÄSTERBOTTENS LÄN</t>
        </is>
      </c>
      <c r="E4300" t="inlineStr">
        <is>
          <t>LYCKSELE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20777-2024</t>
        </is>
      </c>
      <c r="B4301" s="1" t="n">
        <v>45436</v>
      </c>
      <c r="C4301" s="1" t="n">
        <v>45971</v>
      </c>
      <c r="D4301" t="inlineStr">
        <is>
          <t>VÄSTERBOTTENS LÄN</t>
        </is>
      </c>
      <c r="E4301" t="inlineStr">
        <is>
          <t>BJURHOLM</t>
        </is>
      </c>
      <c r="F4301" t="inlineStr">
        <is>
          <t>SCA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20779-2024</t>
        </is>
      </c>
      <c r="B4302" s="1" t="n">
        <v>45436.94708333333</v>
      </c>
      <c r="C4302" s="1" t="n">
        <v>45971</v>
      </c>
      <c r="D4302" t="inlineStr">
        <is>
          <t>VÄSTERBOTTENS LÄN</t>
        </is>
      </c>
      <c r="E4302" t="inlineStr">
        <is>
          <t>BJURHOLM</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37969-2024</t>
        </is>
      </c>
      <c r="B4303" s="1" t="n">
        <v>45544.55925925926</v>
      </c>
      <c r="C4303" s="1" t="n">
        <v>45971</v>
      </c>
      <c r="D4303" t="inlineStr">
        <is>
          <t>VÄSTERBOTTENS LÄN</t>
        </is>
      </c>
      <c r="E4303" t="inlineStr">
        <is>
          <t>LYCKSELE</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58579-2022</t>
        </is>
      </c>
      <c r="B4304" s="1" t="n">
        <v>44902</v>
      </c>
      <c r="C4304" s="1" t="n">
        <v>45971</v>
      </c>
      <c r="D4304" t="inlineStr">
        <is>
          <t>VÄSTERBOTTENS LÄN</t>
        </is>
      </c>
      <c r="E4304" t="inlineStr">
        <is>
          <t>VINDELN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52997-2024</t>
        </is>
      </c>
      <c r="B4305" s="1" t="n">
        <v>45611.38657407407</v>
      </c>
      <c r="C4305" s="1" t="n">
        <v>45971</v>
      </c>
      <c r="D4305" t="inlineStr">
        <is>
          <t>VÄSTERBOTTENS LÄN</t>
        </is>
      </c>
      <c r="E4305" t="inlineStr">
        <is>
          <t>ROBERTSFORS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41109-2024</t>
        </is>
      </c>
      <c r="B4306" s="1" t="n">
        <v>45559.4494675926</v>
      </c>
      <c r="C4306" s="1" t="n">
        <v>45971</v>
      </c>
      <c r="D4306" t="inlineStr">
        <is>
          <t>VÄSTERBOTTENS LÄN</t>
        </is>
      </c>
      <c r="E4306" t="inlineStr">
        <is>
          <t>VINDELN</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1645-2024</t>
        </is>
      </c>
      <c r="B4307" s="1" t="n">
        <v>45306</v>
      </c>
      <c r="C4307" s="1" t="n">
        <v>45971</v>
      </c>
      <c r="D4307" t="inlineStr">
        <is>
          <t>VÄSTERBOTTENS LÄN</t>
        </is>
      </c>
      <c r="E4307" t="inlineStr">
        <is>
          <t>SORSELE</t>
        </is>
      </c>
      <c r="G4307" t="n">
        <v>49.3</v>
      </c>
      <c r="H4307" t="n">
        <v>0</v>
      </c>
      <c r="I4307" t="n">
        <v>0</v>
      </c>
      <c r="J4307" t="n">
        <v>0</v>
      </c>
      <c r="K4307" t="n">
        <v>0</v>
      </c>
      <c r="L4307" t="n">
        <v>0</v>
      </c>
      <c r="M4307" t="n">
        <v>0</v>
      </c>
      <c r="N4307" t="n">
        <v>0</v>
      </c>
      <c r="O4307" t="n">
        <v>0</v>
      </c>
      <c r="P4307" t="n">
        <v>0</v>
      </c>
      <c r="Q4307" t="n">
        <v>0</v>
      </c>
      <c r="R4307" s="2" t="inlineStr"/>
    </row>
    <row r="4308" ht="15" customHeight="1">
      <c r="A4308" t="inlineStr">
        <is>
          <t>A 28380-2023</t>
        </is>
      </c>
      <c r="B4308" s="1" t="n">
        <v>45099</v>
      </c>
      <c r="C4308" s="1" t="n">
        <v>45971</v>
      </c>
      <c r="D4308" t="inlineStr">
        <is>
          <t>VÄSTERBOTTENS LÄN</t>
        </is>
      </c>
      <c r="E4308" t="inlineStr">
        <is>
          <t>VILHELMINA</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41793-2024</t>
        </is>
      </c>
      <c r="B4309" s="1" t="n">
        <v>45561.35800925926</v>
      </c>
      <c r="C4309" s="1" t="n">
        <v>45971</v>
      </c>
      <c r="D4309" t="inlineStr">
        <is>
          <t>VÄSTERBOTTENS LÄN</t>
        </is>
      </c>
      <c r="E4309" t="inlineStr">
        <is>
          <t>LYCKSELE</t>
        </is>
      </c>
      <c r="F4309" t="inlineStr">
        <is>
          <t>Sveaskog</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21660-2023</t>
        </is>
      </c>
      <c r="B4310" s="1" t="n">
        <v>45063</v>
      </c>
      <c r="C4310" s="1" t="n">
        <v>45971</v>
      </c>
      <c r="D4310" t="inlineStr">
        <is>
          <t>VÄSTERBOTTENS LÄN</t>
        </is>
      </c>
      <c r="E4310" t="inlineStr">
        <is>
          <t>LYCKSELE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14773-2025</t>
        </is>
      </c>
      <c r="B4311" s="1" t="n">
        <v>45742.69009259259</v>
      </c>
      <c r="C4311" s="1" t="n">
        <v>45971</v>
      </c>
      <c r="D4311" t="inlineStr">
        <is>
          <t>VÄSTERBOTTENS LÄN</t>
        </is>
      </c>
      <c r="E4311" t="inlineStr">
        <is>
          <t>LYCKSELE</t>
        </is>
      </c>
      <c r="F4311" t="inlineStr">
        <is>
          <t>Holmen skog AB</t>
        </is>
      </c>
      <c r="G4311" t="n">
        <v>50.1</v>
      </c>
      <c r="H4311" t="n">
        <v>0</v>
      </c>
      <c r="I4311" t="n">
        <v>0</v>
      </c>
      <c r="J4311" t="n">
        <v>0</v>
      </c>
      <c r="K4311" t="n">
        <v>0</v>
      </c>
      <c r="L4311" t="n">
        <v>0</v>
      </c>
      <c r="M4311" t="n">
        <v>0</v>
      </c>
      <c r="N4311" t="n">
        <v>0</v>
      </c>
      <c r="O4311" t="n">
        <v>0</v>
      </c>
      <c r="P4311" t="n">
        <v>0</v>
      </c>
      <c r="Q4311" t="n">
        <v>0</v>
      </c>
      <c r="R4311" s="2" t="inlineStr"/>
    </row>
    <row r="4312" ht="15" customHeight="1">
      <c r="A4312" t="inlineStr">
        <is>
          <t>A 14794-2025</t>
        </is>
      </c>
      <c r="B4312" s="1" t="n">
        <v>45742.87457175926</v>
      </c>
      <c r="C4312" s="1" t="n">
        <v>45971</v>
      </c>
      <c r="D4312" t="inlineStr">
        <is>
          <t>VÄSTERBOTTENS LÄN</t>
        </is>
      </c>
      <c r="E4312" t="inlineStr">
        <is>
          <t>LYCKSELE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34763-2024</t>
        </is>
      </c>
      <c r="B4313" s="1" t="n">
        <v>45526.61646990741</v>
      </c>
      <c r="C4313" s="1" t="n">
        <v>45971</v>
      </c>
      <c r="D4313" t="inlineStr">
        <is>
          <t>VÄSTERBOTTENS LÄN</t>
        </is>
      </c>
      <c r="E4313" t="inlineStr">
        <is>
          <t>VILHELMINA</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34764-2024</t>
        </is>
      </c>
      <c r="B4314" s="1" t="n">
        <v>45526.61664351852</v>
      </c>
      <c r="C4314" s="1" t="n">
        <v>45971</v>
      </c>
      <c r="D4314" t="inlineStr">
        <is>
          <t>VÄSTERBOTTENS LÄN</t>
        </is>
      </c>
      <c r="E4314" t="inlineStr">
        <is>
          <t>VILHELMINA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34761-2023</t>
        </is>
      </c>
      <c r="B4315" s="1" t="n">
        <v>45141.47096064815</v>
      </c>
      <c r="C4315" s="1" t="n">
        <v>45971</v>
      </c>
      <c r="D4315" t="inlineStr">
        <is>
          <t>VÄSTERBOTTENS LÄN</t>
        </is>
      </c>
      <c r="E4315" t="inlineStr">
        <is>
          <t>BJURHOLM</t>
        </is>
      </c>
      <c r="F4315" t="inlineStr">
        <is>
          <t>Holmen skog AB</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33771-2023</t>
        </is>
      </c>
      <c r="B4316" s="1" t="n">
        <v>45133.49151620371</v>
      </c>
      <c r="C4316" s="1" t="n">
        <v>45971</v>
      </c>
      <c r="D4316" t="inlineStr">
        <is>
          <t>VÄSTERBOTTENS LÄN</t>
        </is>
      </c>
      <c r="E4316" t="inlineStr">
        <is>
          <t>SKELLEFTEÅ</t>
        </is>
      </c>
      <c r="F4316" t="inlineStr">
        <is>
          <t>Holmen skog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9892-2022</t>
        </is>
      </c>
      <c r="B4317" s="1" t="n">
        <v>44620</v>
      </c>
      <c r="C4317" s="1" t="n">
        <v>45971</v>
      </c>
      <c r="D4317" t="inlineStr">
        <is>
          <t>VÄSTERBOTTENS LÄN</t>
        </is>
      </c>
      <c r="E4317" t="inlineStr">
        <is>
          <t>LYCKSELE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33821-2023</t>
        </is>
      </c>
      <c r="B4318" s="1" t="n">
        <v>45133</v>
      </c>
      <c r="C4318" s="1" t="n">
        <v>45971</v>
      </c>
      <c r="D4318" t="inlineStr">
        <is>
          <t>VÄSTERBOTTENS LÄN</t>
        </is>
      </c>
      <c r="E4318" t="inlineStr">
        <is>
          <t>ROBERTSFORS</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33753-2024</t>
        </is>
      </c>
      <c r="B4319" s="1" t="n">
        <v>45520</v>
      </c>
      <c r="C4319" s="1" t="n">
        <v>45971</v>
      </c>
      <c r="D4319" t="inlineStr">
        <is>
          <t>VÄSTERBOTTENS LÄN</t>
        </is>
      </c>
      <c r="E4319" t="inlineStr">
        <is>
          <t>VINDELN</t>
        </is>
      </c>
      <c r="F4319" t="inlineStr">
        <is>
          <t>Sveaskog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19795-2025</t>
        </is>
      </c>
      <c r="B4320" s="1" t="n">
        <v>45771.44666666666</v>
      </c>
      <c r="C4320" s="1" t="n">
        <v>45971</v>
      </c>
      <c r="D4320" t="inlineStr">
        <is>
          <t>VÄSTERBOTTENS LÄN</t>
        </is>
      </c>
      <c r="E4320" t="inlineStr">
        <is>
          <t>SKELLEFTEÅ</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7052-2022</t>
        </is>
      </c>
      <c r="B4321" s="1" t="n">
        <v>44603</v>
      </c>
      <c r="C4321" s="1" t="n">
        <v>45971</v>
      </c>
      <c r="D4321" t="inlineStr">
        <is>
          <t>VÄSTERBOTTENS LÄN</t>
        </is>
      </c>
      <c r="E4321" t="inlineStr">
        <is>
          <t>SKELLEFTEÅ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32821-2024</t>
        </is>
      </c>
      <c r="B4322" s="1" t="n">
        <v>45516</v>
      </c>
      <c r="C4322" s="1" t="n">
        <v>45971</v>
      </c>
      <c r="D4322" t="inlineStr">
        <is>
          <t>VÄSTERBOTTENS LÄN</t>
        </is>
      </c>
      <c r="E4322" t="inlineStr">
        <is>
          <t>DOROTEA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759-2023</t>
        </is>
      </c>
      <c r="B4323" s="1" t="n">
        <v>44931</v>
      </c>
      <c r="C4323" s="1" t="n">
        <v>45971</v>
      </c>
      <c r="D4323" t="inlineStr">
        <is>
          <t>VÄSTERBOTTENS LÄN</t>
        </is>
      </c>
      <c r="E4323" t="inlineStr">
        <is>
          <t>UMEÅ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57376-2022</t>
        </is>
      </c>
      <c r="B4324" s="1" t="n">
        <v>44889</v>
      </c>
      <c r="C4324" s="1" t="n">
        <v>45971</v>
      </c>
      <c r="D4324" t="inlineStr">
        <is>
          <t>VÄSTERBOTTENS LÄN</t>
        </is>
      </c>
      <c r="E4324" t="inlineStr">
        <is>
          <t>DOROTEA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25027-2023</t>
        </is>
      </c>
      <c r="B4325" s="1" t="n">
        <v>45085.92733796296</v>
      </c>
      <c r="C4325" s="1" t="n">
        <v>45971</v>
      </c>
      <c r="D4325" t="inlineStr">
        <is>
          <t>VÄSTERBOTTENS LÄN</t>
        </is>
      </c>
      <c r="E4325" t="inlineStr">
        <is>
          <t>NORSJÖ</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25028-2023</t>
        </is>
      </c>
      <c r="B4326" s="1" t="n">
        <v>45085.92752314815</v>
      </c>
      <c r="C4326" s="1" t="n">
        <v>45971</v>
      </c>
      <c r="D4326" t="inlineStr">
        <is>
          <t>VÄSTERBOTTENS LÄN</t>
        </is>
      </c>
      <c r="E4326" t="inlineStr">
        <is>
          <t>NORSJÖ</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29125-2024</t>
        </is>
      </c>
      <c r="B4327" s="1" t="n">
        <v>45481</v>
      </c>
      <c r="C4327" s="1" t="n">
        <v>45971</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4496-2024</t>
        </is>
      </c>
      <c r="B4328" s="1" t="n">
        <v>45327.60730324074</v>
      </c>
      <c r="C4328" s="1" t="n">
        <v>45971</v>
      </c>
      <c r="D4328" t="inlineStr">
        <is>
          <t>VÄSTERBOTTENS LÄN</t>
        </is>
      </c>
      <c r="E4328" t="inlineStr">
        <is>
          <t>NORDMALING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14342-2024</t>
        </is>
      </c>
      <c r="B4329" s="1" t="n">
        <v>45393.73072916667</v>
      </c>
      <c r="C4329" s="1" t="n">
        <v>45971</v>
      </c>
      <c r="D4329" t="inlineStr">
        <is>
          <t>VÄSTERBOTTENS LÄN</t>
        </is>
      </c>
      <c r="E4329" t="inlineStr">
        <is>
          <t>SKELLEFTEÅ</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60585-2022</t>
        </is>
      </c>
      <c r="B4330" s="1" t="n">
        <v>44911.58148148148</v>
      </c>
      <c r="C4330" s="1" t="n">
        <v>45971</v>
      </c>
      <c r="D4330" t="inlineStr">
        <is>
          <t>VÄSTERBOTTENS LÄN</t>
        </is>
      </c>
      <c r="E4330" t="inlineStr">
        <is>
          <t>SKELLEFTEÅ</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17352-2023</t>
        </is>
      </c>
      <c r="B4331" s="1" t="n">
        <v>45033</v>
      </c>
      <c r="C4331" s="1" t="n">
        <v>45971</v>
      </c>
      <c r="D4331" t="inlineStr">
        <is>
          <t>VÄSTERBOTTENS LÄN</t>
        </is>
      </c>
      <c r="E4331" t="inlineStr">
        <is>
          <t>UMEÅ</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33883-2024</t>
        </is>
      </c>
      <c r="B4332" s="1" t="n">
        <v>45522.81311342592</v>
      </c>
      <c r="C4332" s="1" t="n">
        <v>45971</v>
      </c>
      <c r="D4332" t="inlineStr">
        <is>
          <t>VÄSTERBOTTENS LÄN</t>
        </is>
      </c>
      <c r="E4332" t="inlineStr">
        <is>
          <t>UMEÅ</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61275-2022</t>
        </is>
      </c>
      <c r="B4333" s="1" t="n">
        <v>44909</v>
      </c>
      <c r="C4333" s="1" t="n">
        <v>45971</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64391-2021</t>
        </is>
      </c>
      <c r="B4334" s="1" t="n">
        <v>44511</v>
      </c>
      <c r="C4334" s="1" t="n">
        <v>45971</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39164-2025</t>
        </is>
      </c>
      <c r="B4335" s="1" t="n">
        <v>45888.63680555556</v>
      </c>
      <c r="C4335" s="1" t="n">
        <v>45971</v>
      </c>
      <c r="D4335" t="inlineStr">
        <is>
          <t>VÄSTERBOTTENS LÄN</t>
        </is>
      </c>
      <c r="E4335" t="inlineStr">
        <is>
          <t>NORSJÖ</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39166-2025</t>
        </is>
      </c>
      <c r="B4336" s="1" t="n">
        <v>45888.63756944444</v>
      </c>
      <c r="C4336" s="1" t="n">
        <v>45971</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58993-2024</t>
        </is>
      </c>
      <c r="B4337" s="1" t="n">
        <v>45636.63711805556</v>
      </c>
      <c r="C4337" s="1" t="n">
        <v>45971</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1206-2023</t>
        </is>
      </c>
      <c r="B4338" s="1" t="n">
        <v>44930</v>
      </c>
      <c r="C4338" s="1" t="n">
        <v>45971</v>
      </c>
      <c r="D4338" t="inlineStr">
        <is>
          <t>VÄSTERBOTTENS LÄN</t>
        </is>
      </c>
      <c r="E4338" t="inlineStr">
        <is>
          <t>SKELLEFTEÅ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46950-2025</t>
        </is>
      </c>
      <c r="B4339" s="1" t="n">
        <v>45929.46907407408</v>
      </c>
      <c r="C4339" s="1" t="n">
        <v>45971</v>
      </c>
      <c r="D4339" t="inlineStr">
        <is>
          <t>VÄSTERBOTTENS LÄN</t>
        </is>
      </c>
      <c r="E4339" t="inlineStr">
        <is>
          <t>UMEÅ</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5790-2023</t>
        </is>
      </c>
      <c r="B4340" s="1" t="n">
        <v>44963.44527777778</v>
      </c>
      <c r="C4340" s="1" t="n">
        <v>45971</v>
      </c>
      <c r="D4340" t="inlineStr">
        <is>
          <t>VÄSTERBOTTENS LÄN</t>
        </is>
      </c>
      <c r="E4340" t="inlineStr">
        <is>
          <t>NORSJÖ</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65151-2021</t>
        </is>
      </c>
      <c r="B4341" s="1" t="n">
        <v>44515</v>
      </c>
      <c r="C4341" s="1" t="n">
        <v>45971</v>
      </c>
      <c r="D4341" t="inlineStr">
        <is>
          <t>VÄSTERBOTTENS LÄN</t>
        </is>
      </c>
      <c r="E4341" t="inlineStr">
        <is>
          <t>VILHELMINA</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65159-2021</t>
        </is>
      </c>
      <c r="B4342" s="1" t="n">
        <v>44515</v>
      </c>
      <c r="C4342" s="1" t="n">
        <v>45971</v>
      </c>
      <c r="D4342" t="inlineStr">
        <is>
          <t>VÄSTERBOTTENS LÄN</t>
        </is>
      </c>
      <c r="E4342" t="inlineStr">
        <is>
          <t>VILHELMINA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36245-2024</t>
        </is>
      </c>
      <c r="B4343" s="1" t="n">
        <v>45534.52609953703</v>
      </c>
      <c r="C4343" s="1" t="n">
        <v>45971</v>
      </c>
      <c r="D4343" t="inlineStr">
        <is>
          <t>VÄSTERBOTTENS LÄN</t>
        </is>
      </c>
      <c r="E4343" t="inlineStr">
        <is>
          <t>NORSJÖ</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40111-2023</t>
        </is>
      </c>
      <c r="B4344" s="1" t="n">
        <v>45168.93827546296</v>
      </c>
      <c r="C4344" s="1" t="n">
        <v>45971</v>
      </c>
      <c r="D4344" t="inlineStr">
        <is>
          <t>VÄSTERBOTTENS LÄN</t>
        </is>
      </c>
      <c r="E4344" t="inlineStr">
        <is>
          <t>STORUMAN</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41384-2023</t>
        </is>
      </c>
      <c r="B4345" s="1" t="n">
        <v>45174</v>
      </c>
      <c r="C4345" s="1" t="n">
        <v>45971</v>
      </c>
      <c r="D4345" t="inlineStr">
        <is>
          <t>VÄSTERBOTTENS LÄN</t>
        </is>
      </c>
      <c r="E4345" t="inlineStr">
        <is>
          <t>MALÅ</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41390-2023</t>
        </is>
      </c>
      <c r="B4346" s="1" t="n">
        <v>45174.92260416667</v>
      </c>
      <c r="C4346" s="1" t="n">
        <v>45971</v>
      </c>
      <c r="D4346" t="inlineStr">
        <is>
          <t>VÄSTERBOTTENS LÄN</t>
        </is>
      </c>
      <c r="E4346" t="inlineStr">
        <is>
          <t>NORSJÖ</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39246-2023</t>
        </is>
      </c>
      <c r="B4347" s="1" t="n">
        <v>45166</v>
      </c>
      <c r="C4347" s="1" t="n">
        <v>45971</v>
      </c>
      <c r="D4347" t="inlineStr">
        <is>
          <t>VÄSTERBOTTENS LÄN</t>
        </is>
      </c>
      <c r="E4347" t="inlineStr">
        <is>
          <t>MALÅ</t>
        </is>
      </c>
      <c r="F4347" t="inlineStr">
        <is>
          <t>Sveaskog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4078-2025</t>
        </is>
      </c>
      <c r="B4348" s="1" t="n">
        <v>45684.65501157408</v>
      </c>
      <c r="C4348" s="1" t="n">
        <v>45971</v>
      </c>
      <c r="D4348" t="inlineStr">
        <is>
          <t>VÄSTERBOTTENS LÄN</t>
        </is>
      </c>
      <c r="E4348" t="inlineStr">
        <is>
          <t>ÅSELE</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23983-2023</t>
        </is>
      </c>
      <c r="B4349" s="1" t="n">
        <v>45078</v>
      </c>
      <c r="C4349" s="1" t="n">
        <v>45971</v>
      </c>
      <c r="D4349" t="inlineStr">
        <is>
          <t>VÄSTERBOTTENS LÄN</t>
        </is>
      </c>
      <c r="E4349" t="inlineStr">
        <is>
          <t>UMEÅ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27585-2024</t>
        </is>
      </c>
      <c r="B4350" s="1" t="n">
        <v>45474</v>
      </c>
      <c r="C4350" s="1" t="n">
        <v>45971</v>
      </c>
      <c r="D4350" t="inlineStr">
        <is>
          <t>VÄSTERBOTTENS LÄN</t>
        </is>
      </c>
      <c r="E4350" t="inlineStr">
        <is>
          <t>STORUMAN</t>
        </is>
      </c>
      <c r="F4350" t="inlineStr">
        <is>
          <t>Sveaskog</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58030-2024</t>
        </is>
      </c>
      <c r="B4351" s="1" t="n">
        <v>45631</v>
      </c>
      <c r="C4351" s="1" t="n">
        <v>45971</v>
      </c>
      <c r="D4351" t="inlineStr">
        <is>
          <t>VÄSTERBOTTENS LÄN</t>
        </is>
      </c>
      <c r="E4351" t="inlineStr">
        <is>
          <t>ROBERTSFORS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57770-2022</t>
        </is>
      </c>
      <c r="B4352" s="1" t="n">
        <v>44897</v>
      </c>
      <c r="C4352" s="1" t="n">
        <v>45971</v>
      </c>
      <c r="D4352" t="inlineStr">
        <is>
          <t>VÄSTERBOTTENS LÄN</t>
        </is>
      </c>
      <c r="E4352" t="inlineStr">
        <is>
          <t>SKELLEFTEÅ</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62553-2023</t>
        </is>
      </c>
      <c r="B4353" s="1" t="n">
        <v>45268.9262037037</v>
      </c>
      <c r="C4353" s="1" t="n">
        <v>45971</v>
      </c>
      <c r="D4353" t="inlineStr">
        <is>
          <t>VÄSTERBOTTENS LÄN</t>
        </is>
      </c>
      <c r="E4353" t="inlineStr">
        <is>
          <t>DOROTEA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33693-2024</t>
        </is>
      </c>
      <c r="B4354" s="1" t="n">
        <v>45520.51587962963</v>
      </c>
      <c r="C4354" s="1" t="n">
        <v>45971</v>
      </c>
      <c r="D4354" t="inlineStr">
        <is>
          <t>VÄSTERBOTTENS LÄN</t>
        </is>
      </c>
      <c r="E4354" t="inlineStr">
        <is>
          <t>LYCKSELE</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50081-2022</t>
        </is>
      </c>
      <c r="B4355" s="1" t="n">
        <v>44860</v>
      </c>
      <c r="C4355" s="1" t="n">
        <v>45971</v>
      </c>
      <c r="D4355" t="inlineStr">
        <is>
          <t>VÄSTERBOTTENS LÄN</t>
        </is>
      </c>
      <c r="E4355" t="inlineStr">
        <is>
          <t>VINDELN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8536-2025</t>
        </is>
      </c>
      <c r="B4356" s="1" t="n">
        <v>45709</v>
      </c>
      <c r="C4356" s="1" t="n">
        <v>45971</v>
      </c>
      <c r="D4356" t="inlineStr">
        <is>
          <t>VÄSTERBOTTENS LÄN</t>
        </is>
      </c>
      <c r="E4356" t="inlineStr">
        <is>
          <t>VINDELN</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34121-2021</t>
        </is>
      </c>
      <c r="B4357" s="1" t="n">
        <v>44379</v>
      </c>
      <c r="C4357" s="1" t="n">
        <v>45971</v>
      </c>
      <c r="D4357" t="inlineStr">
        <is>
          <t>VÄSTERBOTTENS LÄN</t>
        </is>
      </c>
      <c r="E4357" t="inlineStr">
        <is>
          <t>UMEÅ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55469-2021</t>
        </is>
      </c>
      <c r="B4358" s="1" t="n">
        <v>44475</v>
      </c>
      <c r="C4358" s="1" t="n">
        <v>45971</v>
      </c>
      <c r="D4358" t="inlineStr">
        <is>
          <t>VÄSTERBOTTENS LÄN</t>
        </is>
      </c>
      <c r="E4358" t="inlineStr">
        <is>
          <t>ROBERTSFORS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22002-2023</t>
        </is>
      </c>
      <c r="B4359" s="1" t="n">
        <v>45068.92707175926</v>
      </c>
      <c r="C4359" s="1" t="n">
        <v>45971</v>
      </c>
      <c r="D4359" t="inlineStr">
        <is>
          <t>VÄSTERBOTTENS LÄN</t>
        </is>
      </c>
      <c r="E4359" t="inlineStr">
        <is>
          <t>VÄNNÄS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43651-2024</t>
        </is>
      </c>
      <c r="B4360" s="1" t="n">
        <v>45569.53740740741</v>
      </c>
      <c r="C4360" s="1" t="n">
        <v>45971</v>
      </c>
      <c r="D4360" t="inlineStr">
        <is>
          <t>VÄSTERBOTTENS LÄN</t>
        </is>
      </c>
      <c r="E4360" t="inlineStr">
        <is>
          <t>NORSJÖ</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34995-2023</t>
        </is>
      </c>
      <c r="B4361" s="1" t="n">
        <v>45142.92372685186</v>
      </c>
      <c r="C4361" s="1" t="n">
        <v>45971</v>
      </c>
      <c r="D4361" t="inlineStr">
        <is>
          <t>VÄSTERBOTTENS LÄN</t>
        </is>
      </c>
      <c r="E4361" t="inlineStr">
        <is>
          <t>DOROTEA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21397-2025</t>
        </is>
      </c>
      <c r="B4362" s="1" t="n">
        <v>45782.48233796296</v>
      </c>
      <c r="C4362" s="1" t="n">
        <v>45971</v>
      </c>
      <c r="D4362" t="inlineStr">
        <is>
          <t>VÄSTERBOTTENS LÄN</t>
        </is>
      </c>
      <c r="E4362" t="inlineStr">
        <is>
          <t>ROBERTSFORS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28426-2023</t>
        </is>
      </c>
      <c r="B4363" s="1" t="n">
        <v>45102</v>
      </c>
      <c r="C4363" s="1" t="n">
        <v>45971</v>
      </c>
      <c r="D4363" t="inlineStr">
        <is>
          <t>VÄSTERBOTTENS LÄN</t>
        </is>
      </c>
      <c r="E4363" t="inlineStr">
        <is>
          <t>BJURHOLM</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57955-2021</t>
        </is>
      </c>
      <c r="B4364" s="1" t="n">
        <v>44484</v>
      </c>
      <c r="C4364" s="1" t="n">
        <v>45971</v>
      </c>
      <c r="D4364" t="inlineStr">
        <is>
          <t>VÄSTERBOTTENS LÄN</t>
        </is>
      </c>
      <c r="E4364" t="inlineStr">
        <is>
          <t>DOROTEA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57979-2021</t>
        </is>
      </c>
      <c r="B4365" s="1" t="n">
        <v>44487</v>
      </c>
      <c r="C4365" s="1" t="n">
        <v>45971</v>
      </c>
      <c r="D4365" t="inlineStr">
        <is>
          <t>VÄSTERBOTTENS LÄN</t>
        </is>
      </c>
      <c r="E4365" t="inlineStr">
        <is>
          <t>ROBERTSFORS</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30341-2023</t>
        </is>
      </c>
      <c r="B4366" s="1" t="n">
        <v>45111</v>
      </c>
      <c r="C4366" s="1" t="n">
        <v>45971</v>
      </c>
      <c r="D4366" t="inlineStr">
        <is>
          <t>VÄSTERBOTTENS LÄN</t>
        </is>
      </c>
      <c r="E4366" t="inlineStr">
        <is>
          <t>ROBERTSFORS</t>
        </is>
      </c>
      <c r="F4366" t="inlineStr">
        <is>
          <t>Sveaskog</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60849-2024</t>
        </is>
      </c>
      <c r="B4367" s="1" t="n">
        <v>45644.65862268519</v>
      </c>
      <c r="C4367" s="1" t="n">
        <v>45971</v>
      </c>
      <c r="D4367" t="inlineStr">
        <is>
          <t>VÄSTERBOTTENS LÄN</t>
        </is>
      </c>
      <c r="E4367" t="inlineStr">
        <is>
          <t>VINDELN</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39024-2025</t>
        </is>
      </c>
      <c r="B4368" s="1" t="n">
        <v>45888.3791550926</v>
      </c>
      <c r="C4368" s="1" t="n">
        <v>45971</v>
      </c>
      <c r="D4368" t="inlineStr">
        <is>
          <t>VÄSTERBOTTENS LÄN</t>
        </is>
      </c>
      <c r="E4368" t="inlineStr">
        <is>
          <t>SKELLEFTEÅ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39109-2025</t>
        </is>
      </c>
      <c r="B4369" s="1" t="n">
        <v>45888.53960648148</v>
      </c>
      <c r="C4369" s="1" t="n">
        <v>45971</v>
      </c>
      <c r="D4369" t="inlineStr">
        <is>
          <t>VÄSTERBOTTENS LÄN</t>
        </is>
      </c>
      <c r="E4369" t="inlineStr">
        <is>
          <t>ÅSELE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12839-2022</t>
        </is>
      </c>
      <c r="B4370" s="1" t="n">
        <v>44642</v>
      </c>
      <c r="C4370" s="1" t="n">
        <v>45971</v>
      </c>
      <c r="D4370" t="inlineStr">
        <is>
          <t>VÄSTERBOTTENS LÄN</t>
        </is>
      </c>
      <c r="E4370" t="inlineStr">
        <is>
          <t>LYCKSELE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57406-2022</t>
        </is>
      </c>
      <c r="B4371" s="1" t="n">
        <v>44893</v>
      </c>
      <c r="C4371" s="1" t="n">
        <v>45971</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39111-2025</t>
        </is>
      </c>
      <c r="B4372" s="1" t="n">
        <v>45888.54513888889</v>
      </c>
      <c r="C4372" s="1" t="n">
        <v>45971</v>
      </c>
      <c r="D4372" t="inlineStr">
        <is>
          <t>VÄSTERBOTTENS LÄN</t>
        </is>
      </c>
      <c r="E4372" t="inlineStr">
        <is>
          <t>ÅSELE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47246-2025</t>
        </is>
      </c>
      <c r="B4373" s="1" t="n">
        <v>45930.42961805555</v>
      </c>
      <c r="C4373" s="1" t="n">
        <v>45971</v>
      </c>
      <c r="D4373" t="inlineStr">
        <is>
          <t>VÄSTERBOTTENS LÄN</t>
        </is>
      </c>
      <c r="E4373" t="inlineStr">
        <is>
          <t>SKELLEFTEÅ</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60488-2022</t>
        </is>
      </c>
      <c r="B4374" s="1" t="n">
        <v>44911.43144675926</v>
      </c>
      <c r="C4374" s="1" t="n">
        <v>45971</v>
      </c>
      <c r="D4374" t="inlineStr">
        <is>
          <t>VÄSTERBOTTENS LÄN</t>
        </is>
      </c>
      <c r="E4374" t="inlineStr">
        <is>
          <t>SKELLEFTEÅ</t>
        </is>
      </c>
      <c r="F4374" t="inlineStr">
        <is>
          <t>Sveaskog</t>
        </is>
      </c>
      <c r="G4374" t="n">
        <v>11.6</v>
      </c>
      <c r="H4374" t="n">
        <v>0</v>
      </c>
      <c r="I4374" t="n">
        <v>0</v>
      </c>
      <c r="J4374" t="n">
        <v>0</v>
      </c>
      <c r="K4374" t="n">
        <v>0</v>
      </c>
      <c r="L4374" t="n">
        <v>0</v>
      </c>
      <c r="M4374" t="n">
        <v>0</v>
      </c>
      <c r="N4374" t="n">
        <v>0</v>
      </c>
      <c r="O4374" t="n">
        <v>0</v>
      </c>
      <c r="P4374" t="n">
        <v>0</v>
      </c>
      <c r="Q4374" t="n">
        <v>0</v>
      </c>
      <c r="R4374" s="2" t="inlineStr"/>
      <c r="U4374">
        <f>HYPERLINK("https://klasma.github.io/Logging_2482/knärot/A 60488-2022 karta knärot.png", "A 60488-2022")</f>
        <v/>
      </c>
      <c r="V4374">
        <f>HYPERLINK("https://klasma.github.io/Logging_2482/klagomål/A 60488-2022 FSC-klagomål.docx", "A 60488-2022")</f>
        <v/>
      </c>
      <c r="W4374">
        <f>HYPERLINK("https://klasma.github.io/Logging_2482/klagomålsmail/A 60488-2022 FSC-klagomål mail.docx", "A 60488-2022")</f>
        <v/>
      </c>
      <c r="X4374">
        <f>HYPERLINK("https://klasma.github.io/Logging_2482/tillsyn/A 60488-2022 tillsynsbegäran.docx", "A 60488-2022")</f>
        <v/>
      </c>
      <c r="Y4374">
        <f>HYPERLINK("https://klasma.github.io/Logging_2482/tillsynsmail/A 60488-2022 tillsynsbegäran mail.docx", "A 60488-2022")</f>
        <v/>
      </c>
    </row>
    <row r="4375" ht="15" customHeight="1">
      <c r="A4375" t="inlineStr">
        <is>
          <t>A 45311-2024</t>
        </is>
      </c>
      <c r="B4375" s="1" t="n">
        <v>45576.43226851852</v>
      </c>
      <c r="C4375" s="1" t="n">
        <v>45971</v>
      </c>
      <c r="D4375" t="inlineStr">
        <is>
          <t>VÄSTERBOTTENS LÄN</t>
        </is>
      </c>
      <c r="E4375" t="inlineStr">
        <is>
          <t>ÅSELE</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4879-2024</t>
        </is>
      </c>
      <c r="B4376" s="1" t="n">
        <v>45329</v>
      </c>
      <c r="C4376" s="1" t="n">
        <v>45971</v>
      </c>
      <c r="D4376" t="inlineStr">
        <is>
          <t>VÄSTERBOTTENS LÄN</t>
        </is>
      </c>
      <c r="E4376" t="inlineStr">
        <is>
          <t>VINDELN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26797-2023</t>
        </is>
      </c>
      <c r="B4377" s="1" t="n">
        <v>45090</v>
      </c>
      <c r="C4377" s="1" t="n">
        <v>45971</v>
      </c>
      <c r="D4377" t="inlineStr">
        <is>
          <t>VÄSTERBOTTENS LÄN</t>
        </is>
      </c>
      <c r="E4377" t="inlineStr">
        <is>
          <t>ROBERTSFORS</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46990-2025</t>
        </is>
      </c>
      <c r="B4378" s="1" t="n">
        <v>45929.54004629629</v>
      </c>
      <c r="C4378" s="1" t="n">
        <v>45971</v>
      </c>
      <c r="D4378" t="inlineStr">
        <is>
          <t>VÄSTERBOTTENS LÄN</t>
        </is>
      </c>
      <c r="E4378" t="inlineStr">
        <is>
          <t>UMEÅ</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46945-2025</t>
        </is>
      </c>
      <c r="B4379" s="1" t="n">
        <v>45929.46075231482</v>
      </c>
      <c r="C4379" s="1" t="n">
        <v>45971</v>
      </c>
      <c r="D4379" t="inlineStr">
        <is>
          <t>VÄSTERBOTTENS LÄN</t>
        </is>
      </c>
      <c r="E4379" t="inlineStr">
        <is>
          <t>LYCKSELE</t>
        </is>
      </c>
      <c r="F4379" t="inlineStr">
        <is>
          <t>Holmen skog AB</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8555-2023</t>
        </is>
      </c>
      <c r="B4380" s="1" t="n">
        <v>44972</v>
      </c>
      <c r="C4380" s="1" t="n">
        <v>45971</v>
      </c>
      <c r="D4380" t="inlineStr">
        <is>
          <t>VÄSTERBOTTENS LÄN</t>
        </is>
      </c>
      <c r="E4380" t="inlineStr">
        <is>
          <t>VILHELMINA</t>
        </is>
      </c>
      <c r="F4380" t="inlineStr">
        <is>
          <t>Allmännings- och besparingsskogar</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38135-2024</t>
        </is>
      </c>
      <c r="B4381" s="1" t="n">
        <v>45545.41424768518</v>
      </c>
      <c r="C4381" s="1" t="n">
        <v>45971</v>
      </c>
      <c r="D4381" t="inlineStr">
        <is>
          <t>VÄSTERBOTTENS LÄN</t>
        </is>
      </c>
      <c r="E4381" t="inlineStr">
        <is>
          <t>UMEÅ</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46969-2025</t>
        </is>
      </c>
      <c r="B4382" s="1" t="n">
        <v>45929.50489583334</v>
      </c>
      <c r="C4382" s="1" t="n">
        <v>45971</v>
      </c>
      <c r="D4382" t="inlineStr">
        <is>
          <t>VÄSTERBOTTENS LÄN</t>
        </is>
      </c>
      <c r="E4382" t="inlineStr">
        <is>
          <t>ROBERTSFORS</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46970-2025</t>
        </is>
      </c>
      <c r="B4383" s="1" t="n">
        <v>45929.50732638889</v>
      </c>
      <c r="C4383" s="1" t="n">
        <v>45971</v>
      </c>
      <c r="D4383" t="inlineStr">
        <is>
          <t>VÄSTERBOTTENS LÄN</t>
        </is>
      </c>
      <c r="E4383" t="inlineStr">
        <is>
          <t>VILHELMINA</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38197-2024</t>
        </is>
      </c>
      <c r="B4384" s="1" t="n">
        <v>45545</v>
      </c>
      <c r="C4384" s="1" t="n">
        <v>45971</v>
      </c>
      <c r="D4384" t="inlineStr">
        <is>
          <t>VÄSTERBOTTENS LÄN</t>
        </is>
      </c>
      <c r="E4384" t="inlineStr">
        <is>
          <t>ÅSELE</t>
        </is>
      </c>
      <c r="F4384" t="inlineStr">
        <is>
          <t>Sveaskog</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30900-2024</t>
        </is>
      </c>
      <c r="B4385" s="1" t="n">
        <v>45498</v>
      </c>
      <c r="C4385" s="1" t="n">
        <v>45971</v>
      </c>
      <c r="D4385" t="inlineStr">
        <is>
          <t>VÄSTERBOTTENS LÄN</t>
        </is>
      </c>
      <c r="E4385" t="inlineStr">
        <is>
          <t>SKELLEFTEÅ</t>
        </is>
      </c>
      <c r="G4385" t="n">
        <v>17.5</v>
      </c>
      <c r="H4385" t="n">
        <v>0</v>
      </c>
      <c r="I4385" t="n">
        <v>0</v>
      </c>
      <c r="J4385" t="n">
        <v>0</v>
      </c>
      <c r="K4385" t="n">
        <v>0</v>
      </c>
      <c r="L4385" t="n">
        <v>0</v>
      </c>
      <c r="M4385" t="n">
        <v>0</v>
      </c>
      <c r="N4385" t="n">
        <v>0</v>
      </c>
      <c r="O4385" t="n">
        <v>0</v>
      </c>
      <c r="P4385" t="n">
        <v>0</v>
      </c>
      <c r="Q4385" t="n">
        <v>0</v>
      </c>
      <c r="R4385" s="2" t="inlineStr"/>
    </row>
    <row r="4386" ht="15" customHeight="1">
      <c r="A4386" t="inlineStr">
        <is>
          <t>A 30967-2024</t>
        </is>
      </c>
      <c r="B4386" s="1" t="n">
        <v>45499.45645833333</v>
      </c>
      <c r="C4386" s="1" t="n">
        <v>45971</v>
      </c>
      <c r="D4386" t="inlineStr">
        <is>
          <t>VÄSTERBOTTENS LÄN</t>
        </is>
      </c>
      <c r="E4386" t="inlineStr">
        <is>
          <t>NORSJÖ</t>
        </is>
      </c>
      <c r="F4386" t="inlineStr">
        <is>
          <t>Holmen skog AB</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47015-2025</t>
        </is>
      </c>
      <c r="B4387" s="1" t="n">
        <v>45929.57420138889</v>
      </c>
      <c r="C4387" s="1" t="n">
        <v>45971</v>
      </c>
      <c r="D4387" t="inlineStr">
        <is>
          <t>VÄSTERBOTTENS LÄN</t>
        </is>
      </c>
      <c r="E4387" t="inlineStr">
        <is>
          <t>NORDMALING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47046-2025</t>
        </is>
      </c>
      <c r="B4388" s="1" t="n">
        <v>45929.6050925926</v>
      </c>
      <c r="C4388" s="1" t="n">
        <v>45971</v>
      </c>
      <c r="D4388" t="inlineStr">
        <is>
          <t>VÄSTERBOTTENS LÄN</t>
        </is>
      </c>
      <c r="E4388" t="inlineStr">
        <is>
          <t>NORDMALING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47151-2025</t>
        </is>
      </c>
      <c r="B4389" s="1" t="n">
        <v>45929.72506944444</v>
      </c>
      <c r="C4389" s="1" t="n">
        <v>45971</v>
      </c>
      <c r="D4389" t="inlineStr">
        <is>
          <t>VÄSTERBOTTENS LÄN</t>
        </is>
      </c>
      <c r="E4389" t="inlineStr">
        <is>
          <t>BJURHOLM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58240-2022</t>
        </is>
      </c>
      <c r="B4390" s="1" t="n">
        <v>44893</v>
      </c>
      <c r="C4390" s="1" t="n">
        <v>45971</v>
      </c>
      <c r="D4390" t="inlineStr">
        <is>
          <t>VÄSTERBOTTENS LÄN</t>
        </is>
      </c>
      <c r="E4390" t="inlineStr">
        <is>
          <t>MALÅ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35558-2022</t>
        </is>
      </c>
      <c r="B4391" s="1" t="n">
        <v>44799.38560185185</v>
      </c>
      <c r="C4391" s="1" t="n">
        <v>45971</v>
      </c>
      <c r="D4391" t="inlineStr">
        <is>
          <t>VÄSTERBOTTENS LÄN</t>
        </is>
      </c>
      <c r="E4391" t="inlineStr">
        <is>
          <t>SKELLEFTEÅ</t>
        </is>
      </c>
      <c r="F4391" t="inlineStr">
        <is>
          <t>Sveaskog</t>
        </is>
      </c>
      <c r="G4391" t="n">
        <v>21.8</v>
      </c>
      <c r="H4391" t="n">
        <v>0</v>
      </c>
      <c r="I4391" t="n">
        <v>0</v>
      </c>
      <c r="J4391" t="n">
        <v>0</v>
      </c>
      <c r="K4391" t="n">
        <v>0</v>
      </c>
      <c r="L4391" t="n">
        <v>0</v>
      </c>
      <c r="M4391" t="n">
        <v>0</v>
      </c>
      <c r="N4391" t="n">
        <v>0</v>
      </c>
      <c r="O4391" t="n">
        <v>0</v>
      </c>
      <c r="P4391" t="n">
        <v>0</v>
      </c>
      <c r="Q4391" t="n">
        <v>0</v>
      </c>
      <c r="R4391" s="2" t="inlineStr"/>
    </row>
    <row r="4392" ht="15" customHeight="1">
      <c r="A4392" t="inlineStr">
        <is>
          <t>A 10418-2023</t>
        </is>
      </c>
      <c r="B4392" s="1" t="n">
        <v>44987</v>
      </c>
      <c r="C4392" s="1" t="n">
        <v>45971</v>
      </c>
      <c r="D4392" t="inlineStr">
        <is>
          <t>VÄSTERBOTTENS LÄN</t>
        </is>
      </c>
      <c r="E4392" t="inlineStr">
        <is>
          <t>VILHELMINA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47222-2025</t>
        </is>
      </c>
      <c r="B4393" s="1" t="n">
        <v>45930.38743055556</v>
      </c>
      <c r="C4393" s="1" t="n">
        <v>45971</v>
      </c>
      <c r="D4393" t="inlineStr">
        <is>
          <t>VÄSTERBOTTENS LÄN</t>
        </is>
      </c>
      <c r="E4393" t="inlineStr">
        <is>
          <t>NORSJÖ</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32131-2025</t>
        </is>
      </c>
      <c r="B4394" s="1" t="n">
        <v>45835.50796296296</v>
      </c>
      <c r="C4394" s="1" t="n">
        <v>45971</v>
      </c>
      <c r="D4394" t="inlineStr">
        <is>
          <t>VÄSTERBOTTENS LÄN</t>
        </is>
      </c>
      <c r="E4394" t="inlineStr">
        <is>
          <t>BJURHOLM</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10265-2025</t>
        </is>
      </c>
      <c r="B4395" s="1" t="n">
        <v>45720.38559027778</v>
      </c>
      <c r="C4395" s="1" t="n">
        <v>45971</v>
      </c>
      <c r="D4395" t="inlineStr">
        <is>
          <t>VÄSTERBOTTENS LÄN</t>
        </is>
      </c>
      <c r="E4395" t="inlineStr">
        <is>
          <t>UMEÅ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10268-2025</t>
        </is>
      </c>
      <c r="B4396" s="1" t="n">
        <v>45720</v>
      </c>
      <c r="C4396" s="1" t="n">
        <v>45971</v>
      </c>
      <c r="D4396" t="inlineStr">
        <is>
          <t>VÄSTERBOTTENS LÄN</t>
        </is>
      </c>
      <c r="E4396" t="inlineStr">
        <is>
          <t>VILHELMINA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46884-2025</t>
        </is>
      </c>
      <c r="B4397" s="1" t="n">
        <v>45929.36494212963</v>
      </c>
      <c r="C4397" s="1" t="n">
        <v>45971</v>
      </c>
      <c r="D4397" t="inlineStr">
        <is>
          <t>VÄSTERBOTTENS LÄN</t>
        </is>
      </c>
      <c r="E4397" t="inlineStr">
        <is>
          <t>BJURHOLM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43840-2024</t>
        </is>
      </c>
      <c r="B4398" s="1" t="n">
        <v>45572.34314814815</v>
      </c>
      <c r="C4398" s="1" t="n">
        <v>45971</v>
      </c>
      <c r="D4398" t="inlineStr">
        <is>
          <t>VÄSTERBOTTENS LÄN</t>
        </is>
      </c>
      <c r="E4398" t="inlineStr">
        <is>
          <t>STORUMAN</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40588-2023</t>
        </is>
      </c>
      <c r="B4399" s="1" t="n">
        <v>45170</v>
      </c>
      <c r="C4399" s="1" t="n">
        <v>45971</v>
      </c>
      <c r="D4399" t="inlineStr">
        <is>
          <t>VÄSTERBOTTENS LÄN</t>
        </is>
      </c>
      <c r="E4399" t="inlineStr">
        <is>
          <t>MALÅ</t>
        </is>
      </c>
      <c r="F4399" t="inlineStr">
        <is>
          <t>Sveaskog</t>
        </is>
      </c>
      <c r="G4399" t="n">
        <v>15.6</v>
      </c>
      <c r="H4399" t="n">
        <v>0</v>
      </c>
      <c r="I4399" t="n">
        <v>0</v>
      </c>
      <c r="J4399" t="n">
        <v>0</v>
      </c>
      <c r="K4399" t="n">
        <v>0</v>
      </c>
      <c r="L4399" t="n">
        <v>0</v>
      </c>
      <c r="M4399" t="n">
        <v>0</v>
      </c>
      <c r="N4399" t="n">
        <v>0</v>
      </c>
      <c r="O4399" t="n">
        <v>0</v>
      </c>
      <c r="P4399" t="n">
        <v>0</v>
      </c>
      <c r="Q4399" t="n">
        <v>0</v>
      </c>
      <c r="R4399" s="2" t="inlineStr"/>
    </row>
    <row r="4400" ht="15" customHeight="1">
      <c r="A4400" t="inlineStr">
        <is>
          <t>A 6636-2022</t>
        </is>
      </c>
      <c r="B4400" s="1" t="n">
        <v>44601</v>
      </c>
      <c r="C4400" s="1" t="n">
        <v>45971</v>
      </c>
      <c r="D4400" t="inlineStr">
        <is>
          <t>VÄSTERBOTTENS LÄN</t>
        </is>
      </c>
      <c r="E4400" t="inlineStr">
        <is>
          <t>STORUMAN</t>
        </is>
      </c>
      <c r="G4400" t="n">
        <v>23.5</v>
      </c>
      <c r="H4400" t="n">
        <v>0</v>
      </c>
      <c r="I4400" t="n">
        <v>0</v>
      </c>
      <c r="J4400" t="n">
        <v>0</v>
      </c>
      <c r="K4400" t="n">
        <v>0</v>
      </c>
      <c r="L4400" t="n">
        <v>0</v>
      </c>
      <c r="M4400" t="n">
        <v>0</v>
      </c>
      <c r="N4400" t="n">
        <v>0</v>
      </c>
      <c r="O4400" t="n">
        <v>0</v>
      </c>
      <c r="P4400" t="n">
        <v>0</v>
      </c>
      <c r="Q4400" t="n">
        <v>0</v>
      </c>
      <c r="R4400" s="2" t="inlineStr"/>
    </row>
    <row r="4401" ht="15" customHeight="1">
      <c r="A4401" t="inlineStr">
        <is>
          <t>A 34246-2024</t>
        </is>
      </c>
      <c r="B4401" s="1" t="n">
        <v>45524.58476851852</v>
      </c>
      <c r="C4401" s="1" t="n">
        <v>45971</v>
      </c>
      <c r="D4401" t="inlineStr">
        <is>
          <t>VÄSTERBOTTENS LÄN</t>
        </is>
      </c>
      <c r="E4401" t="inlineStr">
        <is>
          <t>NORDMALING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3063-2024</t>
        </is>
      </c>
      <c r="B4402" s="1" t="n">
        <v>45316</v>
      </c>
      <c r="C4402" s="1" t="n">
        <v>45971</v>
      </c>
      <c r="D4402" t="inlineStr">
        <is>
          <t>VÄSTERBOTTENS LÄN</t>
        </is>
      </c>
      <c r="E4402" t="inlineStr">
        <is>
          <t>ÅSELE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11091-2025</t>
        </is>
      </c>
      <c r="B4403" s="1" t="n">
        <v>45723.57409722222</v>
      </c>
      <c r="C4403" s="1" t="n">
        <v>45971</v>
      </c>
      <c r="D4403" t="inlineStr">
        <is>
          <t>VÄSTERBOTTENS LÄN</t>
        </is>
      </c>
      <c r="E4403" t="inlineStr">
        <is>
          <t>DOROTEA</t>
        </is>
      </c>
      <c r="F4403" t="inlineStr">
        <is>
          <t>SCA</t>
        </is>
      </c>
      <c r="G4403" t="n">
        <v>18.6</v>
      </c>
      <c r="H4403" t="n">
        <v>0</v>
      </c>
      <c r="I4403" t="n">
        <v>0</v>
      </c>
      <c r="J4403" t="n">
        <v>0</v>
      </c>
      <c r="K4403" t="n">
        <v>0</v>
      </c>
      <c r="L4403" t="n">
        <v>0</v>
      </c>
      <c r="M4403" t="n">
        <v>0</v>
      </c>
      <c r="N4403" t="n">
        <v>0</v>
      </c>
      <c r="O4403" t="n">
        <v>0</v>
      </c>
      <c r="P4403" t="n">
        <v>0</v>
      </c>
      <c r="Q4403" t="n">
        <v>0</v>
      </c>
      <c r="R4403" s="2" t="inlineStr"/>
    </row>
    <row r="4404" ht="15" customHeight="1">
      <c r="A4404" t="inlineStr">
        <is>
          <t>A 64893-2021</t>
        </is>
      </c>
      <c r="B4404" s="1" t="n">
        <v>44512.6299537037</v>
      </c>
      <c r="C4404" s="1" t="n">
        <v>45971</v>
      </c>
      <c r="D4404" t="inlineStr">
        <is>
          <t>VÄSTERBOTTENS LÄN</t>
        </is>
      </c>
      <c r="E4404" t="inlineStr">
        <is>
          <t>LYCKSELE</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47493-2023</t>
        </is>
      </c>
      <c r="B4405" s="1" t="n">
        <v>45202</v>
      </c>
      <c r="C4405" s="1" t="n">
        <v>45971</v>
      </c>
      <c r="D4405" t="inlineStr">
        <is>
          <t>VÄSTERBOTTENS LÄN</t>
        </is>
      </c>
      <c r="E4405" t="inlineStr">
        <is>
          <t>DOROTEA</t>
        </is>
      </c>
      <c r="F4405" t="inlineStr">
        <is>
          <t>SCA</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16706-2025</t>
        </is>
      </c>
      <c r="B4406" s="1" t="n">
        <v>45751</v>
      </c>
      <c r="C4406" s="1" t="n">
        <v>45971</v>
      </c>
      <c r="D4406" t="inlineStr">
        <is>
          <t>VÄSTERBOTTENS LÄN</t>
        </is>
      </c>
      <c r="E4406" t="inlineStr">
        <is>
          <t>SKELLEFTEÅ</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16707-2025</t>
        </is>
      </c>
      <c r="B4407" s="1" t="n">
        <v>45751</v>
      </c>
      <c r="C4407" s="1" t="n">
        <v>45971</v>
      </c>
      <c r="D4407" t="inlineStr">
        <is>
          <t>VÄSTERBOTTENS LÄN</t>
        </is>
      </c>
      <c r="E4407" t="inlineStr">
        <is>
          <t>SKELLEFTEÅ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13725-2025</t>
        </is>
      </c>
      <c r="B4408" s="1" t="n">
        <v>45737.37833333333</v>
      </c>
      <c r="C4408" s="1" t="n">
        <v>45971</v>
      </c>
      <c r="D4408" t="inlineStr">
        <is>
          <t>VÄSTERBOTTENS LÄN</t>
        </is>
      </c>
      <c r="E4408" t="inlineStr">
        <is>
          <t>NORSJÖ</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19293-2025</t>
        </is>
      </c>
      <c r="B4409" s="1" t="n">
        <v>45769.56047453704</v>
      </c>
      <c r="C4409" s="1" t="n">
        <v>45971</v>
      </c>
      <c r="D4409" t="inlineStr">
        <is>
          <t>VÄSTERBOTTENS LÄN</t>
        </is>
      </c>
      <c r="E4409" t="inlineStr">
        <is>
          <t>SKELLEFTEÅ</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57899-2022</t>
        </is>
      </c>
      <c r="B4410" s="1" t="n">
        <v>44900</v>
      </c>
      <c r="C4410" s="1" t="n">
        <v>45971</v>
      </c>
      <c r="D4410" t="inlineStr">
        <is>
          <t>VÄSTERBOTTENS LÄN</t>
        </is>
      </c>
      <c r="E4410" t="inlineStr">
        <is>
          <t>SKELLEFTEÅ</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15337-2025</t>
        </is>
      </c>
      <c r="B4411" s="1" t="n">
        <v>45747.36483796296</v>
      </c>
      <c r="C4411" s="1" t="n">
        <v>45971</v>
      </c>
      <c r="D4411" t="inlineStr">
        <is>
          <t>VÄSTERBOTTENS LÄN</t>
        </is>
      </c>
      <c r="E4411" t="inlineStr">
        <is>
          <t>UMEÅ</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18700-2025</t>
        </is>
      </c>
      <c r="B4412" s="1" t="n">
        <v>45763.62945601852</v>
      </c>
      <c r="C4412" s="1" t="n">
        <v>45971</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16239-2023</t>
        </is>
      </c>
      <c r="B4413" s="1" t="n">
        <v>45028</v>
      </c>
      <c r="C4413" s="1" t="n">
        <v>45971</v>
      </c>
      <c r="D4413" t="inlineStr">
        <is>
          <t>VÄSTERBOTTENS LÄN</t>
        </is>
      </c>
      <c r="E4413" t="inlineStr">
        <is>
          <t>SKELLEFTEÅ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16504-2025</t>
        </is>
      </c>
      <c r="B4414" s="1" t="n">
        <v>45751</v>
      </c>
      <c r="C4414" s="1" t="n">
        <v>45971</v>
      </c>
      <c r="D4414" t="inlineStr">
        <is>
          <t>VÄSTERBOTTENS LÄN</t>
        </is>
      </c>
      <c r="E4414" t="inlineStr">
        <is>
          <t>LYCKSELE</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6684-2023</t>
        </is>
      </c>
      <c r="B4415" s="1" t="n">
        <v>44963</v>
      </c>
      <c r="C4415" s="1" t="n">
        <v>45971</v>
      </c>
      <c r="D4415" t="inlineStr">
        <is>
          <t>VÄSTERBOTTENS LÄN</t>
        </is>
      </c>
      <c r="E4415" t="inlineStr">
        <is>
          <t>LYCKSELE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56175-2024</t>
        </is>
      </c>
      <c r="B4416" s="1" t="n">
        <v>45624.55708333333</v>
      </c>
      <c r="C4416" s="1" t="n">
        <v>45971</v>
      </c>
      <c r="D4416" t="inlineStr">
        <is>
          <t>VÄSTERBOTTENS LÄN</t>
        </is>
      </c>
      <c r="E4416" t="inlineStr">
        <is>
          <t>MALÅ</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6699-2023</t>
        </is>
      </c>
      <c r="B4417" s="1" t="n">
        <v>44966.67196759259</v>
      </c>
      <c r="C4417" s="1" t="n">
        <v>45971</v>
      </c>
      <c r="D4417" t="inlineStr">
        <is>
          <t>VÄSTERBOTTENS LÄN</t>
        </is>
      </c>
      <c r="E4417" t="inlineStr">
        <is>
          <t>BJURHOLM</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61270-2022</t>
        </is>
      </c>
      <c r="B4418" s="1" t="n">
        <v>44909</v>
      </c>
      <c r="C4418" s="1" t="n">
        <v>45971</v>
      </c>
      <c r="D4418" t="inlineStr">
        <is>
          <t>VÄSTERBOTTENS LÄN</t>
        </is>
      </c>
      <c r="E4418" t="inlineStr">
        <is>
          <t>VILHELMINA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50189-2024</t>
        </is>
      </c>
      <c r="B4419" s="1" t="n">
        <v>45600.47861111111</v>
      </c>
      <c r="C4419" s="1" t="n">
        <v>45971</v>
      </c>
      <c r="D4419" t="inlineStr">
        <is>
          <t>VÄSTERBOTTENS LÄN</t>
        </is>
      </c>
      <c r="E4419" t="inlineStr">
        <is>
          <t>BJURHOLM</t>
        </is>
      </c>
      <c r="F4419" t="inlineStr">
        <is>
          <t>Holmen skog AB</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10203-2024</t>
        </is>
      </c>
      <c r="B4420" s="1" t="n">
        <v>45364</v>
      </c>
      <c r="C4420" s="1" t="n">
        <v>45971</v>
      </c>
      <c r="D4420" t="inlineStr">
        <is>
          <t>VÄSTERBOTTENS LÄN</t>
        </is>
      </c>
      <c r="E4420" t="inlineStr">
        <is>
          <t>STORUMAN</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10204-2024</t>
        </is>
      </c>
      <c r="B4421" s="1" t="n">
        <v>45364</v>
      </c>
      <c r="C4421" s="1" t="n">
        <v>45971</v>
      </c>
      <c r="D4421" t="inlineStr">
        <is>
          <t>VÄSTERBOTTENS LÄN</t>
        </is>
      </c>
      <c r="E4421" t="inlineStr">
        <is>
          <t>STORUMAN</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27964-2023</t>
        </is>
      </c>
      <c r="B4422" s="1" t="n">
        <v>45098</v>
      </c>
      <c r="C4422" s="1" t="n">
        <v>45971</v>
      </c>
      <c r="D4422" t="inlineStr">
        <is>
          <t>VÄSTERBOTTENS LÄN</t>
        </is>
      </c>
      <c r="E4422" t="inlineStr">
        <is>
          <t>LYCKSELE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46839-2025</t>
        </is>
      </c>
      <c r="B4423" s="1" t="n">
        <v>45928.44722222222</v>
      </c>
      <c r="C4423" s="1" t="n">
        <v>45971</v>
      </c>
      <c r="D4423" t="inlineStr">
        <is>
          <t>VÄSTERBOTTENS LÄN</t>
        </is>
      </c>
      <c r="E4423" t="inlineStr">
        <is>
          <t>VINDELN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46876-2025</t>
        </is>
      </c>
      <c r="B4424" s="1" t="n">
        <v>45929.34462962963</v>
      </c>
      <c r="C4424" s="1" t="n">
        <v>45971</v>
      </c>
      <c r="D4424" t="inlineStr">
        <is>
          <t>VÄSTERBOTTENS LÄN</t>
        </is>
      </c>
      <c r="E4424" t="inlineStr">
        <is>
          <t>NORDMALING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36589-2024</t>
        </is>
      </c>
      <c r="B4425" s="1" t="n">
        <v>45537.54291666667</v>
      </c>
      <c r="C4425" s="1" t="n">
        <v>45971</v>
      </c>
      <c r="D4425" t="inlineStr">
        <is>
          <t>VÄSTERBOTTENS LÄN</t>
        </is>
      </c>
      <c r="E4425" t="inlineStr">
        <is>
          <t>VINDELN</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52233-2024</t>
        </is>
      </c>
      <c r="B4426" s="1" t="n">
        <v>45608.61015046296</v>
      </c>
      <c r="C4426" s="1" t="n">
        <v>45971</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46934-2025</t>
        </is>
      </c>
      <c r="B4427" s="1" t="n">
        <v>45929</v>
      </c>
      <c r="C4427" s="1" t="n">
        <v>45971</v>
      </c>
      <c r="D4427" t="inlineStr">
        <is>
          <t>VÄSTERBOTTENS LÄN</t>
        </is>
      </c>
      <c r="E4427" t="inlineStr">
        <is>
          <t>VILHELMINA</t>
        </is>
      </c>
      <c r="F4427" t="inlineStr">
        <is>
          <t>SCA</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1812-2024</t>
        </is>
      </c>
      <c r="B4428" s="1" t="n">
        <v>45307</v>
      </c>
      <c r="C4428" s="1" t="n">
        <v>45971</v>
      </c>
      <c r="D4428" t="inlineStr">
        <is>
          <t>VÄSTERBOTTENS LÄN</t>
        </is>
      </c>
      <c r="E4428" t="inlineStr">
        <is>
          <t>LYCKSELE</t>
        </is>
      </c>
      <c r="F4428" t="inlineStr">
        <is>
          <t>Sveaskog</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904-2023</t>
        </is>
      </c>
      <c r="B4429" s="1" t="n">
        <v>44931</v>
      </c>
      <c r="C4429" s="1" t="n">
        <v>45971</v>
      </c>
      <c r="D4429" t="inlineStr">
        <is>
          <t>VÄSTERBOTTENS LÄN</t>
        </is>
      </c>
      <c r="E4429" t="inlineStr">
        <is>
          <t>SKELLEFTEÅ</t>
        </is>
      </c>
      <c r="G4429" t="n">
        <v>22.2</v>
      </c>
      <c r="H4429" t="n">
        <v>0</v>
      </c>
      <c r="I4429" t="n">
        <v>0</v>
      </c>
      <c r="J4429" t="n">
        <v>0</v>
      </c>
      <c r="K4429" t="n">
        <v>0</v>
      </c>
      <c r="L4429" t="n">
        <v>0</v>
      </c>
      <c r="M4429" t="n">
        <v>0</v>
      </c>
      <c r="N4429" t="n">
        <v>0</v>
      </c>
      <c r="O4429" t="n">
        <v>0</v>
      </c>
      <c r="P4429" t="n">
        <v>0</v>
      </c>
      <c r="Q4429" t="n">
        <v>0</v>
      </c>
      <c r="R4429" s="2" t="inlineStr"/>
    </row>
    <row r="4430" ht="15" customHeight="1">
      <c r="A4430" t="inlineStr">
        <is>
          <t>A 46776-2021</t>
        </is>
      </c>
      <c r="B4430" s="1" t="n">
        <v>44445.92101851852</v>
      </c>
      <c r="C4430" s="1" t="n">
        <v>45971</v>
      </c>
      <c r="D4430" t="inlineStr">
        <is>
          <t>VÄSTERBOTTENS LÄN</t>
        </is>
      </c>
      <c r="E4430" t="inlineStr">
        <is>
          <t>NORSJÖ</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58130-2023</t>
        </is>
      </c>
      <c r="B4431" s="1" t="n">
        <v>45249.95226851852</v>
      </c>
      <c r="C4431" s="1" t="n">
        <v>45971</v>
      </c>
      <c r="D4431" t="inlineStr">
        <is>
          <t>VÄSTERBOTTENS LÄN</t>
        </is>
      </c>
      <c r="E4431" t="inlineStr">
        <is>
          <t>UMEÅ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36839-2024</t>
        </is>
      </c>
      <c r="B4432" s="1" t="n">
        <v>45538.53047453704</v>
      </c>
      <c r="C4432" s="1" t="n">
        <v>45971</v>
      </c>
      <c r="D4432" t="inlineStr">
        <is>
          <t>VÄSTERBOTTENS LÄN</t>
        </is>
      </c>
      <c r="E4432" t="inlineStr">
        <is>
          <t>VINDELN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36901-2024</t>
        </is>
      </c>
      <c r="B4433" s="1" t="n">
        <v>45538.62810185185</v>
      </c>
      <c r="C4433" s="1" t="n">
        <v>45971</v>
      </c>
      <c r="D4433" t="inlineStr">
        <is>
          <t>VÄSTERBOTTENS LÄN</t>
        </is>
      </c>
      <c r="E4433" t="inlineStr">
        <is>
          <t>UMEÅ</t>
        </is>
      </c>
      <c r="F4433" t="inlineStr">
        <is>
          <t>Holmen skog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36932-2024</t>
        </is>
      </c>
      <c r="B4434" s="1" t="n">
        <v>45538</v>
      </c>
      <c r="C4434" s="1" t="n">
        <v>45971</v>
      </c>
      <c r="D4434" t="inlineStr">
        <is>
          <t>VÄSTERBOTTENS LÄN</t>
        </is>
      </c>
      <c r="E4434" t="inlineStr">
        <is>
          <t>UMEÅ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47093-2025</t>
        </is>
      </c>
      <c r="B4435" s="1" t="n">
        <v>45929.65231481481</v>
      </c>
      <c r="C4435" s="1" t="n">
        <v>45971</v>
      </c>
      <c r="D4435" t="inlineStr">
        <is>
          <t>VÄSTERBOTTENS LÄN</t>
        </is>
      </c>
      <c r="E4435" t="inlineStr">
        <is>
          <t>LYCKSELE</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24817-2024</t>
        </is>
      </c>
      <c r="B4436" s="1" t="n">
        <v>45460</v>
      </c>
      <c r="C4436" s="1" t="n">
        <v>45971</v>
      </c>
      <c r="D4436" t="inlineStr">
        <is>
          <t>VÄSTERBOTTENS LÄN</t>
        </is>
      </c>
      <c r="E4436" t="inlineStr">
        <is>
          <t>VINDELN</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60227-2022</t>
        </is>
      </c>
      <c r="B4437" s="1" t="n">
        <v>44903</v>
      </c>
      <c r="C4437" s="1" t="n">
        <v>45971</v>
      </c>
      <c r="D4437" t="inlineStr">
        <is>
          <t>VÄSTERBOTTENS LÄN</t>
        </is>
      </c>
      <c r="E4437" t="inlineStr">
        <is>
          <t>VILHELMINA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36933-2024</t>
        </is>
      </c>
      <c r="B4438" s="1" t="n">
        <v>45538</v>
      </c>
      <c r="C4438" s="1" t="n">
        <v>45971</v>
      </c>
      <c r="D4438" t="inlineStr">
        <is>
          <t>VÄSTERBOTTENS LÄN</t>
        </is>
      </c>
      <c r="E4438" t="inlineStr">
        <is>
          <t>ROBERTSFORS</t>
        </is>
      </c>
      <c r="F4438" t="inlineStr">
        <is>
          <t>Holmen skog AB</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72873-2021</t>
        </is>
      </c>
      <c r="B4439" s="1" t="n">
        <v>44547</v>
      </c>
      <c r="C4439" s="1" t="n">
        <v>45971</v>
      </c>
      <c r="D4439" t="inlineStr">
        <is>
          <t>VÄSTERBOTTENS LÄN</t>
        </is>
      </c>
      <c r="E4439" t="inlineStr">
        <is>
          <t>NORDMALING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23648-2023</t>
        </is>
      </c>
      <c r="B4440" s="1" t="n">
        <v>45077.54615740741</v>
      </c>
      <c r="C4440" s="1" t="n">
        <v>45971</v>
      </c>
      <c r="D4440" t="inlineStr">
        <is>
          <t>VÄSTERBOTTENS LÄN</t>
        </is>
      </c>
      <c r="E4440" t="inlineStr">
        <is>
          <t>ÅSELE</t>
        </is>
      </c>
      <c r="F4440" t="inlineStr">
        <is>
          <t>Naturvårdsverket</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60272-2022</t>
        </is>
      </c>
      <c r="B4441" s="1" t="n">
        <v>44910.49471064815</v>
      </c>
      <c r="C4441" s="1" t="n">
        <v>45971</v>
      </c>
      <c r="D4441" t="inlineStr">
        <is>
          <t>VÄSTERBOTTENS LÄN</t>
        </is>
      </c>
      <c r="E4441" t="inlineStr">
        <is>
          <t>LYCKSELE</t>
        </is>
      </c>
      <c r="F4441" t="inlineStr">
        <is>
          <t>Sveaskog</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34087-2023</t>
        </is>
      </c>
      <c r="B4442" s="1" t="n">
        <v>45125</v>
      </c>
      <c r="C4442" s="1" t="n">
        <v>45971</v>
      </c>
      <c r="D4442" t="inlineStr">
        <is>
          <t>VÄSTERBOTTENS LÄN</t>
        </is>
      </c>
      <c r="E4442" t="inlineStr">
        <is>
          <t>VILHELMINA</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10956-2023</t>
        </is>
      </c>
      <c r="B4443" s="1" t="n">
        <v>44985</v>
      </c>
      <c r="C4443" s="1" t="n">
        <v>45971</v>
      </c>
      <c r="D4443" t="inlineStr">
        <is>
          <t>VÄSTERBOTTENS LÄN</t>
        </is>
      </c>
      <c r="E4443" t="inlineStr">
        <is>
          <t>VILHELMINA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47138-2025</t>
        </is>
      </c>
      <c r="B4444" s="1" t="n">
        <v>45929.69899305556</v>
      </c>
      <c r="C4444" s="1" t="n">
        <v>45971</v>
      </c>
      <c r="D4444" t="inlineStr">
        <is>
          <t>VÄSTERBOTTENS LÄN</t>
        </is>
      </c>
      <c r="E4444" t="inlineStr">
        <is>
          <t>SKELLEFTEÅ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6700-2025</t>
        </is>
      </c>
      <c r="B4445" s="1" t="n">
        <v>45700.54133101852</v>
      </c>
      <c r="C4445" s="1" t="n">
        <v>45971</v>
      </c>
      <c r="D4445" t="inlineStr">
        <is>
          <t>VÄSTERBOTTENS LÄN</t>
        </is>
      </c>
      <c r="E4445" t="inlineStr">
        <is>
          <t>LYCKSELE</t>
        </is>
      </c>
      <c r="G4445" t="n">
        <v>18.1</v>
      </c>
      <c r="H4445" t="n">
        <v>0</v>
      </c>
      <c r="I4445" t="n">
        <v>0</v>
      </c>
      <c r="J4445" t="n">
        <v>0</v>
      </c>
      <c r="K4445" t="n">
        <v>0</v>
      </c>
      <c r="L4445" t="n">
        <v>0</v>
      </c>
      <c r="M4445" t="n">
        <v>0</v>
      </c>
      <c r="N4445" t="n">
        <v>0</v>
      </c>
      <c r="O4445" t="n">
        <v>0</v>
      </c>
      <c r="P4445" t="n">
        <v>0</v>
      </c>
      <c r="Q4445" t="n">
        <v>0</v>
      </c>
      <c r="R4445" s="2" t="inlineStr"/>
    </row>
    <row r="4446" ht="15" customHeight="1">
      <c r="A4446" t="inlineStr">
        <is>
          <t>A 36354-2024</t>
        </is>
      </c>
      <c r="B4446" s="1" t="n">
        <v>45534</v>
      </c>
      <c r="C4446" s="1" t="n">
        <v>45971</v>
      </c>
      <c r="D4446" t="inlineStr">
        <is>
          <t>VÄSTERBOTTENS LÄN</t>
        </is>
      </c>
      <c r="E4446" t="inlineStr">
        <is>
          <t>DOROTEA</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74397-2021</t>
        </is>
      </c>
      <c r="B4447" s="1" t="n">
        <v>44559</v>
      </c>
      <c r="C4447" s="1" t="n">
        <v>45971</v>
      </c>
      <c r="D4447" t="inlineStr">
        <is>
          <t>VÄSTERBOTTENS LÄN</t>
        </is>
      </c>
      <c r="E4447" t="inlineStr">
        <is>
          <t>VINDELN</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32965-2024</t>
        </is>
      </c>
      <c r="B4448" s="1" t="n">
        <v>45517.3959837963</v>
      </c>
      <c r="C4448" s="1" t="n">
        <v>45971</v>
      </c>
      <c r="D4448" t="inlineStr">
        <is>
          <t>VÄSTERBOTTENS LÄN</t>
        </is>
      </c>
      <c r="E4448" t="inlineStr">
        <is>
          <t>NORDMALING</t>
        </is>
      </c>
      <c r="F4448" t="inlineStr">
        <is>
          <t>Holmen skog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42249-2024</t>
        </is>
      </c>
      <c r="B4449" s="1" t="n">
        <v>45562.5778587963</v>
      </c>
      <c r="C4449" s="1" t="n">
        <v>45971</v>
      </c>
      <c r="D4449" t="inlineStr">
        <is>
          <t>VÄSTERBOTTENS LÄN</t>
        </is>
      </c>
      <c r="E4449" t="inlineStr">
        <is>
          <t>SKELLEFTEÅ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10984-2023</t>
        </is>
      </c>
      <c r="B4450" s="1" t="n">
        <v>44985</v>
      </c>
      <c r="C4450" s="1" t="n">
        <v>45971</v>
      </c>
      <c r="D4450" t="inlineStr">
        <is>
          <t>VÄSTERBOTTENS LÄN</t>
        </is>
      </c>
      <c r="E4450" t="inlineStr">
        <is>
          <t>BJURHOLM</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72281-2021</t>
        </is>
      </c>
      <c r="B4451" s="1" t="n">
        <v>44543</v>
      </c>
      <c r="C4451" s="1" t="n">
        <v>45971</v>
      </c>
      <c r="D4451" t="inlineStr">
        <is>
          <t>VÄSTERBOTTENS LÄN</t>
        </is>
      </c>
      <c r="E4451" t="inlineStr">
        <is>
          <t>STORUMAN</t>
        </is>
      </c>
      <c r="G4451" t="n">
        <v>18.5</v>
      </c>
      <c r="H4451" t="n">
        <v>0</v>
      </c>
      <c r="I4451" t="n">
        <v>0</v>
      </c>
      <c r="J4451" t="n">
        <v>0</v>
      </c>
      <c r="K4451" t="n">
        <v>0</v>
      </c>
      <c r="L4451" t="n">
        <v>0</v>
      </c>
      <c r="M4451" t="n">
        <v>0</v>
      </c>
      <c r="N4451" t="n">
        <v>0</v>
      </c>
      <c r="O4451" t="n">
        <v>0</v>
      </c>
      <c r="P4451" t="n">
        <v>0</v>
      </c>
      <c r="Q4451" t="n">
        <v>0</v>
      </c>
      <c r="R4451" s="2" t="inlineStr"/>
    </row>
    <row r="4452" ht="15" customHeight="1">
      <c r="A4452" t="inlineStr">
        <is>
          <t>A 29476-2023</t>
        </is>
      </c>
      <c r="B4452" s="1" t="n">
        <v>45106.57149305556</v>
      </c>
      <c r="C4452" s="1" t="n">
        <v>45971</v>
      </c>
      <c r="D4452" t="inlineStr">
        <is>
          <t>VÄSTERBOTTENS LÄN</t>
        </is>
      </c>
      <c r="E4452" t="inlineStr">
        <is>
          <t>VÄNNÄS</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38960-2025</t>
        </is>
      </c>
      <c r="B4453" s="1" t="n">
        <v>45887.67797453704</v>
      </c>
      <c r="C4453" s="1" t="n">
        <v>45971</v>
      </c>
      <c r="D4453" t="inlineStr">
        <is>
          <t>VÄSTERBOTTENS LÄN</t>
        </is>
      </c>
      <c r="E4453" t="inlineStr">
        <is>
          <t>LYCKSELE</t>
        </is>
      </c>
      <c r="F4453" t="inlineStr">
        <is>
          <t>SCA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29485-2023</t>
        </is>
      </c>
      <c r="B4454" s="1" t="n">
        <v>45106</v>
      </c>
      <c r="C4454" s="1" t="n">
        <v>45971</v>
      </c>
      <c r="D4454" t="inlineStr">
        <is>
          <t>VÄSTERBOTTENS LÄN</t>
        </is>
      </c>
      <c r="E4454" t="inlineStr">
        <is>
          <t>VÄNNÄS</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54778-2024</t>
        </is>
      </c>
      <c r="B4455" s="1" t="n">
        <v>45618</v>
      </c>
      <c r="C4455" s="1" t="n">
        <v>45971</v>
      </c>
      <c r="D4455" t="inlineStr">
        <is>
          <t>VÄSTERBOTTENS LÄN</t>
        </is>
      </c>
      <c r="E4455" t="inlineStr">
        <is>
          <t>LYCKSELE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33805-2024</t>
        </is>
      </c>
      <c r="B4456" s="1" t="n">
        <v>45520.6030787037</v>
      </c>
      <c r="C4456" s="1" t="n">
        <v>45971</v>
      </c>
      <c r="D4456" t="inlineStr">
        <is>
          <t>VÄSTERBOTTENS LÄN</t>
        </is>
      </c>
      <c r="E4456" t="inlineStr">
        <is>
          <t>STORUMAN</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28778-2025</t>
        </is>
      </c>
      <c r="B4457" s="1" t="n">
        <v>45820.44819444444</v>
      </c>
      <c r="C4457" s="1" t="n">
        <v>45971</v>
      </c>
      <c r="D4457" t="inlineStr">
        <is>
          <t>VÄSTERBOTTENS LÄN</t>
        </is>
      </c>
      <c r="E4457" t="inlineStr">
        <is>
          <t>SKELLEFTEÅ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19223-2025</t>
        </is>
      </c>
      <c r="B4458" s="1" t="n">
        <v>45769</v>
      </c>
      <c r="C4458" s="1" t="n">
        <v>45971</v>
      </c>
      <c r="D4458" t="inlineStr">
        <is>
          <t>VÄSTERBOTTENS LÄN</t>
        </is>
      </c>
      <c r="E4458" t="inlineStr">
        <is>
          <t>VILHELMINA</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61554-2022</t>
        </is>
      </c>
      <c r="B4459" s="1" t="n">
        <v>44916</v>
      </c>
      <c r="C4459" s="1" t="n">
        <v>45971</v>
      </c>
      <c r="D4459" t="inlineStr">
        <is>
          <t>VÄSTERBOTTENS LÄN</t>
        </is>
      </c>
      <c r="E4459" t="inlineStr">
        <is>
          <t>SORSELE</t>
        </is>
      </c>
      <c r="F4459" t="inlineStr">
        <is>
          <t>Sveaskog</t>
        </is>
      </c>
      <c r="G4459" t="n">
        <v>32.6</v>
      </c>
      <c r="H4459" t="n">
        <v>0</v>
      </c>
      <c r="I4459" t="n">
        <v>0</v>
      </c>
      <c r="J4459" t="n">
        <v>0</v>
      </c>
      <c r="K4459" t="n">
        <v>0</v>
      </c>
      <c r="L4459" t="n">
        <v>0</v>
      </c>
      <c r="M4459" t="n">
        <v>0</v>
      </c>
      <c r="N4459" t="n">
        <v>0</v>
      </c>
      <c r="O4459" t="n">
        <v>0</v>
      </c>
      <c r="P4459" t="n">
        <v>0</v>
      </c>
      <c r="Q4459" t="n">
        <v>0</v>
      </c>
      <c r="R4459" s="2" t="inlineStr"/>
    </row>
    <row r="4460" ht="15" customHeight="1">
      <c r="A4460" t="inlineStr">
        <is>
          <t>A 26318-2025</t>
        </is>
      </c>
      <c r="B4460" s="1" t="n">
        <v>45805.65717592592</v>
      </c>
      <c r="C4460" s="1" t="n">
        <v>45971</v>
      </c>
      <c r="D4460" t="inlineStr">
        <is>
          <t>VÄSTERBOTTENS LÄN</t>
        </is>
      </c>
      <c r="E4460" t="inlineStr">
        <is>
          <t>SKELLEFTEÅ</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38700-2025</t>
        </is>
      </c>
      <c r="B4461" s="1" t="n">
        <v>45884.85496527778</v>
      </c>
      <c r="C4461" s="1" t="n">
        <v>45971</v>
      </c>
      <c r="D4461" t="inlineStr">
        <is>
          <t>VÄSTERBOTTENS LÄN</t>
        </is>
      </c>
      <c r="E4461" t="inlineStr">
        <is>
          <t>STORUMAN</t>
        </is>
      </c>
      <c r="F4461" t="inlineStr">
        <is>
          <t>Sveaskog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37014-2024</t>
        </is>
      </c>
      <c r="B4462" s="1" t="n">
        <v>45539</v>
      </c>
      <c r="C4462" s="1" t="n">
        <v>45971</v>
      </c>
      <c r="D4462" t="inlineStr">
        <is>
          <t>VÄSTERBOTTENS LÄN</t>
        </is>
      </c>
      <c r="E4462" t="inlineStr">
        <is>
          <t>UMEÅ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59029-2024</t>
        </is>
      </c>
      <c r="B4463" s="1" t="n">
        <v>45636</v>
      </c>
      <c r="C4463" s="1" t="n">
        <v>45971</v>
      </c>
      <c r="D4463" t="inlineStr">
        <is>
          <t>VÄSTERBOTTENS LÄN</t>
        </is>
      </c>
      <c r="E4463" t="inlineStr">
        <is>
          <t>UMEÅ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62023-2024</t>
        </is>
      </c>
      <c r="B4464" s="1" t="n">
        <v>45656.06716435185</v>
      </c>
      <c r="C4464" s="1" t="n">
        <v>45971</v>
      </c>
      <c r="D4464" t="inlineStr">
        <is>
          <t>VÄSTERBOTTENS LÄN</t>
        </is>
      </c>
      <c r="E4464" t="inlineStr">
        <is>
          <t>SKELLEFTEÅ</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33990-2024</t>
        </is>
      </c>
      <c r="B4465" s="1" t="n">
        <v>45523.53366898148</v>
      </c>
      <c r="C4465" s="1" t="n">
        <v>45971</v>
      </c>
      <c r="D4465" t="inlineStr">
        <is>
          <t>VÄSTERBOTTENS LÄN</t>
        </is>
      </c>
      <c r="E4465" t="inlineStr">
        <is>
          <t>ÅSELE</t>
        </is>
      </c>
      <c r="F4465" t="inlineStr">
        <is>
          <t>Sveaskog</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61101-2022</t>
        </is>
      </c>
      <c r="B4466" s="1" t="n">
        <v>44915</v>
      </c>
      <c r="C4466" s="1" t="n">
        <v>45971</v>
      </c>
      <c r="D4466" t="inlineStr">
        <is>
          <t>VÄSTERBOTTENS LÄN</t>
        </is>
      </c>
      <c r="E4466" t="inlineStr">
        <is>
          <t>SKELLEFTEÅ</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19464-2025</t>
        </is>
      </c>
      <c r="B4467" s="1" t="n">
        <v>45770</v>
      </c>
      <c r="C4467" s="1" t="n">
        <v>45971</v>
      </c>
      <c r="D4467" t="inlineStr">
        <is>
          <t>VÄSTERBOTTENS LÄN</t>
        </is>
      </c>
      <c r="E4467" t="inlineStr">
        <is>
          <t>VILHELMINA</t>
        </is>
      </c>
      <c r="F4467" t="inlineStr">
        <is>
          <t>SCA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61149-2022</t>
        </is>
      </c>
      <c r="B4468" s="1" t="n">
        <v>44908</v>
      </c>
      <c r="C4468" s="1" t="n">
        <v>45971</v>
      </c>
      <c r="D4468" t="inlineStr">
        <is>
          <t>VÄSTERBOTTENS LÄN</t>
        </is>
      </c>
      <c r="E4468" t="inlineStr">
        <is>
          <t>NORDMALING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61569-2022</t>
        </is>
      </c>
      <c r="B4469" s="1" t="n">
        <v>44916</v>
      </c>
      <c r="C4469" s="1" t="n">
        <v>45971</v>
      </c>
      <c r="D4469" t="inlineStr">
        <is>
          <t>VÄSTERBOTTENS LÄN</t>
        </is>
      </c>
      <c r="E4469" t="inlineStr">
        <is>
          <t>SKELLEFTEÅ</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49130-2024</t>
        </is>
      </c>
      <c r="B4470" s="1" t="n">
        <v>45594</v>
      </c>
      <c r="C4470" s="1" t="n">
        <v>45971</v>
      </c>
      <c r="D4470" t="inlineStr">
        <is>
          <t>VÄSTERBOTTENS LÄN</t>
        </is>
      </c>
      <c r="E4470" t="inlineStr">
        <is>
          <t>LYCKSELE</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57603-2021</t>
        </is>
      </c>
      <c r="B4471" s="1" t="n">
        <v>44483</v>
      </c>
      <c r="C4471" s="1" t="n">
        <v>45971</v>
      </c>
      <c r="D4471" t="inlineStr">
        <is>
          <t>VÄSTERBOTTENS LÄN</t>
        </is>
      </c>
      <c r="E4471" t="inlineStr">
        <is>
          <t>UMEÅ</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16959-2024</t>
        </is>
      </c>
      <c r="B4472" s="1" t="n">
        <v>45411</v>
      </c>
      <c r="C4472" s="1" t="n">
        <v>45971</v>
      </c>
      <c r="D4472" t="inlineStr">
        <is>
          <t>VÄSTERBOTTENS LÄN</t>
        </is>
      </c>
      <c r="E4472" t="inlineStr">
        <is>
          <t>SKELLEFTEÅ</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48543-2024</t>
        </is>
      </c>
      <c r="B4473" s="1" t="n">
        <v>45593</v>
      </c>
      <c r="C4473" s="1" t="n">
        <v>45971</v>
      </c>
      <c r="D4473" t="inlineStr">
        <is>
          <t>VÄSTERBOTTENS LÄN</t>
        </is>
      </c>
      <c r="E4473" t="inlineStr">
        <is>
          <t>LYCKSELE</t>
        </is>
      </c>
      <c r="F4473" t="inlineStr">
        <is>
          <t>Holmen skog AB</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28980-2024</t>
        </is>
      </c>
      <c r="B4474" s="1" t="n">
        <v>45481.47248842593</v>
      </c>
      <c r="C4474" s="1" t="n">
        <v>45971</v>
      </c>
      <c r="D4474" t="inlineStr">
        <is>
          <t>VÄSTERBOTTENS LÄN</t>
        </is>
      </c>
      <c r="E4474" t="inlineStr">
        <is>
          <t>ÅSELE</t>
        </is>
      </c>
      <c r="F4474" t="inlineStr">
        <is>
          <t>Sveaskog</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1557-2025</t>
        </is>
      </c>
      <c r="B4475" s="1" t="n">
        <v>45670</v>
      </c>
      <c r="C4475" s="1" t="n">
        <v>45971</v>
      </c>
      <c r="D4475" t="inlineStr">
        <is>
          <t>VÄSTERBOTTENS LÄN</t>
        </is>
      </c>
      <c r="E4475" t="inlineStr">
        <is>
          <t>NORSJÖ</t>
        </is>
      </c>
      <c r="G4475" t="n">
        <v>8.9</v>
      </c>
      <c r="H4475" t="n">
        <v>0</v>
      </c>
      <c r="I4475" t="n">
        <v>0</v>
      </c>
      <c r="J4475" t="n">
        <v>0</v>
      </c>
      <c r="K4475" t="n">
        <v>0</v>
      </c>
      <c r="L4475" t="n">
        <v>0</v>
      </c>
      <c r="M4475" t="n">
        <v>0</v>
      </c>
      <c r="N4475" t="n">
        <v>0</v>
      </c>
      <c r="O4475" t="n">
        <v>0</v>
      </c>
      <c r="P4475" t="n">
        <v>0</v>
      </c>
      <c r="Q4475" t="n">
        <v>0</v>
      </c>
      <c r="R4475" s="2" t="inlineStr"/>
    </row>
    <row r="4476" ht="15" customHeight="1">
      <c r="A4476" t="inlineStr">
        <is>
          <t>A 1562-2025</t>
        </is>
      </c>
      <c r="B4476" s="1" t="n">
        <v>45670.54126157407</v>
      </c>
      <c r="C4476" s="1" t="n">
        <v>45971</v>
      </c>
      <c r="D4476" t="inlineStr">
        <is>
          <t>VÄSTERBOTTENS LÄN</t>
        </is>
      </c>
      <c r="E4476" t="inlineStr">
        <is>
          <t>NORSJÖ</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61846-2022</t>
        </is>
      </c>
      <c r="B4477" s="1" t="n">
        <v>44917.60903935185</v>
      </c>
      <c r="C4477" s="1" t="n">
        <v>45971</v>
      </c>
      <c r="D4477" t="inlineStr">
        <is>
          <t>VÄSTERBOTTENS LÄN</t>
        </is>
      </c>
      <c r="E4477" t="inlineStr">
        <is>
          <t>STORUMAN</t>
        </is>
      </c>
      <c r="F4477" t="inlineStr">
        <is>
          <t>Sveaskog</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73113-2021</t>
        </is>
      </c>
      <c r="B4478" s="1" t="n">
        <v>44550</v>
      </c>
      <c r="C4478" s="1" t="n">
        <v>45971</v>
      </c>
      <c r="D4478" t="inlineStr">
        <is>
          <t>VÄSTERBOTTENS LÄN</t>
        </is>
      </c>
      <c r="E4478" t="inlineStr">
        <is>
          <t>LYCKSELE</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1640-2025</t>
        </is>
      </c>
      <c r="B4479" s="1" t="n">
        <v>45670</v>
      </c>
      <c r="C4479" s="1" t="n">
        <v>45971</v>
      </c>
      <c r="D4479" t="inlineStr">
        <is>
          <t>VÄSTERBOTTENS LÄN</t>
        </is>
      </c>
      <c r="E4479" t="inlineStr">
        <is>
          <t>ÅSELE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18796-2025</t>
        </is>
      </c>
      <c r="B4480" s="1" t="n">
        <v>45764.34581018519</v>
      </c>
      <c r="C4480" s="1" t="n">
        <v>45971</v>
      </c>
      <c r="D4480" t="inlineStr">
        <is>
          <t>VÄSTERBOTTENS LÄN</t>
        </is>
      </c>
      <c r="E4480" t="inlineStr">
        <is>
          <t>NORDMALING</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18810-2025</t>
        </is>
      </c>
      <c r="B4481" s="1" t="n">
        <v>45764.360625</v>
      </c>
      <c r="C4481" s="1" t="n">
        <v>45971</v>
      </c>
      <c r="D4481" t="inlineStr">
        <is>
          <t>VÄSTERBOTTENS LÄN</t>
        </is>
      </c>
      <c r="E4481" t="inlineStr">
        <is>
          <t>LYCKSELE</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38301-2023</t>
        </is>
      </c>
      <c r="B4482" s="1" t="n">
        <v>45160</v>
      </c>
      <c r="C4482" s="1" t="n">
        <v>45971</v>
      </c>
      <c r="D4482" t="inlineStr">
        <is>
          <t>VÄSTERBOTTENS LÄN</t>
        </is>
      </c>
      <c r="E4482" t="inlineStr">
        <is>
          <t>SKELLEFTEÅ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60210-2024</t>
        </is>
      </c>
      <c r="B4483" s="1" t="n">
        <v>45642</v>
      </c>
      <c r="C4483" s="1" t="n">
        <v>45971</v>
      </c>
      <c r="D4483" t="inlineStr">
        <is>
          <t>VÄSTERBOTTENS LÄN</t>
        </is>
      </c>
      <c r="E4483" t="inlineStr">
        <is>
          <t>SKELLEFTEÅ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39500-2025</t>
        </is>
      </c>
      <c r="B4484" s="1" t="n">
        <v>45890</v>
      </c>
      <c r="C4484" s="1" t="n">
        <v>45971</v>
      </c>
      <c r="D4484" t="inlineStr">
        <is>
          <t>VÄSTERBOTTENS LÄN</t>
        </is>
      </c>
      <c r="E4484" t="inlineStr">
        <is>
          <t>LYCKSELE</t>
        </is>
      </c>
      <c r="G4484" t="n">
        <v>22.6</v>
      </c>
      <c r="H4484" t="n">
        <v>0</v>
      </c>
      <c r="I4484" t="n">
        <v>0</v>
      </c>
      <c r="J4484" t="n">
        <v>0</v>
      </c>
      <c r="K4484" t="n">
        <v>0</v>
      </c>
      <c r="L4484" t="n">
        <v>0</v>
      </c>
      <c r="M4484" t="n">
        <v>0</v>
      </c>
      <c r="N4484" t="n">
        <v>0</v>
      </c>
      <c r="O4484" t="n">
        <v>0</v>
      </c>
      <c r="P4484" t="n">
        <v>0</v>
      </c>
      <c r="Q4484" t="n">
        <v>0</v>
      </c>
      <c r="R4484" s="2" t="inlineStr"/>
    </row>
    <row r="4485" ht="15" customHeight="1">
      <c r="A4485" t="inlineStr">
        <is>
          <t>A 39517-2025</t>
        </is>
      </c>
      <c r="B4485" s="1" t="n">
        <v>45890.42685185185</v>
      </c>
      <c r="C4485" s="1" t="n">
        <v>45971</v>
      </c>
      <c r="D4485" t="inlineStr">
        <is>
          <t>VÄSTERBOTTENS LÄN</t>
        </is>
      </c>
      <c r="E4485" t="inlineStr">
        <is>
          <t>LYCKSELE</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60499-2023</t>
        </is>
      </c>
      <c r="B4486" s="1" t="n">
        <v>45259</v>
      </c>
      <c r="C4486" s="1" t="n">
        <v>45971</v>
      </c>
      <c r="D4486" t="inlineStr">
        <is>
          <t>VÄSTERBOTTENS LÄN</t>
        </is>
      </c>
      <c r="E4486" t="inlineStr">
        <is>
          <t>BJURHOLM</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39522-2025</t>
        </is>
      </c>
      <c r="B4487" s="1" t="n">
        <v>45890.43673611111</v>
      </c>
      <c r="C4487" s="1" t="n">
        <v>45971</v>
      </c>
      <c r="D4487" t="inlineStr">
        <is>
          <t>VÄSTERBOTTENS LÄN</t>
        </is>
      </c>
      <c r="E4487" t="inlineStr">
        <is>
          <t>SKELLEFTEÅ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39523-2025</t>
        </is>
      </c>
      <c r="B4488" s="1" t="n">
        <v>45890.43826388889</v>
      </c>
      <c r="C4488" s="1" t="n">
        <v>45971</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39543-2025</t>
        </is>
      </c>
      <c r="B4489" s="1" t="n">
        <v>45890.45545138889</v>
      </c>
      <c r="C4489" s="1" t="n">
        <v>45971</v>
      </c>
      <c r="D4489" t="inlineStr">
        <is>
          <t>VÄSTERBOTTENS LÄN</t>
        </is>
      </c>
      <c r="E4489" t="inlineStr">
        <is>
          <t>LYCKSELE</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8436-2022</t>
        </is>
      </c>
      <c r="B4490" s="1" t="n">
        <v>44612.63918981481</v>
      </c>
      <c r="C4490" s="1" t="n">
        <v>45971</v>
      </c>
      <c r="D4490" t="inlineStr">
        <is>
          <t>VÄSTERBOTTENS LÄN</t>
        </is>
      </c>
      <c r="E4490" t="inlineStr">
        <is>
          <t>SKELLEFTEÅ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29652-2024</t>
        </is>
      </c>
      <c r="B4491" s="1" t="n">
        <v>45484.92328703704</v>
      </c>
      <c r="C4491" s="1" t="n">
        <v>45971</v>
      </c>
      <c r="D4491" t="inlineStr">
        <is>
          <t>VÄSTERBOTTENS LÄN</t>
        </is>
      </c>
      <c r="E4491" t="inlineStr">
        <is>
          <t>UMEÅ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18317-2025</t>
        </is>
      </c>
      <c r="B4492" s="1" t="n">
        <v>45762.45550925926</v>
      </c>
      <c r="C4492" s="1" t="n">
        <v>45971</v>
      </c>
      <c r="D4492" t="inlineStr">
        <is>
          <t>VÄSTERBOTTENS LÄN</t>
        </is>
      </c>
      <c r="E4492" t="inlineStr">
        <is>
          <t>ÅSELE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39573-2025</t>
        </is>
      </c>
      <c r="B4493" s="1" t="n">
        <v>45890.49130787037</v>
      </c>
      <c r="C4493" s="1" t="n">
        <v>45971</v>
      </c>
      <c r="D4493" t="inlineStr">
        <is>
          <t>VÄSTERBOTTENS LÄN</t>
        </is>
      </c>
      <c r="E4493" t="inlineStr">
        <is>
          <t>NORDMALING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39591-2025</t>
        </is>
      </c>
      <c r="B4494" s="1" t="n">
        <v>45890</v>
      </c>
      <c r="C4494" s="1" t="n">
        <v>45971</v>
      </c>
      <c r="D4494" t="inlineStr">
        <is>
          <t>VÄSTERBOTTENS LÄN</t>
        </is>
      </c>
      <c r="E4494" t="inlineStr">
        <is>
          <t>ÅSELE</t>
        </is>
      </c>
      <c r="F4494" t="inlineStr">
        <is>
          <t>SCA</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39320-2025</t>
        </is>
      </c>
      <c r="B4495" s="1" t="n">
        <v>45889.46940972222</v>
      </c>
      <c r="C4495" s="1" t="n">
        <v>45971</v>
      </c>
      <c r="D4495" t="inlineStr">
        <is>
          <t>VÄSTERBOTTENS LÄN</t>
        </is>
      </c>
      <c r="E4495" t="inlineStr">
        <is>
          <t>VILHELMINA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39328-2025</t>
        </is>
      </c>
      <c r="B4496" s="1" t="n">
        <v>45889</v>
      </c>
      <c r="C4496" s="1" t="n">
        <v>45971</v>
      </c>
      <c r="D4496" t="inlineStr">
        <is>
          <t>VÄSTERBOTTENS LÄN</t>
        </is>
      </c>
      <c r="E4496" t="inlineStr">
        <is>
          <t>SKELLEFTEÅ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30058-2024</t>
        </is>
      </c>
      <c r="B4497" s="1" t="n">
        <v>45488.94793981482</v>
      </c>
      <c r="C4497" s="1" t="n">
        <v>45971</v>
      </c>
      <c r="D4497" t="inlineStr">
        <is>
          <t>VÄSTERBOTTENS LÄN</t>
        </is>
      </c>
      <c r="E4497" t="inlineStr">
        <is>
          <t>ÅSELE</t>
        </is>
      </c>
      <c r="F4497" t="inlineStr">
        <is>
          <t>SCA</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57108-2024</t>
        </is>
      </c>
      <c r="B4498" s="1" t="n">
        <v>45629.36464120371</v>
      </c>
      <c r="C4498" s="1" t="n">
        <v>45971</v>
      </c>
      <c r="D4498" t="inlineStr">
        <is>
          <t>VÄSTERBOTTENS LÄN</t>
        </is>
      </c>
      <c r="E4498" t="inlineStr">
        <is>
          <t>LYCKSELE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58575-2023</t>
        </is>
      </c>
      <c r="B4499" s="1" t="n">
        <v>45251.44665509259</v>
      </c>
      <c r="C4499" s="1" t="n">
        <v>45971</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53641-2022</t>
        </is>
      </c>
      <c r="B4500" s="1" t="n">
        <v>44879.93</v>
      </c>
      <c r="C4500" s="1" t="n">
        <v>45971</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70740-2021</t>
        </is>
      </c>
      <c r="B4501" s="1" t="n">
        <v>44536</v>
      </c>
      <c r="C4501" s="1" t="n">
        <v>45971</v>
      </c>
      <c r="D4501" t="inlineStr">
        <is>
          <t>VÄSTERBOTTENS LÄN</t>
        </is>
      </c>
      <c r="E4501" t="inlineStr">
        <is>
          <t>BJURHOLM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39345-2025</t>
        </is>
      </c>
      <c r="B4502" s="1" t="n">
        <v>45889.53192129629</v>
      </c>
      <c r="C4502" s="1" t="n">
        <v>45971</v>
      </c>
      <c r="D4502" t="inlineStr">
        <is>
          <t>VÄSTERBOTTENS LÄN</t>
        </is>
      </c>
      <c r="E4502" t="inlineStr">
        <is>
          <t>DOROTEA</t>
        </is>
      </c>
      <c r="F4502" t="inlineStr">
        <is>
          <t>SCA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39349-2025</t>
        </is>
      </c>
      <c r="B4503" s="1" t="n">
        <v>45889.5431712963</v>
      </c>
      <c r="C4503" s="1" t="n">
        <v>45971</v>
      </c>
      <c r="D4503" t="inlineStr">
        <is>
          <t>VÄSTERBOTTENS LÄN</t>
        </is>
      </c>
      <c r="E4503" t="inlineStr">
        <is>
          <t>SKELLEFTEÅ</t>
        </is>
      </c>
      <c r="F4503" t="inlineStr">
        <is>
          <t>Kommuner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39379-2025</t>
        </is>
      </c>
      <c r="B4504" s="1" t="n">
        <v>45889.59917824074</v>
      </c>
      <c r="C4504" s="1" t="n">
        <v>45971</v>
      </c>
      <c r="D4504" t="inlineStr">
        <is>
          <t>VÄSTERBOTTENS LÄN</t>
        </is>
      </c>
      <c r="E4504" t="inlineStr">
        <is>
          <t>SKELLEFTEÅ</t>
        </is>
      </c>
      <c r="F4504" t="inlineStr">
        <is>
          <t>Holmen skog AB</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46440-2023</t>
        </is>
      </c>
      <c r="B4505" s="1" t="n">
        <v>45197.5899537037</v>
      </c>
      <c r="C4505" s="1" t="n">
        <v>45971</v>
      </c>
      <c r="D4505" t="inlineStr">
        <is>
          <t>VÄSTERBOTTENS LÄN</t>
        </is>
      </c>
      <c r="E4505" t="inlineStr">
        <is>
          <t>SKELLEFTEÅ</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13402-2025</t>
        </is>
      </c>
      <c r="B4506" s="1" t="n">
        <v>45735</v>
      </c>
      <c r="C4506" s="1" t="n">
        <v>45971</v>
      </c>
      <c r="D4506" t="inlineStr">
        <is>
          <t>VÄSTERBOTTENS LÄN</t>
        </is>
      </c>
      <c r="E4506" t="inlineStr">
        <is>
          <t>ÅSELE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47930-2025</t>
        </is>
      </c>
      <c r="B4507" s="1" t="n">
        <v>45932.55251157407</v>
      </c>
      <c r="C4507" s="1" t="n">
        <v>45971</v>
      </c>
      <c r="D4507" t="inlineStr">
        <is>
          <t>VÄSTERBOTTENS LÄN</t>
        </is>
      </c>
      <c r="E4507" t="inlineStr">
        <is>
          <t>LYCKSELE</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49236-2024</t>
        </is>
      </c>
      <c r="B4508" s="1" t="n">
        <v>45595</v>
      </c>
      <c r="C4508" s="1" t="n">
        <v>45971</v>
      </c>
      <c r="D4508" t="inlineStr">
        <is>
          <t>VÄSTERBOTTENS LÄN</t>
        </is>
      </c>
      <c r="E4508" t="inlineStr">
        <is>
          <t>VILHELMINA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60682-2022</t>
        </is>
      </c>
      <c r="B4509" s="1" t="n">
        <v>44911.94</v>
      </c>
      <c r="C4509" s="1" t="n">
        <v>45971</v>
      </c>
      <c r="D4509" t="inlineStr">
        <is>
          <t>VÄSTERBOTTENS LÄN</t>
        </is>
      </c>
      <c r="E4509" t="inlineStr">
        <is>
          <t>VILHELMINA</t>
        </is>
      </c>
      <c r="F4509" t="inlineStr">
        <is>
          <t>SCA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49274-2024</t>
        </is>
      </c>
      <c r="B4510" s="1" t="n">
        <v>45595.5080787037</v>
      </c>
      <c r="C4510" s="1" t="n">
        <v>45971</v>
      </c>
      <c r="D4510" t="inlineStr">
        <is>
          <t>VÄSTERBOTTENS LÄN</t>
        </is>
      </c>
      <c r="E4510" t="inlineStr">
        <is>
          <t>MALÅ</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60692-2022</t>
        </is>
      </c>
      <c r="B4511" s="1" t="n">
        <v>44911.94085648148</v>
      </c>
      <c r="C4511" s="1" t="n">
        <v>45971</v>
      </c>
      <c r="D4511" t="inlineStr">
        <is>
          <t>VÄSTERBOTTENS LÄN</t>
        </is>
      </c>
      <c r="E4511" t="inlineStr">
        <is>
          <t>BJURHOLM</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60738-2022</t>
        </is>
      </c>
      <c r="B4512" s="1" t="n">
        <v>44913.89579861111</v>
      </c>
      <c r="C4512" s="1" t="n">
        <v>45971</v>
      </c>
      <c r="D4512" t="inlineStr">
        <is>
          <t>VÄSTERBOTTENS LÄN</t>
        </is>
      </c>
      <c r="E4512" t="inlineStr">
        <is>
          <t>ROBERTSFORS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13507-2025</t>
        </is>
      </c>
      <c r="B4513" s="1" t="n">
        <v>45736.46914351852</v>
      </c>
      <c r="C4513" s="1" t="n">
        <v>45971</v>
      </c>
      <c r="D4513" t="inlineStr">
        <is>
          <t>VÄSTERBOTTENS LÄN</t>
        </is>
      </c>
      <c r="E4513" t="inlineStr">
        <is>
          <t>NORDMALING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14343-2025</t>
        </is>
      </c>
      <c r="B4514" s="1" t="n">
        <v>45741.32619212963</v>
      </c>
      <c r="C4514" s="1" t="n">
        <v>45971</v>
      </c>
      <c r="D4514" t="inlineStr">
        <is>
          <t>VÄSTERBOTTENS LÄN</t>
        </is>
      </c>
      <c r="E4514" t="inlineStr">
        <is>
          <t>LYCKSELE</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48033-2025</t>
        </is>
      </c>
      <c r="B4515" s="1" t="n">
        <v>45932.65663194445</v>
      </c>
      <c r="C4515" s="1" t="n">
        <v>45971</v>
      </c>
      <c r="D4515" t="inlineStr">
        <is>
          <t>VÄSTERBOTTENS LÄN</t>
        </is>
      </c>
      <c r="E4515" t="inlineStr">
        <is>
          <t>SKELLEFTEÅ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52568-2024</t>
        </is>
      </c>
      <c r="B4516" s="1" t="n">
        <v>45609.66168981481</v>
      </c>
      <c r="C4516" s="1" t="n">
        <v>45971</v>
      </c>
      <c r="D4516" t="inlineStr">
        <is>
          <t>VÄSTERBOTTENS LÄN</t>
        </is>
      </c>
      <c r="E4516" t="inlineStr">
        <is>
          <t>NORSJÖ</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59249-2022</t>
        </is>
      </c>
      <c r="B4517" s="1" t="n">
        <v>44904.57640046296</v>
      </c>
      <c r="C4517" s="1" t="n">
        <v>45971</v>
      </c>
      <c r="D4517" t="inlineStr">
        <is>
          <t>VÄSTERBOTTENS LÄN</t>
        </is>
      </c>
      <c r="E4517" t="inlineStr">
        <is>
          <t>STORUMAN</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59256-2022</t>
        </is>
      </c>
      <c r="B4518" s="1" t="n">
        <v>44904.57989583333</v>
      </c>
      <c r="C4518" s="1" t="n">
        <v>45971</v>
      </c>
      <c r="D4518" t="inlineStr">
        <is>
          <t>VÄSTERBOTTENS LÄN</t>
        </is>
      </c>
      <c r="E4518" t="inlineStr">
        <is>
          <t>ROBERTSFORS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50821-2023</t>
        </is>
      </c>
      <c r="B4519" s="1" t="n">
        <v>45217.92206018518</v>
      </c>
      <c r="C4519" s="1" t="n">
        <v>45971</v>
      </c>
      <c r="D4519" t="inlineStr">
        <is>
          <t>VÄSTERBOTTENS LÄN</t>
        </is>
      </c>
      <c r="E4519" t="inlineStr">
        <is>
          <t>SKELLEFTEÅ</t>
        </is>
      </c>
      <c r="G4519" t="n">
        <v>19.3</v>
      </c>
      <c r="H4519" t="n">
        <v>0</v>
      </c>
      <c r="I4519" t="n">
        <v>0</v>
      </c>
      <c r="J4519" t="n">
        <v>0</v>
      </c>
      <c r="K4519" t="n">
        <v>0</v>
      </c>
      <c r="L4519" t="n">
        <v>0</v>
      </c>
      <c r="M4519" t="n">
        <v>0</v>
      </c>
      <c r="N4519" t="n">
        <v>0</v>
      </c>
      <c r="O4519" t="n">
        <v>0</v>
      </c>
      <c r="P4519" t="n">
        <v>0</v>
      </c>
      <c r="Q4519" t="n">
        <v>0</v>
      </c>
      <c r="R4519" s="2" t="inlineStr"/>
    </row>
    <row r="4520" ht="15" customHeight="1">
      <c r="A4520" t="inlineStr">
        <is>
          <t>A 30553-2023</t>
        </is>
      </c>
      <c r="B4520" s="1" t="n">
        <v>45111</v>
      </c>
      <c r="C4520" s="1" t="n">
        <v>45971</v>
      </c>
      <c r="D4520" t="inlineStr">
        <is>
          <t>VÄSTERBOTTENS LÄN</t>
        </is>
      </c>
      <c r="E4520" t="inlineStr">
        <is>
          <t>UMEÅ</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12261-2022</t>
        </is>
      </c>
      <c r="B4521" s="1" t="n">
        <v>44637</v>
      </c>
      <c r="C4521" s="1" t="n">
        <v>45971</v>
      </c>
      <c r="D4521" t="inlineStr">
        <is>
          <t>VÄSTERBOTTENS LÄN</t>
        </is>
      </c>
      <c r="E4521" t="inlineStr">
        <is>
          <t>LYCKSELE</t>
        </is>
      </c>
      <c r="G4521" t="n">
        <v>30.8</v>
      </c>
      <c r="H4521" t="n">
        <v>0</v>
      </c>
      <c r="I4521" t="n">
        <v>0</v>
      </c>
      <c r="J4521" t="n">
        <v>0</v>
      </c>
      <c r="K4521" t="n">
        <v>0</v>
      </c>
      <c r="L4521" t="n">
        <v>0</v>
      </c>
      <c r="M4521" t="n">
        <v>0</v>
      </c>
      <c r="N4521" t="n">
        <v>0</v>
      </c>
      <c r="O4521" t="n">
        <v>0</v>
      </c>
      <c r="P4521" t="n">
        <v>0</v>
      </c>
      <c r="Q4521" t="n">
        <v>0</v>
      </c>
      <c r="R4521" s="2" t="inlineStr"/>
    </row>
    <row r="4522" ht="15" customHeight="1">
      <c r="A4522" t="inlineStr">
        <is>
          <t>A 39472-2025</t>
        </is>
      </c>
      <c r="B4522" s="1" t="n">
        <v>45890.34418981482</v>
      </c>
      <c r="C4522" s="1" t="n">
        <v>45971</v>
      </c>
      <c r="D4522" t="inlineStr">
        <is>
          <t>VÄSTERBOTTENS LÄN</t>
        </is>
      </c>
      <c r="E4522" t="inlineStr">
        <is>
          <t>ÅSELE</t>
        </is>
      </c>
      <c r="F4522" t="inlineStr">
        <is>
          <t>SCA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30570-2023</t>
        </is>
      </c>
      <c r="B4523" s="1" t="n">
        <v>45111</v>
      </c>
      <c r="C4523" s="1" t="n">
        <v>45971</v>
      </c>
      <c r="D4523" t="inlineStr">
        <is>
          <t>VÄSTERBOTTENS LÄN</t>
        </is>
      </c>
      <c r="E4523" t="inlineStr">
        <is>
          <t>DOROTEA</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39696-2025</t>
        </is>
      </c>
      <c r="B4524" s="1" t="n">
        <v>45890.68950231482</v>
      </c>
      <c r="C4524" s="1" t="n">
        <v>45971</v>
      </c>
      <c r="D4524" t="inlineStr">
        <is>
          <t>VÄSTERBOTTENS LÄN</t>
        </is>
      </c>
      <c r="E4524" t="inlineStr">
        <is>
          <t>NORSJÖ</t>
        </is>
      </c>
      <c r="F4524" t="inlineStr">
        <is>
          <t>Sveaskog</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18180-2024</t>
        </is>
      </c>
      <c r="B4525" s="1" t="n">
        <v>45420</v>
      </c>
      <c r="C4525" s="1" t="n">
        <v>45971</v>
      </c>
      <c r="D4525" t="inlineStr">
        <is>
          <t>VÄSTERBOTTENS LÄN</t>
        </is>
      </c>
      <c r="E4525" t="inlineStr">
        <is>
          <t>SORSELE</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19573-2024</t>
        </is>
      </c>
      <c r="B4526" s="1" t="n">
        <v>45429</v>
      </c>
      <c r="C4526" s="1" t="n">
        <v>45971</v>
      </c>
      <c r="D4526" t="inlineStr">
        <is>
          <t>VÄSTERBOTTENS LÄN</t>
        </is>
      </c>
      <c r="E4526" t="inlineStr">
        <is>
          <t>BJURHOLM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2704-2025</t>
        </is>
      </c>
      <c r="B4527" s="1" t="n">
        <v>45677</v>
      </c>
      <c r="C4527" s="1" t="n">
        <v>45971</v>
      </c>
      <c r="D4527" t="inlineStr">
        <is>
          <t>VÄSTERBOTTENS LÄN</t>
        </is>
      </c>
      <c r="E4527" t="inlineStr">
        <is>
          <t>VINDELN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61398-2022</t>
        </is>
      </c>
      <c r="B4528" s="1" t="n">
        <v>44915.94388888889</v>
      </c>
      <c r="C4528" s="1" t="n">
        <v>45971</v>
      </c>
      <c r="D4528" t="inlineStr">
        <is>
          <t>VÄSTERBOTTENS LÄN</t>
        </is>
      </c>
      <c r="E4528" t="inlineStr">
        <is>
          <t>ÅSELE</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29543-2023</t>
        </is>
      </c>
      <c r="B4529" s="1" t="n">
        <v>45106.64143518519</v>
      </c>
      <c r="C4529" s="1" t="n">
        <v>45971</v>
      </c>
      <c r="D4529" t="inlineStr">
        <is>
          <t>VÄSTERBOTTENS LÄN</t>
        </is>
      </c>
      <c r="E4529" t="inlineStr">
        <is>
          <t>LYCKSELE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48003-2025</t>
        </is>
      </c>
      <c r="B4530" s="1" t="n">
        <v>45932.63306712963</v>
      </c>
      <c r="C4530" s="1" t="n">
        <v>45971</v>
      </c>
      <c r="D4530" t="inlineStr">
        <is>
          <t>VÄSTERBOTTENS LÄN</t>
        </is>
      </c>
      <c r="E4530" t="inlineStr">
        <is>
          <t>SKELLEFTEÅ</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20824-2025</t>
        </is>
      </c>
      <c r="B4531" s="1" t="n">
        <v>45776</v>
      </c>
      <c r="C4531" s="1" t="n">
        <v>45971</v>
      </c>
      <c r="D4531" t="inlineStr">
        <is>
          <t>VÄSTERBOTTENS LÄN</t>
        </is>
      </c>
      <c r="E4531" t="inlineStr">
        <is>
          <t>SKELLEFTEÅ</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38494-2023</t>
        </is>
      </c>
      <c r="B4532" s="1" t="n">
        <v>45162</v>
      </c>
      <c r="C4532" s="1" t="n">
        <v>45971</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61597-2024</t>
        </is>
      </c>
      <c r="B4533" s="1" t="n">
        <v>45646</v>
      </c>
      <c r="C4533" s="1" t="n">
        <v>45971</v>
      </c>
      <c r="D4533" t="inlineStr">
        <is>
          <t>VÄSTERBOTTENS LÄN</t>
        </is>
      </c>
      <c r="E4533" t="inlineStr">
        <is>
          <t>BJURHOLM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23604-2023</t>
        </is>
      </c>
      <c r="B4534" s="1" t="n">
        <v>45077.45833333334</v>
      </c>
      <c r="C4534" s="1" t="n">
        <v>45971</v>
      </c>
      <c r="D4534" t="inlineStr">
        <is>
          <t>VÄSTERBOTTENS LÄN</t>
        </is>
      </c>
      <c r="E4534" t="inlineStr">
        <is>
          <t>ÅSELE</t>
        </is>
      </c>
      <c r="F4534" t="inlineStr">
        <is>
          <t>Holmen skog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59486-2024</t>
        </is>
      </c>
      <c r="B4535" s="1" t="n">
        <v>45638.53171296296</v>
      </c>
      <c r="C4535" s="1" t="n">
        <v>45971</v>
      </c>
      <c r="D4535" t="inlineStr">
        <is>
          <t>VÄSTERBOTTENS LÄN</t>
        </is>
      </c>
      <c r="E4535" t="inlineStr">
        <is>
          <t>NORDMALING</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5022-2024</t>
        </is>
      </c>
      <c r="B4536" s="1" t="n">
        <v>45329</v>
      </c>
      <c r="C4536" s="1" t="n">
        <v>45971</v>
      </c>
      <c r="D4536" t="inlineStr">
        <is>
          <t>VÄSTERBOTTENS LÄN</t>
        </is>
      </c>
      <c r="E4536" t="inlineStr">
        <is>
          <t>ÅSELE</t>
        </is>
      </c>
      <c r="F4536" t="inlineStr">
        <is>
          <t>Övriga Aktiebolag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34107-2023</t>
        </is>
      </c>
      <c r="B4537" s="1" t="n">
        <v>45125</v>
      </c>
      <c r="C4537" s="1" t="n">
        <v>45971</v>
      </c>
      <c r="D4537" t="inlineStr">
        <is>
          <t>VÄSTERBOTTENS LÄN</t>
        </is>
      </c>
      <c r="E4537" t="inlineStr">
        <is>
          <t>DOROTEA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20425-2025</t>
        </is>
      </c>
      <c r="B4538" s="1" t="n">
        <v>45775</v>
      </c>
      <c r="C4538" s="1" t="n">
        <v>45971</v>
      </c>
      <c r="D4538" t="inlineStr">
        <is>
          <t>VÄSTERBOTTENS LÄN</t>
        </is>
      </c>
      <c r="E4538" t="inlineStr">
        <is>
          <t>UMEÅ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39288-2024</t>
        </is>
      </c>
      <c r="B4539" s="1" t="n">
        <v>45551.36658564815</v>
      </c>
      <c r="C4539" s="1" t="n">
        <v>45971</v>
      </c>
      <c r="D4539" t="inlineStr">
        <is>
          <t>VÄSTERBOTTENS LÄN</t>
        </is>
      </c>
      <c r="E4539" t="inlineStr">
        <is>
          <t>NORSJÖ</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39335-2024</t>
        </is>
      </c>
      <c r="B4540" s="1" t="n">
        <v>45551.43978009259</v>
      </c>
      <c r="C4540" s="1" t="n">
        <v>45971</v>
      </c>
      <c r="D4540" t="inlineStr">
        <is>
          <t>VÄSTERBOTTENS LÄN</t>
        </is>
      </c>
      <c r="E4540" t="inlineStr">
        <is>
          <t>NORSJÖ</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39343-2024</t>
        </is>
      </c>
      <c r="B4541" s="1" t="n">
        <v>45551.44489583333</v>
      </c>
      <c r="C4541" s="1" t="n">
        <v>45971</v>
      </c>
      <c r="D4541" t="inlineStr">
        <is>
          <t>VÄSTERBOTTENS LÄN</t>
        </is>
      </c>
      <c r="E4541" t="inlineStr">
        <is>
          <t>NORSJÖ</t>
        </is>
      </c>
      <c r="F4541" t="inlineStr">
        <is>
          <t>Holmen skog AB</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39353-2024</t>
        </is>
      </c>
      <c r="B4542" s="1" t="n">
        <v>45551.45835648148</v>
      </c>
      <c r="C4542" s="1" t="n">
        <v>45971</v>
      </c>
      <c r="D4542" t="inlineStr">
        <is>
          <t>VÄSTERBOTTENS LÄN</t>
        </is>
      </c>
      <c r="E4542" t="inlineStr">
        <is>
          <t>NORSJÖ</t>
        </is>
      </c>
      <c r="F4542" t="inlineStr">
        <is>
          <t>Holmen skog AB</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32919-2024</t>
        </is>
      </c>
      <c r="B4543" s="1" t="n">
        <v>45516.95201388889</v>
      </c>
      <c r="C4543" s="1" t="n">
        <v>45971</v>
      </c>
      <c r="D4543" t="inlineStr">
        <is>
          <t>VÄSTERBOTTENS LÄN</t>
        </is>
      </c>
      <c r="E4543" t="inlineStr">
        <is>
          <t>SKELLEFTEÅ</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35000-2023</t>
        </is>
      </c>
      <c r="B4544" s="1" t="n">
        <v>45142.92407407407</v>
      </c>
      <c r="C4544" s="1" t="n">
        <v>45971</v>
      </c>
      <c r="D4544" t="inlineStr">
        <is>
          <t>VÄSTERBOTTENS LÄN</t>
        </is>
      </c>
      <c r="E4544" t="inlineStr">
        <is>
          <t>DOROTEA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16995-2025</t>
        </is>
      </c>
      <c r="B4545" s="1" t="n">
        <v>45755.51520833333</v>
      </c>
      <c r="C4545" s="1" t="n">
        <v>45971</v>
      </c>
      <c r="D4545" t="inlineStr">
        <is>
          <t>VÄSTERBOTTENS LÄN</t>
        </is>
      </c>
      <c r="E4545" t="inlineStr">
        <is>
          <t>VINDELN</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9259-2025</t>
        </is>
      </c>
      <c r="B4546" s="1" t="n">
        <v>45714</v>
      </c>
      <c r="C4546" s="1" t="n">
        <v>45971</v>
      </c>
      <c r="D4546" t="inlineStr">
        <is>
          <t>VÄSTERBOTTENS LÄN</t>
        </is>
      </c>
      <c r="E4546" t="inlineStr">
        <is>
          <t>ÅSELE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18578-2024</t>
        </is>
      </c>
      <c r="B4547" s="1" t="n">
        <v>45425</v>
      </c>
      <c r="C4547" s="1" t="n">
        <v>45971</v>
      </c>
      <c r="D4547" t="inlineStr">
        <is>
          <t>VÄSTERBOTTENS LÄN</t>
        </is>
      </c>
      <c r="E4547" t="inlineStr">
        <is>
          <t>SKELLEFTEÅ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9272-2025</t>
        </is>
      </c>
      <c r="B4548" s="1" t="n">
        <v>45714</v>
      </c>
      <c r="C4548" s="1" t="n">
        <v>45971</v>
      </c>
      <c r="D4548" t="inlineStr">
        <is>
          <t>VÄSTERBOTTENS LÄN</t>
        </is>
      </c>
      <c r="E4548" t="inlineStr">
        <is>
          <t>UMEÅ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57883-2022</t>
        </is>
      </c>
      <c r="B4549" s="1" t="n">
        <v>44899.94689814815</v>
      </c>
      <c r="C4549" s="1" t="n">
        <v>45971</v>
      </c>
      <c r="D4549" t="inlineStr">
        <is>
          <t>VÄSTERBOTTENS LÄN</t>
        </is>
      </c>
      <c r="E4549" t="inlineStr">
        <is>
          <t>BJURHOLM</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18023-2025</t>
        </is>
      </c>
      <c r="B4550" s="1" t="n">
        <v>45761.44642361111</v>
      </c>
      <c r="C4550" s="1" t="n">
        <v>45971</v>
      </c>
      <c r="D4550" t="inlineStr">
        <is>
          <t>VÄSTERBOTTENS LÄN</t>
        </is>
      </c>
      <c r="E4550" t="inlineStr">
        <is>
          <t>SKELLEFTEÅ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18026-2025</t>
        </is>
      </c>
      <c r="B4551" s="1" t="n">
        <v>45761</v>
      </c>
      <c r="C4551" s="1" t="n">
        <v>45971</v>
      </c>
      <c r="D4551" t="inlineStr">
        <is>
          <t>VÄSTERBOTTENS LÄN</t>
        </is>
      </c>
      <c r="E4551" t="inlineStr">
        <is>
          <t>UMEÅ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18031-2025</t>
        </is>
      </c>
      <c r="B4552" s="1" t="n">
        <v>45761</v>
      </c>
      <c r="C4552" s="1" t="n">
        <v>45971</v>
      </c>
      <c r="D4552" t="inlineStr">
        <is>
          <t>VÄSTERBOTTENS LÄN</t>
        </is>
      </c>
      <c r="E4552" t="inlineStr">
        <is>
          <t>ÅSELE</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54653-2024</t>
        </is>
      </c>
      <c r="B4553" s="1" t="n">
        <v>45618.30525462963</v>
      </c>
      <c r="C4553" s="1" t="n">
        <v>45971</v>
      </c>
      <c r="D4553" t="inlineStr">
        <is>
          <t>VÄSTERBOTTENS LÄN</t>
        </is>
      </c>
      <c r="E4553" t="inlineStr">
        <is>
          <t>SKELLEFTEÅ</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54660-2024</t>
        </is>
      </c>
      <c r="B4554" s="1" t="n">
        <v>45618.3122337963</v>
      </c>
      <c r="C4554" s="1" t="n">
        <v>45971</v>
      </c>
      <c r="D4554" t="inlineStr">
        <is>
          <t>VÄSTERBOTTENS LÄN</t>
        </is>
      </c>
      <c r="E4554" t="inlineStr">
        <is>
          <t>SKELLEFTEÅ</t>
        </is>
      </c>
      <c r="F4554" t="inlineStr">
        <is>
          <t>Sveaskog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58298-2022</t>
        </is>
      </c>
      <c r="B4555" s="1" t="n">
        <v>44901</v>
      </c>
      <c r="C4555" s="1" t="n">
        <v>45971</v>
      </c>
      <c r="D4555" t="inlineStr">
        <is>
          <t>VÄSTERBOTTENS LÄN</t>
        </is>
      </c>
      <c r="E4555" t="inlineStr">
        <is>
          <t>SKELLEFTEÅ</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9169-2025</t>
        </is>
      </c>
      <c r="B4556" s="1" t="n">
        <v>45714.39142361111</v>
      </c>
      <c r="C4556" s="1" t="n">
        <v>45971</v>
      </c>
      <c r="D4556" t="inlineStr">
        <is>
          <t>VÄSTERBOTTENS LÄN</t>
        </is>
      </c>
      <c r="E4556" t="inlineStr">
        <is>
          <t>UMEÅ</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43211-2021</t>
        </is>
      </c>
      <c r="B4557" s="1" t="n">
        <v>44431</v>
      </c>
      <c r="C4557" s="1" t="n">
        <v>45971</v>
      </c>
      <c r="D4557" t="inlineStr">
        <is>
          <t>VÄSTERBOTTENS LÄN</t>
        </is>
      </c>
      <c r="E4557" t="inlineStr">
        <is>
          <t>DOROTEA</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45971</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30369-2023</t>
        </is>
      </c>
      <c r="B4559" s="1" t="n">
        <v>45111</v>
      </c>
      <c r="C4559" s="1" t="n">
        <v>45971</v>
      </c>
      <c r="D4559" t="inlineStr">
        <is>
          <t>VÄSTERBOTTENS LÄN</t>
        </is>
      </c>
      <c r="E4559" t="inlineStr">
        <is>
          <t>SKELLEFTEÅ</t>
        </is>
      </c>
      <c r="F4559" t="inlineStr">
        <is>
          <t>Holmen skog AB</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29347-2023</t>
        </is>
      </c>
      <c r="B4560" s="1" t="n">
        <v>45105.94494212963</v>
      </c>
      <c r="C4560" s="1" t="n">
        <v>45971</v>
      </c>
      <c r="D4560" t="inlineStr">
        <is>
          <t>VÄSTERBOTTENS LÄN</t>
        </is>
      </c>
      <c r="E4560" t="inlineStr">
        <is>
          <t>VINDELN</t>
        </is>
      </c>
      <c r="F4560" t="inlineStr">
        <is>
          <t>SCA</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38812-2023</t>
        </is>
      </c>
      <c r="B4561" s="1" t="n">
        <v>45163</v>
      </c>
      <c r="C4561" s="1" t="n">
        <v>45971</v>
      </c>
      <c r="D4561" t="inlineStr">
        <is>
          <t>VÄSTERBOTTENS LÄN</t>
        </is>
      </c>
      <c r="E4561" t="inlineStr">
        <is>
          <t>NORSJÖ</t>
        </is>
      </c>
      <c r="F4561" t="inlineStr">
        <is>
          <t>Sveaskog</t>
        </is>
      </c>
      <c r="G4561" t="n">
        <v>15.5</v>
      </c>
      <c r="H4561" t="n">
        <v>0</v>
      </c>
      <c r="I4561" t="n">
        <v>0</v>
      </c>
      <c r="J4561" t="n">
        <v>0</v>
      </c>
      <c r="K4561" t="n">
        <v>0</v>
      </c>
      <c r="L4561" t="n">
        <v>0</v>
      </c>
      <c r="M4561" t="n">
        <v>0</v>
      </c>
      <c r="N4561" t="n">
        <v>0</v>
      </c>
      <c r="O4561" t="n">
        <v>0</v>
      </c>
      <c r="P4561" t="n">
        <v>0</v>
      </c>
      <c r="Q4561" t="n">
        <v>0</v>
      </c>
      <c r="R4561" s="2" t="inlineStr"/>
    </row>
    <row r="4562" ht="15" customHeight="1">
      <c r="A4562" t="inlineStr">
        <is>
          <t>A 39533-2025</t>
        </is>
      </c>
      <c r="B4562" s="1" t="n">
        <v>45890.44863425926</v>
      </c>
      <c r="C4562" s="1" t="n">
        <v>45971</v>
      </c>
      <c r="D4562" t="inlineStr">
        <is>
          <t>VÄSTERBOTTENS LÄN</t>
        </is>
      </c>
      <c r="E4562" t="inlineStr">
        <is>
          <t>VILHELMINA</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39566-2025</t>
        </is>
      </c>
      <c r="B4563" s="1" t="n">
        <v>45890.4875925926</v>
      </c>
      <c r="C4563" s="1" t="n">
        <v>45971</v>
      </c>
      <c r="D4563" t="inlineStr">
        <is>
          <t>VÄSTERBOTTENS LÄN</t>
        </is>
      </c>
      <c r="E4563" t="inlineStr">
        <is>
          <t>VINDELN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39571-2025</t>
        </is>
      </c>
      <c r="B4564" s="1" t="n">
        <v>45890.49021990741</v>
      </c>
      <c r="C4564" s="1" t="n">
        <v>45971</v>
      </c>
      <c r="D4564" t="inlineStr">
        <is>
          <t>VÄSTERBOTTENS LÄN</t>
        </is>
      </c>
      <c r="E4564" t="inlineStr">
        <is>
          <t>VILHELMINA</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9183-2025</t>
        </is>
      </c>
      <c r="B4565" s="1" t="n">
        <v>45714</v>
      </c>
      <c r="C4565" s="1" t="n">
        <v>45971</v>
      </c>
      <c r="D4565" t="inlineStr">
        <is>
          <t>VÄSTERBOTTENS LÄN</t>
        </is>
      </c>
      <c r="E4565" t="inlineStr">
        <is>
          <t>SKELLEFTEÅ</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37188-2024</t>
        </is>
      </c>
      <c r="B4566" s="1" t="n">
        <v>45539</v>
      </c>
      <c r="C4566" s="1" t="n">
        <v>45971</v>
      </c>
      <c r="D4566" t="inlineStr">
        <is>
          <t>VÄSTERBOTTENS LÄN</t>
        </is>
      </c>
      <c r="E4566" t="inlineStr">
        <is>
          <t>VINDELN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48361-2023</t>
        </is>
      </c>
      <c r="B4567" s="1" t="n">
        <v>45205.64600694444</v>
      </c>
      <c r="C4567" s="1" t="n">
        <v>45971</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56693-2024</t>
        </is>
      </c>
      <c r="B4568" s="1" t="n">
        <v>45627.71203703704</v>
      </c>
      <c r="C4568" s="1" t="n">
        <v>45971</v>
      </c>
      <c r="D4568" t="inlineStr">
        <is>
          <t>VÄSTERBOTTENS LÄN</t>
        </is>
      </c>
      <c r="E4568" t="inlineStr">
        <is>
          <t>BJURHOLM</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36484-2024</t>
        </is>
      </c>
      <c r="B4569" s="1" t="n">
        <v>45537</v>
      </c>
      <c r="C4569" s="1" t="n">
        <v>45971</v>
      </c>
      <c r="D4569" t="inlineStr">
        <is>
          <t>VÄSTERBOTTENS LÄN</t>
        </is>
      </c>
      <c r="E4569" t="inlineStr">
        <is>
          <t>BJURHOLM</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39622-2025</t>
        </is>
      </c>
      <c r="B4570" s="1" t="n">
        <v>45890.57387731481</v>
      </c>
      <c r="C4570" s="1" t="n">
        <v>45971</v>
      </c>
      <c r="D4570" t="inlineStr">
        <is>
          <t>VÄSTERBOTTENS LÄN</t>
        </is>
      </c>
      <c r="E4570" t="inlineStr">
        <is>
          <t>MALÅ</t>
        </is>
      </c>
      <c r="F4570" t="inlineStr">
        <is>
          <t>Sveaskog</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39642-2025</t>
        </is>
      </c>
      <c r="B4571" s="1" t="n">
        <v>45890</v>
      </c>
      <c r="C4571" s="1" t="n">
        <v>45971</v>
      </c>
      <c r="D4571" t="inlineStr">
        <is>
          <t>VÄSTERBOTTENS LÄN</t>
        </is>
      </c>
      <c r="E4571" t="inlineStr">
        <is>
          <t>ROBERTSFORS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66786-2020</t>
        </is>
      </c>
      <c r="B4572" s="1" t="n">
        <v>44175</v>
      </c>
      <c r="C4572" s="1" t="n">
        <v>45971</v>
      </c>
      <c r="D4572" t="inlineStr">
        <is>
          <t>VÄSTERBOTTENS LÄN</t>
        </is>
      </c>
      <c r="E4572" t="inlineStr">
        <is>
          <t>STORUMAN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56923-2024</t>
        </is>
      </c>
      <c r="B4573" s="1" t="n">
        <v>45628.60170138889</v>
      </c>
      <c r="C4573" s="1" t="n">
        <v>45971</v>
      </c>
      <c r="D4573" t="inlineStr">
        <is>
          <t>VÄSTERBOTTENS LÄN</t>
        </is>
      </c>
      <c r="E4573" t="inlineStr">
        <is>
          <t>SKELLEFTEÅ</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37716-2024</t>
        </is>
      </c>
      <c r="B4574" s="1" t="n">
        <v>45541.63592592593</v>
      </c>
      <c r="C4574" s="1" t="n">
        <v>45971</v>
      </c>
      <c r="D4574" t="inlineStr">
        <is>
          <t>VÄSTERBOTTENS LÄN</t>
        </is>
      </c>
      <c r="E4574" t="inlineStr">
        <is>
          <t>VILHELMINA</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37717-2024</t>
        </is>
      </c>
      <c r="B4575" s="1" t="n">
        <v>45541</v>
      </c>
      <c r="C4575" s="1" t="n">
        <v>45971</v>
      </c>
      <c r="D4575" t="inlineStr">
        <is>
          <t>VÄSTERBOTTENS LÄN</t>
        </is>
      </c>
      <c r="E4575" t="inlineStr">
        <is>
          <t>VILHELMINA</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39378-2025</t>
        </is>
      </c>
      <c r="B4576" s="1" t="n">
        <v>45889.59453703704</v>
      </c>
      <c r="C4576" s="1" t="n">
        <v>45971</v>
      </c>
      <c r="D4576" t="inlineStr">
        <is>
          <t>VÄSTERBOTTENS LÄN</t>
        </is>
      </c>
      <c r="E4576" t="inlineStr">
        <is>
          <t>VILHELMINA</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61242-2023</t>
        </is>
      </c>
      <c r="B4577" s="1" t="n">
        <v>45264.46740740741</v>
      </c>
      <c r="C4577" s="1" t="n">
        <v>45971</v>
      </c>
      <c r="D4577" t="inlineStr">
        <is>
          <t>VÄSTERBOTTENS LÄN</t>
        </is>
      </c>
      <c r="E4577" t="inlineStr">
        <is>
          <t>SKELLEFTEÅ</t>
        </is>
      </c>
      <c r="F4577" t="inlineStr">
        <is>
          <t>Holmen skog AB</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53984-2022</t>
        </is>
      </c>
      <c r="B4578" s="1" t="n">
        <v>44876</v>
      </c>
      <c r="C4578" s="1" t="n">
        <v>45971</v>
      </c>
      <c r="D4578" t="inlineStr">
        <is>
          <t>VÄSTERBOTTENS LÄN</t>
        </is>
      </c>
      <c r="E4578" t="inlineStr">
        <is>
          <t>ROBERTSFORS</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18664-2024</t>
        </is>
      </c>
      <c r="B4579" s="1" t="n">
        <v>45425</v>
      </c>
      <c r="C4579" s="1" t="n">
        <v>45971</v>
      </c>
      <c r="D4579" t="inlineStr">
        <is>
          <t>VÄSTERBOTTENS LÄN</t>
        </is>
      </c>
      <c r="E4579" t="inlineStr">
        <is>
          <t>VINDELN</t>
        </is>
      </c>
      <c r="G4579" t="n">
        <v>14.6</v>
      </c>
      <c r="H4579" t="n">
        <v>0</v>
      </c>
      <c r="I4579" t="n">
        <v>0</v>
      </c>
      <c r="J4579" t="n">
        <v>0</v>
      </c>
      <c r="K4579" t="n">
        <v>0</v>
      </c>
      <c r="L4579" t="n">
        <v>0</v>
      </c>
      <c r="M4579" t="n">
        <v>0</v>
      </c>
      <c r="N4579" t="n">
        <v>0</v>
      </c>
      <c r="O4579" t="n">
        <v>0</v>
      </c>
      <c r="P4579" t="n">
        <v>0</v>
      </c>
      <c r="Q4579" t="n">
        <v>0</v>
      </c>
      <c r="R4579" s="2" t="inlineStr"/>
    </row>
    <row r="4580" ht="15" customHeight="1">
      <c r="A4580" t="inlineStr">
        <is>
          <t>A 56572-2022</t>
        </is>
      </c>
      <c r="B4580" s="1" t="n">
        <v>44888</v>
      </c>
      <c r="C4580" s="1" t="n">
        <v>45971</v>
      </c>
      <c r="D4580" t="inlineStr">
        <is>
          <t>VÄSTERBOTTENS LÄN</t>
        </is>
      </c>
      <c r="E4580" t="inlineStr">
        <is>
          <t>ÅSELE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36814-2024</t>
        </is>
      </c>
      <c r="B4581" s="1" t="n">
        <v>45538</v>
      </c>
      <c r="C4581" s="1" t="n">
        <v>45971</v>
      </c>
      <c r="D4581" t="inlineStr">
        <is>
          <t>VÄSTERBOTTENS LÄN</t>
        </is>
      </c>
      <c r="E4581" t="inlineStr">
        <is>
          <t>NORDMALING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36823-2024</t>
        </is>
      </c>
      <c r="B4582" s="1" t="n">
        <v>45538.50298611111</v>
      </c>
      <c r="C4582" s="1" t="n">
        <v>45971</v>
      </c>
      <c r="D4582" t="inlineStr">
        <is>
          <t>VÄSTERBOTTENS LÄN</t>
        </is>
      </c>
      <c r="E4582" t="inlineStr">
        <is>
          <t>SKELLEFTEÅ</t>
        </is>
      </c>
      <c r="F4582" t="inlineStr">
        <is>
          <t>Holmen skog AB</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69703-2021</t>
        </is>
      </c>
      <c r="B4583" s="1" t="n">
        <v>44532</v>
      </c>
      <c r="C4583" s="1" t="n">
        <v>45971</v>
      </c>
      <c r="D4583" t="inlineStr">
        <is>
          <t>VÄSTERBOTTENS LÄN</t>
        </is>
      </c>
      <c r="E4583" t="inlineStr">
        <is>
          <t>SORSELE</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39445-2025</t>
        </is>
      </c>
      <c r="B4584" s="1" t="n">
        <v>45889.7028125</v>
      </c>
      <c r="C4584" s="1" t="n">
        <v>45971</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39705-2025</t>
        </is>
      </c>
      <c r="B4585" s="1" t="n">
        <v>45890.73013888889</v>
      </c>
      <c r="C4585" s="1" t="n">
        <v>45971</v>
      </c>
      <c r="D4585" t="inlineStr">
        <is>
          <t>VÄSTERBOTTENS LÄN</t>
        </is>
      </c>
      <c r="E4585" t="inlineStr">
        <is>
          <t>SKELLEFTEÅ</t>
        </is>
      </c>
      <c r="F4585" t="inlineStr">
        <is>
          <t>Sveaskog</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849-2022</t>
        </is>
      </c>
      <c r="B4586" s="1" t="n">
        <v>44571.42083333333</v>
      </c>
      <c r="C4586" s="1" t="n">
        <v>45971</v>
      </c>
      <c r="D4586" t="inlineStr">
        <is>
          <t>VÄSTERBOTTENS LÄN</t>
        </is>
      </c>
      <c r="E4586" t="inlineStr">
        <is>
          <t>LYCKSELE</t>
        </is>
      </c>
      <c r="F4586" t="inlineStr">
        <is>
          <t>Sveaskog</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47950-2025</t>
        </is>
      </c>
      <c r="B4587" s="1" t="n">
        <v>45932.57682870371</v>
      </c>
      <c r="C4587" s="1" t="n">
        <v>45971</v>
      </c>
      <c r="D4587" t="inlineStr">
        <is>
          <t>VÄSTERBOTTENS LÄN</t>
        </is>
      </c>
      <c r="E4587" t="inlineStr">
        <is>
          <t>SKELLEFTEÅ</t>
        </is>
      </c>
      <c r="F4587" t="inlineStr">
        <is>
          <t>Holmen skog AB</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47991-2025</t>
        </is>
      </c>
      <c r="B4588" s="1" t="n">
        <v>45932.62354166667</v>
      </c>
      <c r="C4588" s="1" t="n">
        <v>45971</v>
      </c>
      <c r="D4588" t="inlineStr">
        <is>
          <t>VÄSTERBOTTENS LÄN</t>
        </is>
      </c>
      <c r="E4588" t="inlineStr">
        <is>
          <t>SKELLEFTEÅ</t>
        </is>
      </c>
      <c r="F4588" t="inlineStr">
        <is>
          <t>Holmen skog AB</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48234-2024</t>
        </is>
      </c>
      <c r="B4589" s="1" t="n">
        <v>45590.38300925926</v>
      </c>
      <c r="C4589" s="1" t="n">
        <v>45971</v>
      </c>
      <c r="D4589" t="inlineStr">
        <is>
          <t>VÄSTERBOTTENS LÄN</t>
        </is>
      </c>
      <c r="E4589" t="inlineStr">
        <is>
          <t>NORDMALING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26357-2023</t>
        </is>
      </c>
      <c r="B4590" s="1" t="n">
        <v>45091</v>
      </c>
      <c r="C4590" s="1" t="n">
        <v>45971</v>
      </c>
      <c r="D4590" t="inlineStr">
        <is>
          <t>VÄSTERBOTTENS LÄN</t>
        </is>
      </c>
      <c r="E4590" t="inlineStr">
        <is>
          <t>LYCKSELE</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39562-2025</t>
        </is>
      </c>
      <c r="B4591" s="1" t="n">
        <v>45890.47592592592</v>
      </c>
      <c r="C4591" s="1" t="n">
        <v>45971</v>
      </c>
      <c r="D4591" t="inlineStr">
        <is>
          <t>VÄSTERBOTTENS LÄN</t>
        </is>
      </c>
      <c r="E4591" t="inlineStr">
        <is>
          <t>LYCKSELE</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37241-2024</t>
        </is>
      </c>
      <c r="B4592" s="1" t="n">
        <v>45540.34417824074</v>
      </c>
      <c r="C4592" s="1" t="n">
        <v>45971</v>
      </c>
      <c r="D4592" t="inlineStr">
        <is>
          <t>VÄSTERBOTTENS LÄN</t>
        </is>
      </c>
      <c r="E4592" t="inlineStr">
        <is>
          <t>ÅSELE</t>
        </is>
      </c>
      <c r="F4592" t="inlineStr">
        <is>
          <t>SCA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39589-2025</t>
        </is>
      </c>
      <c r="B4593" s="1" t="n">
        <v>45890.5162037037</v>
      </c>
      <c r="C4593" s="1" t="n">
        <v>45971</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33194-2024</t>
        </is>
      </c>
      <c r="B4594" s="1" t="n">
        <v>45518</v>
      </c>
      <c r="C4594" s="1" t="n">
        <v>45971</v>
      </c>
      <c r="D4594" t="inlineStr">
        <is>
          <t>VÄSTERBOTTENS LÄN</t>
        </is>
      </c>
      <c r="E4594" t="inlineStr">
        <is>
          <t>ÅSELE</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9172-2025</t>
        </is>
      </c>
      <c r="B4595" s="1" t="n">
        <v>45714.40652777778</v>
      </c>
      <c r="C4595" s="1" t="n">
        <v>45971</v>
      </c>
      <c r="D4595" t="inlineStr">
        <is>
          <t>VÄSTERBOTTENS LÄN</t>
        </is>
      </c>
      <c r="E4595" t="inlineStr">
        <is>
          <t>DOROTEA</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22760-2022</t>
        </is>
      </c>
      <c r="B4596" s="1" t="n">
        <v>44714</v>
      </c>
      <c r="C4596" s="1" t="n">
        <v>45971</v>
      </c>
      <c r="D4596" t="inlineStr">
        <is>
          <t>VÄSTERBOTTENS LÄN</t>
        </is>
      </c>
      <c r="E4596" t="inlineStr">
        <is>
          <t>SKELLEFTEÅ</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48058-2025</t>
        </is>
      </c>
      <c r="B4597" s="1" t="n">
        <v>45932.67960648148</v>
      </c>
      <c r="C4597" s="1" t="n">
        <v>45971</v>
      </c>
      <c r="D4597" t="inlineStr">
        <is>
          <t>VÄSTERBOTTENS LÄN</t>
        </is>
      </c>
      <c r="E4597" t="inlineStr">
        <is>
          <t>MALÅ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9191-2025</t>
        </is>
      </c>
      <c r="B4598" s="1" t="n">
        <v>45714.45914351852</v>
      </c>
      <c r="C4598" s="1" t="n">
        <v>45971</v>
      </c>
      <c r="D4598" t="inlineStr">
        <is>
          <t>VÄSTERBOTTENS LÄN</t>
        </is>
      </c>
      <c r="E4598" t="inlineStr">
        <is>
          <t>MALÅ</t>
        </is>
      </c>
      <c r="F4598" t="inlineStr">
        <is>
          <t>Sveaskog</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11139-2022</t>
        </is>
      </c>
      <c r="B4599" s="1" t="n">
        <v>44628</v>
      </c>
      <c r="C4599" s="1" t="n">
        <v>45971</v>
      </c>
      <c r="D4599" t="inlineStr">
        <is>
          <t>VÄSTERBOTTENS LÄN</t>
        </is>
      </c>
      <c r="E4599" t="inlineStr">
        <is>
          <t>VILHELMINA</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48328-2024</t>
        </is>
      </c>
      <c r="B4600" s="1" t="n">
        <v>45590</v>
      </c>
      <c r="C4600" s="1" t="n">
        <v>45971</v>
      </c>
      <c r="D4600" t="inlineStr">
        <is>
          <t>VÄSTERBOTTENS LÄN</t>
        </is>
      </c>
      <c r="E4600" t="inlineStr">
        <is>
          <t>ÅSELE</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33696-2024</t>
        </is>
      </c>
      <c r="B4601" s="1" t="n">
        <v>45520.51991898148</v>
      </c>
      <c r="C4601" s="1" t="n">
        <v>45971</v>
      </c>
      <c r="D4601" t="inlineStr">
        <is>
          <t>VÄSTERBOTTENS LÄN</t>
        </is>
      </c>
      <c r="E4601" t="inlineStr">
        <is>
          <t>VINDELN</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39239-2025</t>
        </is>
      </c>
      <c r="B4602" s="1" t="n">
        <v>45889.33643518519</v>
      </c>
      <c r="C4602" s="1" t="n">
        <v>45971</v>
      </c>
      <c r="D4602" t="inlineStr">
        <is>
          <t>VÄSTERBOTTENS LÄN</t>
        </is>
      </c>
      <c r="E4602" t="inlineStr">
        <is>
          <t>LYCKSELE</t>
        </is>
      </c>
      <c r="F4602" t="inlineStr">
        <is>
          <t>Sveaskog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39248-2025</t>
        </is>
      </c>
      <c r="B4603" s="1" t="n">
        <v>45889.3547800926</v>
      </c>
      <c r="C4603" s="1" t="n">
        <v>45971</v>
      </c>
      <c r="D4603" t="inlineStr">
        <is>
          <t>VÄSTERBOTTENS LÄN</t>
        </is>
      </c>
      <c r="E4603" t="inlineStr">
        <is>
          <t>ÅSELE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47823-2025</t>
        </is>
      </c>
      <c r="B4604" s="1" t="n">
        <v>45932.34454861111</v>
      </c>
      <c r="C4604" s="1" t="n">
        <v>45971</v>
      </c>
      <c r="D4604" t="inlineStr">
        <is>
          <t>VÄSTERBOTTENS LÄN</t>
        </is>
      </c>
      <c r="E4604" t="inlineStr">
        <is>
          <t>ÅSELE</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48377-2024</t>
        </is>
      </c>
      <c r="B4605" s="1" t="n">
        <v>45590.58260416667</v>
      </c>
      <c r="C4605" s="1" t="n">
        <v>45971</v>
      </c>
      <c r="D4605" t="inlineStr">
        <is>
          <t>VÄSTERBOTTENS LÄN</t>
        </is>
      </c>
      <c r="E4605" t="inlineStr">
        <is>
          <t>LYCKSELE</t>
        </is>
      </c>
      <c r="F4605" t="inlineStr">
        <is>
          <t>Holmen skog AB</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22896-2024</t>
        </is>
      </c>
      <c r="B4606" s="1" t="n">
        <v>45448</v>
      </c>
      <c r="C4606" s="1" t="n">
        <v>45971</v>
      </c>
      <c r="D4606" t="inlineStr">
        <is>
          <t>VÄSTERBOTTENS LÄN</t>
        </is>
      </c>
      <c r="E4606" t="inlineStr">
        <is>
          <t>VINDELN</t>
        </is>
      </c>
      <c r="F4606" t="inlineStr">
        <is>
          <t>Holmen skog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544-2025</t>
        </is>
      </c>
      <c r="B4607" s="1" t="n">
        <v>45660</v>
      </c>
      <c r="C4607" s="1" t="n">
        <v>45971</v>
      </c>
      <c r="D4607" t="inlineStr">
        <is>
          <t>VÄSTERBOTTENS LÄN</t>
        </is>
      </c>
      <c r="E4607" t="inlineStr">
        <is>
          <t>SKELLEFTEÅ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38408-2023</t>
        </is>
      </c>
      <c r="B4608" s="1" t="n">
        <v>45160</v>
      </c>
      <c r="C4608" s="1" t="n">
        <v>45971</v>
      </c>
      <c r="D4608" t="inlineStr">
        <is>
          <t>VÄSTERBOTTENS LÄN</t>
        </is>
      </c>
      <c r="E4608" t="inlineStr">
        <is>
          <t>SORSELE</t>
        </is>
      </c>
      <c r="F4608" t="inlineStr">
        <is>
          <t>Kommuner</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39410-2025</t>
        </is>
      </c>
      <c r="B4609" s="1" t="n">
        <v>45889.65439814814</v>
      </c>
      <c r="C4609" s="1" t="n">
        <v>45971</v>
      </c>
      <c r="D4609" t="inlineStr">
        <is>
          <t>VÄSTERBOTTENS LÄN</t>
        </is>
      </c>
      <c r="E4609" t="inlineStr">
        <is>
          <t>BJURHOLM</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39447-2025</t>
        </is>
      </c>
      <c r="B4610" s="1" t="n">
        <v>45889.70673611111</v>
      </c>
      <c r="C4610" s="1" t="n">
        <v>45971</v>
      </c>
      <c r="D4610" t="inlineStr">
        <is>
          <t>VÄSTERBOTTENS LÄN</t>
        </is>
      </c>
      <c r="E4610" t="inlineStr">
        <is>
          <t>SKELLEFTEÅ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37262-2023</t>
        </is>
      </c>
      <c r="B4611" s="1" t="n">
        <v>45155</v>
      </c>
      <c r="C4611" s="1" t="n">
        <v>45971</v>
      </c>
      <c r="D4611" t="inlineStr">
        <is>
          <t>VÄSTERBOTTENS LÄN</t>
        </is>
      </c>
      <c r="E4611" t="inlineStr">
        <is>
          <t>LYCKSELE</t>
        </is>
      </c>
      <c r="F4611" t="inlineStr">
        <is>
          <t>SCA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19326-2023</t>
        </is>
      </c>
      <c r="B4612" s="1" t="n">
        <v>45049</v>
      </c>
      <c r="C4612" s="1" t="n">
        <v>45971</v>
      </c>
      <c r="D4612" t="inlineStr">
        <is>
          <t>VÄSTERBOTTENS LÄN</t>
        </is>
      </c>
      <c r="E4612" t="inlineStr">
        <is>
          <t>STORUMAN</t>
        </is>
      </c>
      <c r="G4612" t="n">
        <v>35.3</v>
      </c>
      <c r="H4612" t="n">
        <v>0</v>
      </c>
      <c r="I4612" t="n">
        <v>0</v>
      </c>
      <c r="J4612" t="n">
        <v>0</v>
      </c>
      <c r="K4612" t="n">
        <v>0</v>
      </c>
      <c r="L4612" t="n">
        <v>0</v>
      </c>
      <c r="M4612" t="n">
        <v>0</v>
      </c>
      <c r="N4612" t="n">
        <v>0</v>
      </c>
      <c r="O4612" t="n">
        <v>0</v>
      </c>
      <c r="P4612" t="n">
        <v>0</v>
      </c>
      <c r="Q4612" t="n">
        <v>0</v>
      </c>
      <c r="R4612" s="2" t="inlineStr"/>
    </row>
    <row r="4613" ht="15" customHeight="1">
      <c r="A4613" t="inlineStr">
        <is>
          <t>A 39476-2025</t>
        </is>
      </c>
      <c r="B4613" s="1" t="n">
        <v>45890.3446412037</v>
      </c>
      <c r="C4613" s="1" t="n">
        <v>45971</v>
      </c>
      <c r="D4613" t="inlineStr">
        <is>
          <t>VÄSTERBOTTENS LÄN</t>
        </is>
      </c>
      <c r="E4613" t="inlineStr">
        <is>
          <t>VINDELN</t>
        </is>
      </c>
      <c r="F4613" t="inlineStr">
        <is>
          <t>SCA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59306-2023</t>
        </is>
      </c>
      <c r="B4614" s="1" t="n">
        <v>45253.59967592593</v>
      </c>
      <c r="C4614" s="1" t="n">
        <v>45971</v>
      </c>
      <c r="D4614" t="inlineStr">
        <is>
          <t>VÄSTERBOTTENS LÄN</t>
        </is>
      </c>
      <c r="E4614" t="inlineStr">
        <is>
          <t>ROBERTSFORS</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59333-2023</t>
        </is>
      </c>
      <c r="B4615" s="1" t="n">
        <v>45252</v>
      </c>
      <c r="C4615" s="1" t="n">
        <v>45971</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58714-2024</t>
        </is>
      </c>
      <c r="B4616" s="1" t="n">
        <v>45635</v>
      </c>
      <c r="C4616" s="1" t="n">
        <v>45971</v>
      </c>
      <c r="D4616" t="inlineStr">
        <is>
          <t>VÄSTERBOTTENS LÄN</t>
        </is>
      </c>
      <c r="E4616" t="inlineStr">
        <is>
          <t>LYCKSELE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60685-2022</t>
        </is>
      </c>
      <c r="B4617" s="1" t="n">
        <v>44911</v>
      </c>
      <c r="C4617" s="1" t="n">
        <v>45971</v>
      </c>
      <c r="D4617" t="inlineStr">
        <is>
          <t>VÄSTERBOTTENS LÄN</t>
        </is>
      </c>
      <c r="E4617" t="inlineStr">
        <is>
          <t>LYCKSELE</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19160-2025</t>
        </is>
      </c>
      <c r="B4618" s="1" t="n">
        <v>45769.36587962963</v>
      </c>
      <c r="C4618" s="1" t="n">
        <v>45971</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40409-2023</t>
        </is>
      </c>
      <c r="B4619" s="1" t="n">
        <v>45169.93868055556</v>
      </c>
      <c r="C4619" s="1" t="n">
        <v>45971</v>
      </c>
      <c r="D4619" t="inlineStr">
        <is>
          <t>VÄSTERBOTTENS LÄN</t>
        </is>
      </c>
      <c r="E4619" t="inlineStr">
        <is>
          <t>BJURHOLM</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19315-2025</t>
        </is>
      </c>
      <c r="B4620" s="1" t="n">
        <v>45769.5737037037</v>
      </c>
      <c r="C4620" s="1" t="n">
        <v>45971</v>
      </c>
      <c r="D4620" t="inlineStr">
        <is>
          <t>VÄSTERBOTTENS LÄN</t>
        </is>
      </c>
      <c r="E4620" t="inlineStr">
        <is>
          <t>ROBERTSFORS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21917-2023</t>
        </is>
      </c>
      <c r="B4621" s="1" t="n">
        <v>45065</v>
      </c>
      <c r="C4621" s="1" t="n">
        <v>45971</v>
      </c>
      <c r="D4621" t="inlineStr">
        <is>
          <t>VÄSTERBOTTENS LÄN</t>
        </is>
      </c>
      <c r="E4621" t="inlineStr">
        <is>
          <t>UMEÅ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55549-2024</t>
        </is>
      </c>
      <c r="B4622" s="1" t="n">
        <v>45622</v>
      </c>
      <c r="C4622" s="1" t="n">
        <v>45971</v>
      </c>
      <c r="D4622" t="inlineStr">
        <is>
          <t>VÄSTERBOTTENS LÄN</t>
        </is>
      </c>
      <c r="E4622" t="inlineStr">
        <is>
          <t>DOROTEA</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24238-2021</t>
        </is>
      </c>
      <c r="B4623" s="1" t="n">
        <v>44336.9187962963</v>
      </c>
      <c r="C4623" s="1" t="n">
        <v>45971</v>
      </c>
      <c r="D4623" t="inlineStr">
        <is>
          <t>VÄSTERBOTTENS LÄN</t>
        </is>
      </c>
      <c r="E4623" t="inlineStr">
        <is>
          <t>SKELLEFTEÅ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24303-2021</t>
        </is>
      </c>
      <c r="B4624" s="1" t="n">
        <v>44337.33520833333</v>
      </c>
      <c r="C4624" s="1" t="n">
        <v>45971</v>
      </c>
      <c r="D4624" t="inlineStr">
        <is>
          <t>VÄSTERBOTTENS LÄN</t>
        </is>
      </c>
      <c r="E4624" t="inlineStr">
        <is>
          <t>SKELLEFTEÅ</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33801-2024</t>
        </is>
      </c>
      <c r="B4625" s="1" t="n">
        <v>45520.59993055555</v>
      </c>
      <c r="C4625" s="1" t="n">
        <v>45971</v>
      </c>
      <c r="D4625" t="inlineStr">
        <is>
          <t>VÄSTERBOTTENS LÄN</t>
        </is>
      </c>
      <c r="E4625" t="inlineStr">
        <is>
          <t>STORUMAN</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475-2024</t>
        </is>
      </c>
      <c r="B4626" s="1" t="n">
        <v>45297.83246527778</v>
      </c>
      <c r="C4626" s="1" t="n">
        <v>45971</v>
      </c>
      <c r="D4626" t="inlineStr">
        <is>
          <t>VÄSTERBOTTENS LÄN</t>
        </is>
      </c>
      <c r="E4626" t="inlineStr">
        <is>
          <t>VILHELMINA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33854-2024</t>
        </is>
      </c>
      <c r="B4627" s="1" t="n">
        <v>45520.64584490741</v>
      </c>
      <c r="C4627" s="1" t="n">
        <v>45971</v>
      </c>
      <c r="D4627" t="inlineStr">
        <is>
          <t>VÄSTERBOTTENS LÄN</t>
        </is>
      </c>
      <c r="E4627" t="inlineStr">
        <is>
          <t>STORUMAN</t>
        </is>
      </c>
      <c r="F4627" t="inlineStr">
        <is>
          <t>Sveaskog</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1962-2024</t>
        </is>
      </c>
      <c r="B4628" s="1" t="n">
        <v>45308</v>
      </c>
      <c r="C4628" s="1" t="n">
        <v>45971</v>
      </c>
      <c r="D4628" t="inlineStr">
        <is>
          <t>VÄSTERBOTTENS LÄN</t>
        </is>
      </c>
      <c r="E4628" t="inlineStr">
        <is>
          <t>LYCKSELE</t>
        </is>
      </c>
      <c r="F4628" t="inlineStr">
        <is>
          <t>Holmen skog AB</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38450-2023</t>
        </is>
      </c>
      <c r="B4629" s="1" t="n">
        <v>45162</v>
      </c>
      <c r="C4629" s="1" t="n">
        <v>45971</v>
      </c>
      <c r="D4629" t="inlineStr">
        <is>
          <t>VÄSTERBOTTENS LÄN</t>
        </is>
      </c>
      <c r="E4629" t="inlineStr">
        <is>
          <t>SKELLEFTEÅ</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281-2023</t>
        </is>
      </c>
      <c r="B4630" s="1" t="n">
        <v>44928</v>
      </c>
      <c r="C4630" s="1" t="n">
        <v>45971</v>
      </c>
      <c r="D4630" t="inlineStr">
        <is>
          <t>VÄSTERBOTTENS LÄN</t>
        </is>
      </c>
      <c r="E4630" t="inlineStr">
        <is>
          <t>MALÅ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56157-2024</t>
        </is>
      </c>
      <c r="B4631" s="1" t="n">
        <v>45623</v>
      </c>
      <c r="C4631" s="1" t="n">
        <v>45971</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40385-2023</t>
        </is>
      </c>
      <c r="B4632" s="1" t="n">
        <v>45169</v>
      </c>
      <c r="C4632" s="1" t="n">
        <v>45971</v>
      </c>
      <c r="D4632" t="inlineStr">
        <is>
          <t>VÄSTERBOTTENS LÄN</t>
        </is>
      </c>
      <c r="E4632" t="inlineStr">
        <is>
          <t>NORSJÖ</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32956-2024</t>
        </is>
      </c>
      <c r="B4633" s="1" t="n">
        <v>45517</v>
      </c>
      <c r="C4633" s="1" t="n">
        <v>45971</v>
      </c>
      <c r="D4633" t="inlineStr">
        <is>
          <t>VÄSTERBOTTENS LÄN</t>
        </is>
      </c>
      <c r="E4633" t="inlineStr">
        <is>
          <t>VÄNNÄS</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11063-2025</t>
        </is>
      </c>
      <c r="B4634" s="1" t="n">
        <v>45723.52046296297</v>
      </c>
      <c r="C4634" s="1" t="n">
        <v>45971</v>
      </c>
      <c r="D4634" t="inlineStr">
        <is>
          <t>VÄSTERBOTTENS LÄN</t>
        </is>
      </c>
      <c r="E4634" t="inlineStr">
        <is>
          <t>UMEÅ</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56562-2024</t>
        </is>
      </c>
      <c r="B4635" s="1" t="n">
        <v>45625.58225694444</v>
      </c>
      <c r="C4635" s="1" t="n">
        <v>45971</v>
      </c>
      <c r="D4635" t="inlineStr">
        <is>
          <t>VÄSTERBOTTENS LÄN</t>
        </is>
      </c>
      <c r="E4635" t="inlineStr">
        <is>
          <t>VINDELN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63817-2023</t>
        </is>
      </c>
      <c r="B4636" s="1" t="n">
        <v>45275</v>
      </c>
      <c r="C4636" s="1" t="n">
        <v>45971</v>
      </c>
      <c r="D4636" t="inlineStr">
        <is>
          <t>VÄSTERBOTTENS LÄN</t>
        </is>
      </c>
      <c r="E4636" t="inlineStr">
        <is>
          <t>VÄNNÄS</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49900-2023</t>
        </is>
      </c>
      <c r="B4637" s="1" t="n">
        <v>45213.86512731481</v>
      </c>
      <c r="C4637" s="1" t="n">
        <v>45971</v>
      </c>
      <c r="D4637" t="inlineStr">
        <is>
          <t>VÄSTERBOTTENS LÄN</t>
        </is>
      </c>
      <c r="E4637" t="inlineStr">
        <is>
          <t>SKELLEFTEÅ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56638-2024</t>
        </is>
      </c>
      <c r="B4638" s="1" t="n">
        <v>45625</v>
      </c>
      <c r="C4638" s="1" t="n">
        <v>45971</v>
      </c>
      <c r="D4638" t="inlineStr">
        <is>
          <t>VÄSTERBOTTENS LÄN</t>
        </is>
      </c>
      <c r="E4638" t="inlineStr">
        <is>
          <t>MALÅ</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46817-2024</t>
        </is>
      </c>
      <c r="B4639" s="1" t="n">
        <v>45583</v>
      </c>
      <c r="C4639" s="1" t="n">
        <v>45971</v>
      </c>
      <c r="D4639" t="inlineStr">
        <is>
          <t>VÄSTERBOTTENS LÄN</t>
        </is>
      </c>
      <c r="E4639" t="inlineStr">
        <is>
          <t>LYCKSELE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64498-2023</t>
        </is>
      </c>
      <c r="B4640" s="1" t="n">
        <v>45280.94288194444</v>
      </c>
      <c r="C4640" s="1" t="n">
        <v>45971</v>
      </c>
      <c r="D4640" t="inlineStr">
        <is>
          <t>VÄSTERBOTTENS LÄN</t>
        </is>
      </c>
      <c r="E4640" t="inlineStr">
        <is>
          <t>NORDMALING</t>
        </is>
      </c>
      <c r="F4640" t="inlineStr">
        <is>
          <t>SCA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64503-2023</t>
        </is>
      </c>
      <c r="B4641" s="1" t="n">
        <v>45280.94380787037</v>
      </c>
      <c r="C4641" s="1" t="n">
        <v>45971</v>
      </c>
      <c r="D4641" t="inlineStr">
        <is>
          <t>VÄSTERBOTTENS LÄN</t>
        </is>
      </c>
      <c r="E4641" t="inlineStr">
        <is>
          <t>BJURHOLM</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61801-2024</t>
        </is>
      </c>
      <c r="B4642" s="1" t="n">
        <v>45649.56392361111</v>
      </c>
      <c r="C4642" s="1" t="n">
        <v>45971</v>
      </c>
      <c r="D4642" t="inlineStr">
        <is>
          <t>VÄSTERBOTTENS LÄN</t>
        </is>
      </c>
      <c r="E4642" t="inlineStr">
        <is>
          <t>VILHELMINA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34236-2023</t>
        </is>
      </c>
      <c r="B4643" s="1" t="n">
        <v>45127</v>
      </c>
      <c r="C4643" s="1" t="n">
        <v>45971</v>
      </c>
      <c r="D4643" t="inlineStr">
        <is>
          <t>VÄSTERBOTTENS LÄN</t>
        </is>
      </c>
      <c r="E4643" t="inlineStr">
        <is>
          <t>ÅSELE</t>
        </is>
      </c>
      <c r="F4643" t="inlineStr">
        <is>
          <t>Kommuner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40497-2022</t>
        </is>
      </c>
      <c r="B4644" s="1" t="n">
        <v>44823</v>
      </c>
      <c r="C4644" s="1" t="n">
        <v>45971</v>
      </c>
      <c r="D4644" t="inlineStr">
        <is>
          <t>VÄSTERBOTTENS LÄN</t>
        </is>
      </c>
      <c r="E4644" t="inlineStr">
        <is>
          <t>LYCKSELE</t>
        </is>
      </c>
      <c r="F4644" t="inlineStr">
        <is>
          <t>Naturvårdsverket</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48178-2024</t>
        </is>
      </c>
      <c r="B4645" s="1" t="n">
        <v>45589</v>
      </c>
      <c r="C4645" s="1" t="n">
        <v>45971</v>
      </c>
      <c r="D4645" t="inlineStr">
        <is>
          <t>VÄSTERBOTTENS LÄN</t>
        </is>
      </c>
      <c r="E4645" t="inlineStr">
        <is>
          <t>NORDMALING</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56296-2023</t>
        </is>
      </c>
      <c r="B4646" s="1" t="n">
        <v>45242</v>
      </c>
      <c r="C4646" s="1" t="n">
        <v>45971</v>
      </c>
      <c r="D4646" t="inlineStr">
        <is>
          <t>VÄSTERBOTTENS LÄN</t>
        </is>
      </c>
      <c r="E4646" t="inlineStr">
        <is>
          <t>STORUMAN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6012-2023</t>
        </is>
      </c>
      <c r="B4647" s="1" t="n">
        <v>44959</v>
      </c>
      <c r="C4647" s="1" t="n">
        <v>45971</v>
      </c>
      <c r="D4647" t="inlineStr">
        <is>
          <t>VÄSTERBOTTENS LÄN</t>
        </is>
      </c>
      <c r="E4647" t="inlineStr">
        <is>
          <t>SKELLEFTEÅ</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44042-2024</t>
        </is>
      </c>
      <c r="B4648" s="1" t="n">
        <v>45572</v>
      </c>
      <c r="C4648" s="1" t="n">
        <v>45971</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55203-2024</t>
        </is>
      </c>
      <c r="B4649" s="1" t="n">
        <v>45621.55994212963</v>
      </c>
      <c r="C4649" s="1" t="n">
        <v>45971</v>
      </c>
      <c r="D4649" t="inlineStr">
        <is>
          <t>VÄSTERBOTTENS LÄN</t>
        </is>
      </c>
      <c r="E4649" t="inlineStr">
        <is>
          <t>LYCKSELE</t>
        </is>
      </c>
      <c r="F4649" t="inlineStr">
        <is>
          <t>Sveaskog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49011-2023</t>
        </is>
      </c>
      <c r="B4650" s="1" t="n">
        <v>45204</v>
      </c>
      <c r="C4650" s="1" t="n">
        <v>45971</v>
      </c>
      <c r="D4650" t="inlineStr">
        <is>
          <t>VÄSTERBOTTENS LÄN</t>
        </is>
      </c>
      <c r="E4650" t="inlineStr">
        <is>
          <t>MALÅ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61780-2023</t>
        </is>
      </c>
      <c r="B4651" s="1" t="n">
        <v>45265.95685185185</v>
      </c>
      <c r="C4651" s="1" t="n">
        <v>45971</v>
      </c>
      <c r="D4651" t="inlineStr">
        <is>
          <t>VÄSTERBOTTENS LÄN</t>
        </is>
      </c>
      <c r="E4651" t="inlineStr">
        <is>
          <t>VILHELMINA</t>
        </is>
      </c>
      <c r="F4651" t="inlineStr">
        <is>
          <t>SCA</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61800-2023</t>
        </is>
      </c>
      <c r="B4652" s="1" t="n">
        <v>45265.95873842593</v>
      </c>
      <c r="C4652" s="1" t="n">
        <v>45971</v>
      </c>
      <c r="D4652" t="inlineStr">
        <is>
          <t>VÄSTERBOTTENS LÄN</t>
        </is>
      </c>
      <c r="E4652" t="inlineStr">
        <is>
          <t>ÅSELE</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42910-2024</t>
        </is>
      </c>
      <c r="B4653" s="1" t="n">
        <v>45566.94626157408</v>
      </c>
      <c r="C4653" s="1" t="n">
        <v>45971</v>
      </c>
      <c r="D4653" t="inlineStr">
        <is>
          <t>VÄSTERBOTTENS LÄN</t>
        </is>
      </c>
      <c r="E4653" t="inlineStr">
        <is>
          <t>ÅSELE</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56789-2024</t>
        </is>
      </c>
      <c r="B4654" s="1" t="n">
        <v>45628</v>
      </c>
      <c r="C4654" s="1" t="n">
        <v>45971</v>
      </c>
      <c r="D4654" t="inlineStr">
        <is>
          <t>VÄSTERBOTTENS LÄN</t>
        </is>
      </c>
      <c r="E4654" t="inlineStr">
        <is>
          <t>VINDELN</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11638-2023</t>
        </is>
      </c>
      <c r="B4655" s="1" t="n">
        <v>44994.44827546296</v>
      </c>
      <c r="C4655" s="1" t="n">
        <v>45971</v>
      </c>
      <c r="D4655" t="inlineStr">
        <is>
          <t>VÄSTERBOTTENS LÄN</t>
        </is>
      </c>
      <c r="E4655" t="inlineStr">
        <is>
          <t>SKELLEFTEÅ</t>
        </is>
      </c>
      <c r="G4655" t="n">
        <v>19.8</v>
      </c>
      <c r="H4655" t="n">
        <v>0</v>
      </c>
      <c r="I4655" t="n">
        <v>0</v>
      </c>
      <c r="J4655" t="n">
        <v>0</v>
      </c>
      <c r="K4655" t="n">
        <v>0</v>
      </c>
      <c r="L4655" t="n">
        <v>0</v>
      </c>
      <c r="M4655" t="n">
        <v>0</v>
      </c>
      <c r="N4655" t="n">
        <v>0</v>
      </c>
      <c r="O4655" t="n">
        <v>0</v>
      </c>
      <c r="P4655" t="n">
        <v>0</v>
      </c>
      <c r="Q4655" t="n">
        <v>0</v>
      </c>
      <c r="R4655" s="2" t="inlineStr"/>
    </row>
    <row r="4656" ht="15" customHeight="1">
      <c r="A4656" t="inlineStr">
        <is>
          <t>A 54022-2024</t>
        </is>
      </c>
      <c r="B4656" s="1" t="n">
        <v>45616.38693287037</v>
      </c>
      <c r="C4656" s="1" t="n">
        <v>45971</v>
      </c>
      <c r="D4656" t="inlineStr">
        <is>
          <t>VÄSTERBOTTENS LÄN</t>
        </is>
      </c>
      <c r="E4656" t="inlineStr">
        <is>
          <t>VINDELN</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34139-2024</t>
        </is>
      </c>
      <c r="B4657" s="1" t="n">
        <v>45524.36006944445</v>
      </c>
      <c r="C4657" s="1" t="n">
        <v>45971</v>
      </c>
      <c r="D4657" t="inlineStr">
        <is>
          <t>VÄSTERBOTTENS LÄN</t>
        </is>
      </c>
      <c r="E4657" t="inlineStr">
        <is>
          <t>ÅSELE</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34144-2024</t>
        </is>
      </c>
      <c r="B4658" s="1" t="n">
        <v>45524</v>
      </c>
      <c r="C4658" s="1" t="n">
        <v>45971</v>
      </c>
      <c r="D4658" t="inlineStr">
        <is>
          <t>VÄSTERBOTTENS LÄN</t>
        </is>
      </c>
      <c r="E4658" t="inlineStr">
        <is>
          <t>ÅSELE</t>
        </is>
      </c>
      <c r="F4658" t="inlineStr">
        <is>
          <t>Sveaskog</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38270-2023</t>
        </is>
      </c>
      <c r="B4659" s="1" t="n">
        <v>45160</v>
      </c>
      <c r="C4659" s="1" t="n">
        <v>45971</v>
      </c>
      <c r="D4659" t="inlineStr">
        <is>
          <t>VÄSTERBOTTENS LÄN</t>
        </is>
      </c>
      <c r="E4659" t="inlineStr">
        <is>
          <t>ROBERTSFORS</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38312-2023</t>
        </is>
      </c>
      <c r="B4660" s="1" t="n">
        <v>45161</v>
      </c>
      <c r="C4660" s="1" t="n">
        <v>45971</v>
      </c>
      <c r="D4660" t="inlineStr">
        <is>
          <t>VÄSTERBOTTENS LÄN</t>
        </is>
      </c>
      <c r="E4660" t="inlineStr">
        <is>
          <t>MALÅ</t>
        </is>
      </c>
      <c r="F4660" t="inlineStr">
        <is>
          <t>Sveaskog</t>
        </is>
      </c>
      <c r="G4660" t="n">
        <v>63.6</v>
      </c>
      <c r="H4660" t="n">
        <v>0</v>
      </c>
      <c r="I4660" t="n">
        <v>0</v>
      </c>
      <c r="J4660" t="n">
        <v>0</v>
      </c>
      <c r="K4660" t="n">
        <v>0</v>
      </c>
      <c r="L4660" t="n">
        <v>0</v>
      </c>
      <c r="M4660" t="n">
        <v>0</v>
      </c>
      <c r="N4660" t="n">
        <v>0</v>
      </c>
      <c r="O4660" t="n">
        <v>0</v>
      </c>
      <c r="P4660" t="n">
        <v>0</v>
      </c>
      <c r="Q4660" t="n">
        <v>0</v>
      </c>
      <c r="R4660" s="2" t="inlineStr"/>
    </row>
    <row r="4661" ht="15" customHeight="1">
      <c r="A4661" t="inlineStr">
        <is>
          <t>A 2258-2025</t>
        </is>
      </c>
      <c r="B4661" s="1" t="n">
        <v>45673.51619212963</v>
      </c>
      <c r="C4661" s="1" t="n">
        <v>45971</v>
      </c>
      <c r="D4661" t="inlineStr">
        <is>
          <t>VÄSTERBOTTENS LÄN</t>
        </is>
      </c>
      <c r="E4661" t="inlineStr">
        <is>
          <t>UMEÅ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19012-2025</t>
        </is>
      </c>
      <c r="B4662" s="1" t="n">
        <v>45764.59451388889</v>
      </c>
      <c r="C4662" s="1" t="n">
        <v>45971</v>
      </c>
      <c r="D4662" t="inlineStr">
        <is>
          <t>VÄSTERBOTTENS LÄN</t>
        </is>
      </c>
      <c r="E4662" t="inlineStr">
        <is>
          <t>DOROTEA</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2279-2025</t>
        </is>
      </c>
      <c r="B4663" s="1" t="n">
        <v>45673.56776620371</v>
      </c>
      <c r="C4663" s="1" t="n">
        <v>45971</v>
      </c>
      <c r="D4663" t="inlineStr">
        <is>
          <t>VÄSTERBOTTENS LÄN</t>
        </is>
      </c>
      <c r="E4663" t="inlineStr">
        <is>
          <t>SKELLEFTEÅ</t>
        </is>
      </c>
      <c r="F4663" t="inlineStr">
        <is>
          <t>Holmen skog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45258-2024</t>
        </is>
      </c>
      <c r="B4664" s="1" t="n">
        <v>45576.34444444445</v>
      </c>
      <c r="C4664" s="1" t="n">
        <v>45971</v>
      </c>
      <c r="D4664" t="inlineStr">
        <is>
          <t>VÄSTERBOTTENS LÄN</t>
        </is>
      </c>
      <c r="E4664" t="inlineStr">
        <is>
          <t>VILHELMINA</t>
        </is>
      </c>
      <c r="F4664" t="inlineStr">
        <is>
          <t>SCA</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49175-2023</t>
        </is>
      </c>
      <c r="B4665" s="1" t="n">
        <v>45210.55800925926</v>
      </c>
      <c r="C4665" s="1" t="n">
        <v>45971</v>
      </c>
      <c r="D4665" t="inlineStr">
        <is>
          <t>VÄSTERBOTTENS LÄN</t>
        </is>
      </c>
      <c r="E4665" t="inlineStr">
        <is>
          <t>LYCKSELE</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49192-2023</t>
        </is>
      </c>
      <c r="B4666" s="1" t="n">
        <v>45210.57967592592</v>
      </c>
      <c r="C4666" s="1" t="n">
        <v>45971</v>
      </c>
      <c r="D4666" t="inlineStr">
        <is>
          <t>VÄSTERBOTTENS LÄN</t>
        </is>
      </c>
      <c r="E4666" t="inlineStr">
        <is>
          <t>UMEÅ</t>
        </is>
      </c>
      <c r="F4666" t="inlineStr">
        <is>
          <t>Holmen skog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20328-2024</t>
        </is>
      </c>
      <c r="B4667" s="1" t="n">
        <v>45435</v>
      </c>
      <c r="C4667" s="1" t="n">
        <v>45971</v>
      </c>
      <c r="D4667" t="inlineStr">
        <is>
          <t>VÄSTERBOTTENS LÄN</t>
        </is>
      </c>
      <c r="E4667" t="inlineStr">
        <is>
          <t>NORDMALING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9784-2023</t>
        </is>
      </c>
      <c r="B4668" s="1" t="n">
        <v>44984</v>
      </c>
      <c r="C4668" s="1" t="n">
        <v>45971</v>
      </c>
      <c r="D4668" t="inlineStr">
        <is>
          <t>VÄSTERBOTTENS LÄN</t>
        </is>
      </c>
      <c r="E4668" t="inlineStr">
        <is>
          <t>SORSELE</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34184-2023</t>
        </is>
      </c>
      <c r="B4669" s="1" t="n">
        <v>45126</v>
      </c>
      <c r="C4669" s="1" t="n">
        <v>45971</v>
      </c>
      <c r="D4669" t="inlineStr">
        <is>
          <t>VÄSTERBOTTENS LÄN</t>
        </is>
      </c>
      <c r="E4669" t="inlineStr">
        <is>
          <t>NORDMALING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35917-2022</t>
        </is>
      </c>
      <c r="B4670" s="1" t="n">
        <v>44802</v>
      </c>
      <c r="C4670" s="1" t="n">
        <v>45971</v>
      </c>
      <c r="D4670" t="inlineStr">
        <is>
          <t>VÄSTERBOTTENS LÄN</t>
        </is>
      </c>
      <c r="E4670" t="inlineStr">
        <is>
          <t>MALÅ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18705-2025</t>
        </is>
      </c>
      <c r="B4671" s="1" t="n">
        <v>45763.63334490741</v>
      </c>
      <c r="C4671" s="1" t="n">
        <v>45971</v>
      </c>
      <c r="D4671" t="inlineStr">
        <is>
          <t>VÄSTERBOTTENS LÄN</t>
        </is>
      </c>
      <c r="E4671" t="inlineStr">
        <is>
          <t>LYCKSELE</t>
        </is>
      </c>
      <c r="F4671" t="inlineStr">
        <is>
          <t>Holmen skog AB</t>
        </is>
      </c>
      <c r="G4671" t="n">
        <v>13.6</v>
      </c>
      <c r="H4671" t="n">
        <v>0</v>
      </c>
      <c r="I4671" t="n">
        <v>0</v>
      </c>
      <c r="J4671" t="n">
        <v>0</v>
      </c>
      <c r="K4671" t="n">
        <v>0</v>
      </c>
      <c r="L4671" t="n">
        <v>0</v>
      </c>
      <c r="M4671" t="n">
        <v>0</v>
      </c>
      <c r="N4671" t="n">
        <v>0</v>
      </c>
      <c r="O4671" t="n">
        <v>0</v>
      </c>
      <c r="P4671" t="n">
        <v>0</v>
      </c>
      <c r="Q4671" t="n">
        <v>0</v>
      </c>
      <c r="R4671" s="2" t="inlineStr"/>
    </row>
    <row r="4672" ht="15" customHeight="1">
      <c r="A4672" t="inlineStr">
        <is>
          <t>A 48405-2024</t>
        </is>
      </c>
      <c r="B4672" s="1" t="n">
        <v>45590.62112268519</v>
      </c>
      <c r="C4672" s="1" t="n">
        <v>45971</v>
      </c>
      <c r="D4672" t="inlineStr">
        <is>
          <t>VÄSTERBOTTENS LÄN</t>
        </is>
      </c>
      <c r="E4672" t="inlineStr">
        <is>
          <t>LYCKSELE</t>
        </is>
      </c>
      <c r="F4672" t="inlineStr">
        <is>
          <t>Holmen skog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40210-2022</t>
        </is>
      </c>
      <c r="B4673" s="1" t="n">
        <v>44820</v>
      </c>
      <c r="C4673" s="1" t="n">
        <v>45971</v>
      </c>
      <c r="D4673" t="inlineStr">
        <is>
          <t>VÄSTERBOTTENS LÄN</t>
        </is>
      </c>
      <c r="E4673" t="inlineStr">
        <is>
          <t>NORDMALING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61390-2022</t>
        </is>
      </c>
      <c r="B4674" s="1" t="n">
        <v>44915</v>
      </c>
      <c r="C4674" s="1" t="n">
        <v>45971</v>
      </c>
      <c r="D4674" t="inlineStr">
        <is>
          <t>VÄSTERBOTTENS LÄN</t>
        </is>
      </c>
      <c r="E4674" t="inlineStr">
        <is>
          <t>LYCKSELE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61397-2022</t>
        </is>
      </c>
      <c r="B4675" s="1" t="n">
        <v>44915.94381944444</v>
      </c>
      <c r="C4675" s="1" t="n">
        <v>45971</v>
      </c>
      <c r="D4675" t="inlineStr">
        <is>
          <t>VÄSTERBOTTENS LÄN</t>
        </is>
      </c>
      <c r="E4675" t="inlineStr">
        <is>
          <t>ÅSELE</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35293-2023</t>
        </is>
      </c>
      <c r="B4676" s="1" t="n">
        <v>45145</v>
      </c>
      <c r="C4676" s="1" t="n">
        <v>45971</v>
      </c>
      <c r="D4676" t="inlineStr">
        <is>
          <t>VÄSTERBOTTENS LÄN</t>
        </is>
      </c>
      <c r="E4676" t="inlineStr">
        <is>
          <t>VINDELN</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33680-2021</t>
        </is>
      </c>
      <c r="B4677" s="1" t="n">
        <v>44378.41619212963</v>
      </c>
      <c r="C4677" s="1" t="n">
        <v>45971</v>
      </c>
      <c r="D4677" t="inlineStr">
        <is>
          <t>VÄSTERBOTTENS LÄN</t>
        </is>
      </c>
      <c r="E4677" t="inlineStr">
        <is>
          <t>SKELLEFTEÅ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10941-2023</t>
        </is>
      </c>
      <c r="B4678" s="1" t="n">
        <v>44985</v>
      </c>
      <c r="C4678" s="1" t="n">
        <v>45971</v>
      </c>
      <c r="D4678" t="inlineStr">
        <is>
          <t>VÄSTERBOTTENS LÄN</t>
        </is>
      </c>
      <c r="E4678" t="inlineStr">
        <is>
          <t>VILHELMINA</t>
        </is>
      </c>
      <c r="G4678" t="n">
        <v>16.7</v>
      </c>
      <c r="H4678" t="n">
        <v>0</v>
      </c>
      <c r="I4678" t="n">
        <v>0</v>
      </c>
      <c r="J4678" t="n">
        <v>0</v>
      </c>
      <c r="K4678" t="n">
        <v>0</v>
      </c>
      <c r="L4678" t="n">
        <v>0</v>
      </c>
      <c r="M4678" t="n">
        <v>0</v>
      </c>
      <c r="N4678" t="n">
        <v>0</v>
      </c>
      <c r="O4678" t="n">
        <v>0</v>
      </c>
      <c r="P4678" t="n">
        <v>0</v>
      </c>
      <c r="Q4678" t="n">
        <v>0</v>
      </c>
      <c r="R4678" s="2" t="inlineStr"/>
    </row>
    <row r="4679" ht="15" customHeight="1">
      <c r="A4679" t="inlineStr">
        <is>
          <t>A 40468-2021</t>
        </is>
      </c>
      <c r="B4679" s="1" t="n">
        <v>44419.94174768519</v>
      </c>
      <c r="C4679" s="1" t="n">
        <v>45971</v>
      </c>
      <c r="D4679" t="inlineStr">
        <is>
          <t>VÄSTERBOTTENS LÄN</t>
        </is>
      </c>
      <c r="E4679" t="inlineStr">
        <is>
          <t>VILHELMINA</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37142-2024</t>
        </is>
      </c>
      <c r="B4680" s="1" t="n">
        <v>45539.59653935185</v>
      </c>
      <c r="C4680" s="1" t="n">
        <v>45971</v>
      </c>
      <c r="D4680" t="inlineStr">
        <is>
          <t>VÄSTERBOTTENS LÄN</t>
        </is>
      </c>
      <c r="E4680" t="inlineStr">
        <is>
          <t>STORUMAN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56997-2023</t>
        </is>
      </c>
      <c r="B4681" s="1" t="n">
        <v>45244</v>
      </c>
      <c r="C4681" s="1" t="n">
        <v>45971</v>
      </c>
      <c r="D4681" t="inlineStr">
        <is>
          <t>VÄSTERBOTTENS LÄN</t>
        </is>
      </c>
      <c r="E4681" t="inlineStr">
        <is>
          <t>MALÅ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17845-2025</t>
        </is>
      </c>
      <c r="B4682" s="1" t="n">
        <v>45758.59927083334</v>
      </c>
      <c r="C4682" s="1" t="n">
        <v>45971</v>
      </c>
      <c r="D4682" t="inlineStr">
        <is>
          <t>VÄSTERBOTTENS LÄN</t>
        </is>
      </c>
      <c r="E4682" t="inlineStr">
        <is>
          <t>VINDELN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62955-2020</t>
        </is>
      </c>
      <c r="B4683" s="1" t="n">
        <v>44162</v>
      </c>
      <c r="C4683" s="1" t="n">
        <v>45971</v>
      </c>
      <c r="D4683" t="inlineStr">
        <is>
          <t>VÄSTERBOTTENS LÄN</t>
        </is>
      </c>
      <c r="E4683" t="inlineStr">
        <is>
          <t>UMEÅ</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38212-2024</t>
        </is>
      </c>
      <c r="B4684" s="1" t="n">
        <v>45545.52331018518</v>
      </c>
      <c r="C4684" s="1" t="n">
        <v>45971</v>
      </c>
      <c r="D4684" t="inlineStr">
        <is>
          <t>VÄSTERBOTTENS LÄN</t>
        </is>
      </c>
      <c r="E4684" t="inlineStr">
        <is>
          <t>LYCKSELE</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38222-2024</t>
        </is>
      </c>
      <c r="B4685" s="1" t="n">
        <v>45545.53619212963</v>
      </c>
      <c r="C4685" s="1" t="n">
        <v>45971</v>
      </c>
      <c r="D4685" t="inlineStr">
        <is>
          <t>VÄSTERBOTTENS LÄN</t>
        </is>
      </c>
      <c r="E4685" t="inlineStr">
        <is>
          <t>VILHELMINA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23759-2023</t>
        </is>
      </c>
      <c r="B4686" s="1" t="n">
        <v>45077</v>
      </c>
      <c r="C4686" s="1" t="n">
        <v>45971</v>
      </c>
      <c r="D4686" t="inlineStr">
        <is>
          <t>VÄSTERBOTTENS LÄN</t>
        </is>
      </c>
      <c r="E4686" t="inlineStr">
        <is>
          <t>SKELLEFTEÅ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10082-2023</t>
        </is>
      </c>
      <c r="B4687" s="1" t="n">
        <v>44985</v>
      </c>
      <c r="C4687" s="1" t="n">
        <v>45971</v>
      </c>
      <c r="D4687" t="inlineStr">
        <is>
          <t>VÄSTERBOTTENS LÄN</t>
        </is>
      </c>
      <c r="E4687" t="inlineStr">
        <is>
          <t>ÅSELE</t>
        </is>
      </c>
      <c r="F4687" t="inlineStr">
        <is>
          <t>SCA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30401-2023</t>
        </is>
      </c>
      <c r="B4688" s="1" t="n">
        <v>45103</v>
      </c>
      <c r="C4688" s="1" t="n">
        <v>45971</v>
      </c>
      <c r="D4688" t="inlineStr">
        <is>
          <t>VÄSTERBOTTENS LÄN</t>
        </is>
      </c>
      <c r="E4688" t="inlineStr">
        <is>
          <t>LYCKSELE</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15339-2023</t>
        </is>
      </c>
      <c r="B4689" s="1" t="n">
        <v>45016</v>
      </c>
      <c r="C4689" s="1" t="n">
        <v>45971</v>
      </c>
      <c r="D4689" t="inlineStr">
        <is>
          <t>VÄSTERBOTTENS LÄN</t>
        </is>
      </c>
      <c r="E4689" t="inlineStr">
        <is>
          <t>STORUMAN</t>
        </is>
      </c>
      <c r="G4689" t="n">
        <v>97.5</v>
      </c>
      <c r="H4689" t="n">
        <v>0</v>
      </c>
      <c r="I4689" t="n">
        <v>0</v>
      </c>
      <c r="J4689" t="n">
        <v>0</v>
      </c>
      <c r="K4689" t="n">
        <v>0</v>
      </c>
      <c r="L4689" t="n">
        <v>0</v>
      </c>
      <c r="M4689" t="n">
        <v>0</v>
      </c>
      <c r="N4689" t="n">
        <v>0</v>
      </c>
      <c r="O4689" t="n">
        <v>0</v>
      </c>
      <c r="P4689" t="n">
        <v>0</v>
      </c>
      <c r="Q4689" t="n">
        <v>0</v>
      </c>
      <c r="R4689" s="2" t="inlineStr"/>
    </row>
    <row r="4690" ht="15" customHeight="1">
      <c r="A4690" t="inlineStr">
        <is>
          <t>A 11291-2023</t>
        </is>
      </c>
      <c r="B4690" s="1" t="n">
        <v>44992</v>
      </c>
      <c r="C4690" s="1" t="n">
        <v>45971</v>
      </c>
      <c r="D4690" t="inlineStr">
        <is>
          <t>VÄSTERBOTTENS LÄN</t>
        </is>
      </c>
      <c r="E4690" t="inlineStr">
        <is>
          <t>ÅSELE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17483-2023</t>
        </is>
      </c>
      <c r="B4691" s="1" t="n">
        <v>45034</v>
      </c>
      <c r="C4691" s="1" t="n">
        <v>45971</v>
      </c>
      <c r="D4691" t="inlineStr">
        <is>
          <t>VÄSTERBOTTENS LÄN</t>
        </is>
      </c>
      <c r="E4691" t="inlineStr">
        <is>
          <t>SKELLEFTEÅ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36316-2024</t>
        </is>
      </c>
      <c r="B4692" s="1" t="n">
        <v>45534</v>
      </c>
      <c r="C4692" s="1" t="n">
        <v>45971</v>
      </c>
      <c r="D4692" t="inlineStr">
        <is>
          <t>VÄSTERBOTTENS LÄN</t>
        </is>
      </c>
      <c r="E4692" t="inlineStr">
        <is>
          <t>VINDELN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36325-2024</t>
        </is>
      </c>
      <c r="B4693" s="1" t="n">
        <v>45534.63637731481</v>
      </c>
      <c r="C4693" s="1" t="n">
        <v>45971</v>
      </c>
      <c r="D4693" t="inlineStr">
        <is>
          <t>VÄSTERBOTTENS LÄN</t>
        </is>
      </c>
      <c r="E4693" t="inlineStr">
        <is>
          <t>LYCKSELE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36331-2024</t>
        </is>
      </c>
      <c r="B4694" s="1" t="n">
        <v>45534.63957175926</v>
      </c>
      <c r="C4694" s="1" t="n">
        <v>45971</v>
      </c>
      <c r="D4694" t="inlineStr">
        <is>
          <t>VÄSTERBOTTENS LÄN</t>
        </is>
      </c>
      <c r="E4694" t="inlineStr">
        <is>
          <t>ÅSELE</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60482-2024</t>
        </is>
      </c>
      <c r="B4695" s="1" t="n">
        <v>45643.63650462963</v>
      </c>
      <c r="C4695" s="1" t="n">
        <v>45971</v>
      </c>
      <c r="D4695" t="inlineStr">
        <is>
          <t>VÄSTERBOTTENS LÄN</t>
        </is>
      </c>
      <c r="E4695" t="inlineStr">
        <is>
          <t>LYCKSELE</t>
        </is>
      </c>
      <c r="F4695" t="inlineStr">
        <is>
          <t>Sveaskog</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3237-2024</t>
        </is>
      </c>
      <c r="B4696" s="1" t="n">
        <v>45316.9474537037</v>
      </c>
      <c r="C4696" s="1" t="n">
        <v>45971</v>
      </c>
      <c r="D4696" t="inlineStr">
        <is>
          <t>VÄSTERBOTTENS LÄN</t>
        </is>
      </c>
      <c r="E4696" t="inlineStr">
        <is>
          <t>VILHELMINA</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37007-2024</t>
        </is>
      </c>
      <c r="B4697" s="1" t="n">
        <v>45539</v>
      </c>
      <c r="C4697" s="1" t="n">
        <v>45971</v>
      </c>
      <c r="D4697" t="inlineStr">
        <is>
          <t>VÄSTERBOTTENS LÄN</t>
        </is>
      </c>
      <c r="E4697" t="inlineStr">
        <is>
          <t>UMEÅ</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11644-2025</t>
        </is>
      </c>
      <c r="B4698" s="1" t="n">
        <v>45727.47341435185</v>
      </c>
      <c r="C4698" s="1" t="n">
        <v>45971</v>
      </c>
      <c r="D4698" t="inlineStr">
        <is>
          <t>VÄSTERBOTTENS LÄN</t>
        </is>
      </c>
      <c r="E4698" t="inlineStr">
        <is>
          <t>SKELLEFTEÅ</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57818-2021</t>
        </is>
      </c>
      <c r="B4699" s="1" t="n">
        <v>44484.64653935185</v>
      </c>
      <c r="C4699" s="1" t="n">
        <v>45971</v>
      </c>
      <c r="D4699" t="inlineStr">
        <is>
          <t>VÄSTERBOTTENS LÄN</t>
        </is>
      </c>
      <c r="E4699" t="inlineStr">
        <is>
          <t>LYCKSELE</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60506-2022</t>
        </is>
      </c>
      <c r="B4700" s="1" t="n">
        <v>44911.44916666667</v>
      </c>
      <c r="C4700" s="1" t="n">
        <v>45971</v>
      </c>
      <c r="D4700" t="inlineStr">
        <is>
          <t>VÄSTERBOTTENS LÄN</t>
        </is>
      </c>
      <c r="E4700" t="inlineStr">
        <is>
          <t>SKELLEFTEÅ</t>
        </is>
      </c>
      <c r="F4700" t="inlineStr">
        <is>
          <t>Sveaskog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38114-2024</t>
        </is>
      </c>
      <c r="B4701" s="1" t="n">
        <v>45545</v>
      </c>
      <c r="C4701" s="1" t="n">
        <v>45971</v>
      </c>
      <c r="D4701" t="inlineStr">
        <is>
          <t>VÄSTERBOTTENS LÄN</t>
        </is>
      </c>
      <c r="E4701" t="inlineStr">
        <is>
          <t>LYCKSELE</t>
        </is>
      </c>
      <c r="F4701" t="inlineStr">
        <is>
          <t>SCA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45011-2022</t>
        </is>
      </c>
      <c r="B4702" s="1" t="n">
        <v>44840</v>
      </c>
      <c r="C4702" s="1" t="n">
        <v>45971</v>
      </c>
      <c r="D4702" t="inlineStr">
        <is>
          <t>VÄSTERBOTTENS LÄN</t>
        </is>
      </c>
      <c r="E4702" t="inlineStr">
        <is>
          <t>SKELLEFTEÅ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16661-2025</t>
        </is>
      </c>
      <c r="B4703" s="1" t="n">
        <v>45754.41447916667</v>
      </c>
      <c r="C4703" s="1" t="n">
        <v>45971</v>
      </c>
      <c r="D4703" t="inlineStr">
        <is>
          <t>VÄSTERBOTTENS LÄN</t>
        </is>
      </c>
      <c r="E4703" t="inlineStr">
        <is>
          <t>NORSJÖ</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48332-2021</t>
        </is>
      </c>
      <c r="B4704" s="1" t="n">
        <v>44451.45726851852</v>
      </c>
      <c r="C4704" s="1" t="n">
        <v>45971</v>
      </c>
      <c r="D4704" t="inlineStr">
        <is>
          <t>VÄSTERBOTTENS LÄN</t>
        </is>
      </c>
      <c r="E4704" t="inlineStr">
        <is>
          <t>STORUMAN</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50917-2022</t>
        </is>
      </c>
      <c r="B4705" s="1" t="n">
        <v>44867</v>
      </c>
      <c r="C4705" s="1" t="n">
        <v>45971</v>
      </c>
      <c r="D4705" t="inlineStr">
        <is>
          <t>VÄSTERBOTTENS LÄN</t>
        </is>
      </c>
      <c r="E4705" t="inlineStr">
        <is>
          <t>STORUMAN</t>
        </is>
      </c>
      <c r="F4705" t="inlineStr">
        <is>
          <t>Sveaskog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36771-2024</t>
        </is>
      </c>
      <c r="B4706" s="1" t="n">
        <v>45538.38226851852</v>
      </c>
      <c r="C4706" s="1" t="n">
        <v>45971</v>
      </c>
      <c r="D4706" t="inlineStr">
        <is>
          <t>VÄSTERBOTTENS LÄN</t>
        </is>
      </c>
      <c r="E4706" t="inlineStr">
        <is>
          <t>SKELLEFTEÅ</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16455-2024</t>
        </is>
      </c>
      <c r="B4707" s="1" t="n">
        <v>45407</v>
      </c>
      <c r="C4707" s="1" t="n">
        <v>45971</v>
      </c>
      <c r="D4707" t="inlineStr">
        <is>
          <t>VÄSTERBOTTENS LÄN</t>
        </is>
      </c>
      <c r="E4707" t="inlineStr">
        <is>
          <t>NORDMALING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36909-2024</t>
        </is>
      </c>
      <c r="B4708" s="1" t="n">
        <v>45538.63577546296</v>
      </c>
      <c r="C4708" s="1" t="n">
        <v>45971</v>
      </c>
      <c r="D4708" t="inlineStr">
        <is>
          <t>VÄSTERBOTTENS LÄN</t>
        </is>
      </c>
      <c r="E4708" t="inlineStr">
        <is>
          <t>VILHELMINA</t>
        </is>
      </c>
      <c r="F4708" t="inlineStr">
        <is>
          <t>SCA</t>
        </is>
      </c>
      <c r="G4708" t="n">
        <v>16.8</v>
      </c>
      <c r="H4708" t="n">
        <v>0</v>
      </c>
      <c r="I4708" t="n">
        <v>0</v>
      </c>
      <c r="J4708" t="n">
        <v>0</v>
      </c>
      <c r="K4708" t="n">
        <v>0</v>
      </c>
      <c r="L4708" t="n">
        <v>0</v>
      </c>
      <c r="M4708" t="n">
        <v>0</v>
      </c>
      <c r="N4708" t="n">
        <v>0</v>
      </c>
      <c r="O4708" t="n">
        <v>0</v>
      </c>
      <c r="P4708" t="n">
        <v>0</v>
      </c>
      <c r="Q4708" t="n">
        <v>0</v>
      </c>
      <c r="R4708" s="2" t="inlineStr"/>
    </row>
    <row r="4709" ht="15" customHeight="1">
      <c r="A4709" t="inlineStr">
        <is>
          <t>A 2645-2023</t>
        </is>
      </c>
      <c r="B4709" s="1" t="n">
        <v>44943</v>
      </c>
      <c r="C4709" s="1" t="n">
        <v>45971</v>
      </c>
      <c r="D4709" t="inlineStr">
        <is>
          <t>VÄSTERBOTTENS LÄN</t>
        </is>
      </c>
      <c r="E4709" t="inlineStr">
        <is>
          <t>NORDMALING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62726-2022</t>
        </is>
      </c>
      <c r="B4710" s="1" t="n">
        <v>44925</v>
      </c>
      <c r="C4710" s="1" t="n">
        <v>45971</v>
      </c>
      <c r="D4710" t="inlineStr">
        <is>
          <t>VÄSTERBOTTENS LÄN</t>
        </is>
      </c>
      <c r="E4710" t="inlineStr">
        <is>
          <t>VINDELN</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62727-2022</t>
        </is>
      </c>
      <c r="B4711" s="1" t="n">
        <v>44925</v>
      </c>
      <c r="C4711" s="1" t="n">
        <v>45971</v>
      </c>
      <c r="D4711" t="inlineStr">
        <is>
          <t>VÄSTERBOTTENS LÄN</t>
        </is>
      </c>
      <c r="E4711" t="inlineStr">
        <is>
          <t>VINDELN</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62753-2022</t>
        </is>
      </c>
      <c r="B4712" s="1" t="n">
        <v>44925</v>
      </c>
      <c r="C4712" s="1" t="n">
        <v>45971</v>
      </c>
      <c r="D4712" t="inlineStr">
        <is>
          <t>VÄSTERBOTTENS LÄN</t>
        </is>
      </c>
      <c r="E4712" t="inlineStr">
        <is>
          <t>VINDELN</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16690-2025</t>
        </is>
      </c>
      <c r="B4713" s="1" t="n">
        <v>45754.45789351852</v>
      </c>
      <c r="C4713" s="1" t="n">
        <v>45971</v>
      </c>
      <c r="D4713" t="inlineStr">
        <is>
          <t>VÄSTERBOTTENS LÄN</t>
        </is>
      </c>
      <c r="E4713" t="inlineStr">
        <is>
          <t>NORDMALING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2048-2023</t>
        </is>
      </c>
      <c r="B4714" s="1" t="n">
        <v>44939</v>
      </c>
      <c r="C4714" s="1" t="n">
        <v>45971</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2054-2023</t>
        </is>
      </c>
      <c r="B4715" s="1" t="n">
        <v>44939</v>
      </c>
      <c r="C4715" s="1" t="n">
        <v>45971</v>
      </c>
      <c r="D4715" t="inlineStr">
        <is>
          <t>VÄSTERBOTTENS LÄN</t>
        </is>
      </c>
      <c r="E4715" t="inlineStr">
        <is>
          <t>VILHELMINA</t>
        </is>
      </c>
      <c r="F4715" t="inlineStr">
        <is>
          <t>Sveaskog</t>
        </is>
      </c>
      <c r="G4715" t="n">
        <v>19.2</v>
      </c>
      <c r="H4715" t="n">
        <v>0</v>
      </c>
      <c r="I4715" t="n">
        <v>0</v>
      </c>
      <c r="J4715" t="n">
        <v>0</v>
      </c>
      <c r="K4715" t="n">
        <v>0</v>
      </c>
      <c r="L4715" t="n">
        <v>0</v>
      </c>
      <c r="M4715" t="n">
        <v>0</v>
      </c>
      <c r="N4715" t="n">
        <v>0</v>
      </c>
      <c r="O4715" t="n">
        <v>0</v>
      </c>
      <c r="P4715" t="n">
        <v>0</v>
      </c>
      <c r="Q4715" t="n">
        <v>0</v>
      </c>
      <c r="R4715" s="2" t="inlineStr"/>
    </row>
    <row r="4716" ht="15" customHeight="1">
      <c r="A4716" t="inlineStr">
        <is>
          <t>A 15857-2023</t>
        </is>
      </c>
      <c r="B4716" s="1" t="n">
        <v>45022</v>
      </c>
      <c r="C4716" s="1" t="n">
        <v>45971</v>
      </c>
      <c r="D4716" t="inlineStr">
        <is>
          <t>VÄSTERBOTTENS LÄN</t>
        </is>
      </c>
      <c r="E4716" t="inlineStr">
        <is>
          <t>MALÅ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16708-2025</t>
        </is>
      </c>
      <c r="B4717" s="1" t="n">
        <v>45751</v>
      </c>
      <c r="C4717" s="1" t="n">
        <v>45971</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16720-2025</t>
        </is>
      </c>
      <c r="B4718" s="1" t="n">
        <v>45754.49039351852</v>
      </c>
      <c r="C4718" s="1" t="n">
        <v>45971</v>
      </c>
      <c r="D4718" t="inlineStr">
        <is>
          <t>VÄSTERBOTTENS LÄN</t>
        </is>
      </c>
      <c r="E4718" t="inlineStr">
        <is>
          <t>VILHELMINA</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49631-2023</t>
        </is>
      </c>
      <c r="B4719" s="1" t="n">
        <v>45211</v>
      </c>
      <c r="C4719" s="1" t="n">
        <v>45971</v>
      </c>
      <c r="D4719" t="inlineStr">
        <is>
          <t>VÄSTERBOTTENS LÄN</t>
        </is>
      </c>
      <c r="E4719" t="inlineStr">
        <is>
          <t>LYCKSELE</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56447-2021</t>
        </is>
      </c>
      <c r="B4720" s="1" t="n">
        <v>44479</v>
      </c>
      <c r="C4720" s="1" t="n">
        <v>45971</v>
      </c>
      <c r="D4720" t="inlineStr">
        <is>
          <t>VÄSTERBOTTENS LÄN</t>
        </is>
      </c>
      <c r="E4720" t="inlineStr">
        <is>
          <t>VINDELN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57498-2024</t>
        </is>
      </c>
      <c r="B4721" s="1" t="n">
        <v>45629</v>
      </c>
      <c r="C4721" s="1" t="n">
        <v>45971</v>
      </c>
      <c r="D4721" t="inlineStr">
        <is>
          <t>VÄSTERBOTTENS LÄN</t>
        </is>
      </c>
      <c r="E4721" t="inlineStr">
        <is>
          <t>ÅSELE</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57510-2024</t>
        </is>
      </c>
      <c r="B4722" s="1" t="n">
        <v>45630.3946875</v>
      </c>
      <c r="C4722" s="1" t="n">
        <v>45971</v>
      </c>
      <c r="D4722" t="inlineStr">
        <is>
          <t>VÄSTERBOTTENS LÄN</t>
        </is>
      </c>
      <c r="E4722" t="inlineStr">
        <is>
          <t>UMEÅ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23532-2023</t>
        </is>
      </c>
      <c r="B4723" s="1" t="n">
        <v>45076.94684027778</v>
      </c>
      <c r="C4723" s="1" t="n">
        <v>45971</v>
      </c>
      <c r="D4723" t="inlineStr">
        <is>
          <t>VÄSTERBOTTENS LÄN</t>
        </is>
      </c>
      <c r="E4723" t="inlineStr">
        <is>
          <t>VINDELN</t>
        </is>
      </c>
      <c r="F4723" t="inlineStr">
        <is>
          <t>SCA</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15138-2025</t>
        </is>
      </c>
      <c r="B4724" s="1" t="n">
        <v>45744.38621527778</v>
      </c>
      <c r="C4724" s="1" t="n">
        <v>45971</v>
      </c>
      <c r="D4724" t="inlineStr">
        <is>
          <t>VÄSTERBOTTENS LÄN</t>
        </is>
      </c>
      <c r="E4724" t="inlineStr">
        <is>
          <t>SKELLEFTEÅ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13836-2025</t>
        </is>
      </c>
      <c r="B4725" s="1" t="n">
        <v>45737.55303240741</v>
      </c>
      <c r="C4725" s="1" t="n">
        <v>45971</v>
      </c>
      <c r="D4725" t="inlineStr">
        <is>
          <t>VÄSTERBOTTENS LÄN</t>
        </is>
      </c>
      <c r="E4725" t="inlineStr">
        <is>
          <t>VINDELN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16106-2025</t>
        </is>
      </c>
      <c r="B4726" s="1" t="n">
        <v>45750.33010416666</v>
      </c>
      <c r="C4726" s="1" t="n">
        <v>45971</v>
      </c>
      <c r="D4726" t="inlineStr">
        <is>
          <t>VÄSTERBOTTENS LÄN</t>
        </is>
      </c>
      <c r="E4726" t="inlineStr">
        <is>
          <t>ROBERTSFORS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53241-2022</t>
        </is>
      </c>
      <c r="B4727" s="1" t="n">
        <v>44876</v>
      </c>
      <c r="C4727" s="1" t="n">
        <v>45971</v>
      </c>
      <c r="D4727" t="inlineStr">
        <is>
          <t>VÄSTERBOTTENS LÄN</t>
        </is>
      </c>
      <c r="E4727" t="inlineStr">
        <is>
          <t>LYCKSELE</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57581-2024</t>
        </is>
      </c>
      <c r="B4728" s="1" t="n">
        <v>45630</v>
      </c>
      <c r="C4728" s="1" t="n">
        <v>45971</v>
      </c>
      <c r="D4728" t="inlineStr">
        <is>
          <t>VÄSTERBOTTENS LÄN</t>
        </is>
      </c>
      <c r="E4728" t="inlineStr">
        <is>
          <t>DOROTEA</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41644-2024</t>
        </is>
      </c>
      <c r="B4729" s="1" t="n">
        <v>45560</v>
      </c>
      <c r="C4729" s="1" t="n">
        <v>45971</v>
      </c>
      <c r="D4729" t="inlineStr">
        <is>
          <t>VÄSTERBOTTENS LÄN</t>
        </is>
      </c>
      <c r="E4729" t="inlineStr">
        <is>
          <t>VILHELMINA</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39631-2025</t>
        </is>
      </c>
      <c r="B4730" s="1" t="n">
        <v>45890.58930555556</v>
      </c>
      <c r="C4730" s="1" t="n">
        <v>45971</v>
      </c>
      <c r="D4730" t="inlineStr">
        <is>
          <t>VÄSTERBOTTENS LÄN</t>
        </is>
      </c>
      <c r="E4730" t="inlineStr">
        <is>
          <t>SORSELE</t>
        </is>
      </c>
      <c r="F4730" t="inlineStr">
        <is>
          <t>Sveaskog</t>
        </is>
      </c>
      <c r="G4730" t="n">
        <v>25.5</v>
      </c>
      <c r="H4730" t="n">
        <v>0</v>
      </c>
      <c r="I4730" t="n">
        <v>0</v>
      </c>
      <c r="J4730" t="n">
        <v>0</v>
      </c>
      <c r="K4730" t="n">
        <v>0</v>
      </c>
      <c r="L4730" t="n">
        <v>0</v>
      </c>
      <c r="M4730" t="n">
        <v>0</v>
      </c>
      <c r="N4730" t="n">
        <v>0</v>
      </c>
      <c r="O4730" t="n">
        <v>0</v>
      </c>
      <c r="P4730" t="n">
        <v>0</v>
      </c>
      <c r="Q4730" t="n">
        <v>0</v>
      </c>
      <c r="R4730" s="2" t="inlineStr"/>
    </row>
    <row r="4731" ht="15" customHeight="1">
      <c r="A4731" t="inlineStr">
        <is>
          <t>A 39432-2025</t>
        </is>
      </c>
      <c r="B4731" s="1" t="n">
        <v>45889.67777777778</v>
      </c>
      <c r="C4731" s="1" t="n">
        <v>45971</v>
      </c>
      <c r="D4731" t="inlineStr">
        <is>
          <t>VÄSTERBOTTENS LÄN</t>
        </is>
      </c>
      <c r="E4731" t="inlineStr">
        <is>
          <t>LYCKSELE</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39436-2025</t>
        </is>
      </c>
      <c r="B4732" s="1" t="n">
        <v>45889.67865740741</v>
      </c>
      <c r="C4732" s="1" t="n">
        <v>45971</v>
      </c>
      <c r="D4732" t="inlineStr">
        <is>
          <t>VÄSTERBOTTENS LÄN</t>
        </is>
      </c>
      <c r="E4732" t="inlineStr">
        <is>
          <t>LYCKSELE</t>
        </is>
      </c>
      <c r="F4732" t="inlineStr">
        <is>
          <t>SCA</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5898-2022</t>
        </is>
      </c>
      <c r="B4733" s="1" t="n">
        <v>44596</v>
      </c>
      <c r="C4733" s="1" t="n">
        <v>45971</v>
      </c>
      <c r="D4733" t="inlineStr">
        <is>
          <t>VÄSTERBOTTENS LÄN</t>
        </is>
      </c>
      <c r="E4733" t="inlineStr">
        <is>
          <t>STORUMAN</t>
        </is>
      </c>
      <c r="G4733" t="n">
        <v>20.2</v>
      </c>
      <c r="H4733" t="n">
        <v>0</v>
      </c>
      <c r="I4733" t="n">
        <v>0</v>
      </c>
      <c r="J4733" t="n">
        <v>0</v>
      </c>
      <c r="K4733" t="n">
        <v>0</v>
      </c>
      <c r="L4733" t="n">
        <v>0</v>
      </c>
      <c r="M4733" t="n">
        <v>0</v>
      </c>
      <c r="N4733" t="n">
        <v>0</v>
      </c>
      <c r="O4733" t="n">
        <v>0</v>
      </c>
      <c r="P4733" t="n">
        <v>0</v>
      </c>
      <c r="Q4733" t="n">
        <v>0</v>
      </c>
      <c r="R4733" s="2" t="inlineStr"/>
    </row>
    <row r="4734" ht="15" customHeight="1">
      <c r="A4734" t="inlineStr">
        <is>
          <t>A 58787-2024</t>
        </is>
      </c>
      <c r="B4734" s="1" t="n">
        <v>45635.90383101852</v>
      </c>
      <c r="C4734" s="1" t="n">
        <v>45971</v>
      </c>
      <c r="D4734" t="inlineStr">
        <is>
          <t>VÄSTERBOTTENS LÄN</t>
        </is>
      </c>
      <c r="E4734" t="inlineStr">
        <is>
          <t>STORUMAN</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52998-2024</t>
        </is>
      </c>
      <c r="B4735" s="1" t="n">
        <v>45611.38663194444</v>
      </c>
      <c r="C4735" s="1" t="n">
        <v>45971</v>
      </c>
      <c r="D4735" t="inlineStr">
        <is>
          <t>VÄSTERBOTTENS LÄN</t>
        </is>
      </c>
      <c r="E4735" t="inlineStr">
        <is>
          <t>NORSJÖ</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7263-2022</t>
        </is>
      </c>
      <c r="B4736" s="1" t="n">
        <v>44606.44032407407</v>
      </c>
      <c r="C4736" s="1" t="n">
        <v>45971</v>
      </c>
      <c r="D4736" t="inlineStr">
        <is>
          <t>VÄSTERBOTTENS LÄN</t>
        </is>
      </c>
      <c r="E4736" t="inlineStr">
        <is>
          <t>UMEÅ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39750-2023</t>
        </is>
      </c>
      <c r="B4737" s="1" t="n">
        <v>45166</v>
      </c>
      <c r="C4737" s="1" t="n">
        <v>45971</v>
      </c>
      <c r="D4737" t="inlineStr">
        <is>
          <t>VÄSTERBOTTENS LÄN</t>
        </is>
      </c>
      <c r="E4737" t="inlineStr">
        <is>
          <t>ROBERTSFORS</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53235-2024</t>
        </is>
      </c>
      <c r="B4738" s="1" t="n">
        <v>45613.77569444444</v>
      </c>
      <c r="C4738" s="1" t="n">
        <v>45971</v>
      </c>
      <c r="D4738" t="inlineStr">
        <is>
          <t>VÄSTERBOTTENS LÄN</t>
        </is>
      </c>
      <c r="E4738" t="inlineStr">
        <is>
          <t>LYCKSELE</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54239-2022</t>
        </is>
      </c>
      <c r="B4739" s="1" t="n">
        <v>44881</v>
      </c>
      <c r="C4739" s="1" t="n">
        <v>45971</v>
      </c>
      <c r="D4739" t="inlineStr">
        <is>
          <t>VÄSTERBOTTENS LÄN</t>
        </is>
      </c>
      <c r="E4739" t="inlineStr">
        <is>
          <t>MALÅ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56401-2021</t>
        </is>
      </c>
      <c r="B4740" s="1" t="n">
        <v>44477</v>
      </c>
      <c r="C4740" s="1" t="n">
        <v>45971</v>
      </c>
      <c r="D4740" t="inlineStr">
        <is>
          <t>VÄSTERBOTTENS LÄN</t>
        </is>
      </c>
      <c r="E4740" t="inlineStr">
        <is>
          <t>LYCKSELE</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47312-2023</t>
        </is>
      </c>
      <c r="B4741" s="1" t="n">
        <v>45202</v>
      </c>
      <c r="C4741" s="1" t="n">
        <v>45971</v>
      </c>
      <c r="D4741" t="inlineStr">
        <is>
          <t>VÄSTERBOTTENS LÄN</t>
        </is>
      </c>
      <c r="E4741" t="inlineStr">
        <is>
          <t>SKELLEFTEÅ</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22078-2023</t>
        </is>
      </c>
      <c r="B4742" s="1" t="n">
        <v>45068</v>
      </c>
      <c r="C4742" s="1" t="n">
        <v>45971</v>
      </c>
      <c r="D4742" t="inlineStr">
        <is>
          <t>VÄSTERBOTTENS LÄN</t>
        </is>
      </c>
      <c r="E4742" t="inlineStr">
        <is>
          <t>ÅSELE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8964-2024</t>
        </is>
      </c>
      <c r="B4743" s="1" t="n">
        <v>45357.47782407407</v>
      </c>
      <c r="C4743" s="1" t="n">
        <v>45971</v>
      </c>
      <c r="D4743" t="inlineStr">
        <is>
          <t>VÄSTERBOTTENS LÄN</t>
        </is>
      </c>
      <c r="E4743" t="inlineStr">
        <is>
          <t>LYCKSELE</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45389-2021</t>
        </is>
      </c>
      <c r="B4744" s="1" t="n">
        <v>44440</v>
      </c>
      <c r="C4744" s="1" t="n">
        <v>45971</v>
      </c>
      <c r="D4744" t="inlineStr">
        <is>
          <t>VÄSTERBOTTENS LÄN</t>
        </is>
      </c>
      <c r="E4744" t="inlineStr">
        <is>
          <t>SKELLEFTEÅ</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37994-2024</t>
        </is>
      </c>
      <c r="B4745" s="1" t="n">
        <v>45544</v>
      </c>
      <c r="C4745" s="1" t="n">
        <v>45971</v>
      </c>
      <c r="D4745" t="inlineStr">
        <is>
          <t>VÄSTERBOTTENS LÄN</t>
        </is>
      </c>
      <c r="E4745" t="inlineStr">
        <is>
          <t>VINDELN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48422-2023</t>
        </is>
      </c>
      <c r="B4746" s="1" t="n">
        <v>45205</v>
      </c>
      <c r="C4746" s="1" t="n">
        <v>45971</v>
      </c>
      <c r="D4746" t="inlineStr">
        <is>
          <t>VÄSTERBOTTENS LÄN</t>
        </is>
      </c>
      <c r="E4746" t="inlineStr">
        <is>
          <t>VILHELMINA</t>
        </is>
      </c>
      <c r="F4746" t="inlineStr">
        <is>
          <t>SCA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54408-2023</t>
        </is>
      </c>
      <c r="B4747" s="1" t="n">
        <v>45226</v>
      </c>
      <c r="C4747" s="1" t="n">
        <v>45971</v>
      </c>
      <c r="D4747" t="inlineStr">
        <is>
          <t>VÄSTERBOTTENS LÄN</t>
        </is>
      </c>
      <c r="E4747" t="inlineStr">
        <is>
          <t>SORSELE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54411-2023</t>
        </is>
      </c>
      <c r="B4748" s="1" t="n">
        <v>45226</v>
      </c>
      <c r="C4748" s="1" t="n">
        <v>45971</v>
      </c>
      <c r="D4748" t="inlineStr">
        <is>
          <t>VÄSTERBOTTENS LÄN</t>
        </is>
      </c>
      <c r="E4748" t="inlineStr">
        <is>
          <t>SKELLEFTEÅ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39435-2025</t>
        </is>
      </c>
      <c r="B4749" s="1" t="n">
        <v>45889.67834490741</v>
      </c>
      <c r="C4749" s="1" t="n">
        <v>45971</v>
      </c>
      <c r="D4749" t="inlineStr">
        <is>
          <t>VÄSTERBOTTENS LÄN</t>
        </is>
      </c>
      <c r="E4749" t="inlineStr">
        <is>
          <t>LYCKSELE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48483-2023</t>
        </is>
      </c>
      <c r="B4750" s="1" t="n">
        <v>45206.95854166667</v>
      </c>
      <c r="C4750" s="1" t="n">
        <v>45971</v>
      </c>
      <c r="D4750" t="inlineStr">
        <is>
          <t>VÄSTERBOTTENS LÄN</t>
        </is>
      </c>
      <c r="E4750" t="inlineStr">
        <is>
          <t>VILHELMINA</t>
        </is>
      </c>
      <c r="F4750" t="inlineStr">
        <is>
          <t>SCA</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69516-2021</t>
        </is>
      </c>
      <c r="B4751" s="1" t="n">
        <v>44531</v>
      </c>
      <c r="C4751" s="1" t="n">
        <v>45971</v>
      </c>
      <c r="D4751" t="inlineStr">
        <is>
          <t>VÄSTERBOTTENS LÄN</t>
        </is>
      </c>
      <c r="E4751" t="inlineStr">
        <is>
          <t>NORDMALING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48505-2023</t>
        </is>
      </c>
      <c r="B4752" s="1" t="n">
        <v>45207.93900462963</v>
      </c>
      <c r="C4752" s="1" t="n">
        <v>45971</v>
      </c>
      <c r="D4752" t="inlineStr">
        <is>
          <t>VÄSTERBOTTENS LÄN</t>
        </is>
      </c>
      <c r="E4752" t="inlineStr">
        <is>
          <t>VILHELMINA</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69574-2020</t>
        </is>
      </c>
      <c r="B4753" s="1" t="n">
        <v>44194</v>
      </c>
      <c r="C4753" s="1" t="n">
        <v>45971</v>
      </c>
      <c r="D4753" t="inlineStr">
        <is>
          <t>VÄSTERBOTTENS LÄN</t>
        </is>
      </c>
      <c r="E4753" t="inlineStr">
        <is>
          <t>ROBERTSFORS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6120-2025</t>
        </is>
      </c>
      <c r="B4754" s="1" t="n">
        <v>45698.34443287037</v>
      </c>
      <c r="C4754" s="1" t="n">
        <v>45971</v>
      </c>
      <c r="D4754" t="inlineStr">
        <is>
          <t>VÄSTERBOTTENS LÄN</t>
        </is>
      </c>
      <c r="E4754" t="inlineStr">
        <is>
          <t>UMEÅ</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47616-2023</t>
        </is>
      </c>
      <c r="B4755" s="1" t="n">
        <v>45198</v>
      </c>
      <c r="C4755" s="1" t="n">
        <v>45971</v>
      </c>
      <c r="D4755" t="inlineStr">
        <is>
          <t>VÄSTERBOTTENS LÄN</t>
        </is>
      </c>
      <c r="E4755" t="inlineStr">
        <is>
          <t>ÅSELE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12002-2022</t>
        </is>
      </c>
      <c r="B4756" s="1" t="n">
        <v>44635</v>
      </c>
      <c r="C4756" s="1" t="n">
        <v>45971</v>
      </c>
      <c r="D4756" t="inlineStr">
        <is>
          <t>VÄSTERBOTTENS LÄN</t>
        </is>
      </c>
      <c r="E4756" t="inlineStr">
        <is>
          <t>STORUMAN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12009-2022</t>
        </is>
      </c>
      <c r="B4757" s="1" t="n">
        <v>44635</v>
      </c>
      <c r="C4757" s="1" t="n">
        <v>45971</v>
      </c>
      <c r="D4757" t="inlineStr">
        <is>
          <t>VÄSTERBOTTENS LÄN</t>
        </is>
      </c>
      <c r="E4757" t="inlineStr">
        <is>
          <t>SKELLEFTEÅ</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28610-2021</t>
        </is>
      </c>
      <c r="B4758" s="1" t="n">
        <v>44356.93482638889</v>
      </c>
      <c r="C4758" s="1" t="n">
        <v>45971</v>
      </c>
      <c r="D4758" t="inlineStr">
        <is>
          <t>VÄSTERBOTTENS LÄN</t>
        </is>
      </c>
      <c r="E4758" t="inlineStr">
        <is>
          <t>ÅSELE</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50464-2023</t>
        </is>
      </c>
      <c r="B4759" s="1" t="n">
        <v>45216.84891203704</v>
      </c>
      <c r="C4759" s="1" t="n">
        <v>45971</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48299-2024</t>
        </is>
      </c>
      <c r="B4760" s="1" t="n">
        <v>45590</v>
      </c>
      <c r="C4760" s="1" t="n">
        <v>45971</v>
      </c>
      <c r="D4760" t="inlineStr">
        <is>
          <t>VÄSTERBOTTENS LÄN</t>
        </is>
      </c>
      <c r="E4760" t="inlineStr">
        <is>
          <t>ÅSELE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50462-2023</t>
        </is>
      </c>
      <c r="B4761" s="1" t="n">
        <v>45216.84662037037</v>
      </c>
      <c r="C4761" s="1" t="n">
        <v>45971</v>
      </c>
      <c r="D4761" t="inlineStr">
        <is>
          <t>VÄSTERBOTTENS LÄN</t>
        </is>
      </c>
      <c r="E4761" t="inlineStr">
        <is>
          <t>SKELLEFTEÅ</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58356-2024</t>
        </is>
      </c>
      <c r="B4762" s="1" t="n">
        <v>45632.65679398148</v>
      </c>
      <c r="C4762" s="1" t="n">
        <v>45971</v>
      </c>
      <c r="D4762" t="inlineStr">
        <is>
          <t>VÄSTERBOTTENS LÄN</t>
        </is>
      </c>
      <c r="E4762" t="inlineStr">
        <is>
          <t>LYCKSELE</t>
        </is>
      </c>
      <c r="F4762" t="inlineStr">
        <is>
          <t>SCA</t>
        </is>
      </c>
      <c r="G4762" t="n">
        <v>10.4</v>
      </c>
      <c r="H4762" t="n">
        <v>0</v>
      </c>
      <c r="I4762" t="n">
        <v>0</v>
      </c>
      <c r="J4762" t="n">
        <v>0</v>
      </c>
      <c r="K4762" t="n">
        <v>0</v>
      </c>
      <c r="L4762" t="n">
        <v>0</v>
      </c>
      <c r="M4762" t="n">
        <v>0</v>
      </c>
      <c r="N4762" t="n">
        <v>0</v>
      </c>
      <c r="O4762" t="n">
        <v>0</v>
      </c>
      <c r="P4762" t="n">
        <v>0</v>
      </c>
      <c r="Q4762" t="n">
        <v>0</v>
      </c>
      <c r="R4762" s="2" t="inlineStr"/>
    </row>
    <row r="4763" ht="15" customHeight="1">
      <c r="A4763" t="inlineStr">
        <is>
          <t>A 50489-2023</t>
        </is>
      </c>
      <c r="B4763" s="1" t="n">
        <v>45216.95556712963</v>
      </c>
      <c r="C4763" s="1" t="n">
        <v>45971</v>
      </c>
      <c r="D4763" t="inlineStr">
        <is>
          <t>VÄSTERBOTTENS LÄN</t>
        </is>
      </c>
      <c r="E4763" t="inlineStr">
        <is>
          <t>VILHELMINA</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50506-2023</t>
        </is>
      </c>
      <c r="B4764" s="1" t="n">
        <v>45216.9580787037</v>
      </c>
      <c r="C4764" s="1" t="n">
        <v>45971</v>
      </c>
      <c r="D4764" t="inlineStr">
        <is>
          <t>VÄSTERBOTTENS LÄN</t>
        </is>
      </c>
      <c r="E4764" t="inlineStr">
        <is>
          <t>VILHELMINA</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43367-2022</t>
        </is>
      </c>
      <c r="B4765" s="1" t="n">
        <v>44834.64829861111</v>
      </c>
      <c r="C4765" s="1" t="n">
        <v>45971</v>
      </c>
      <c r="D4765" t="inlineStr">
        <is>
          <t>VÄSTERBOTTENS LÄN</t>
        </is>
      </c>
      <c r="E4765" t="inlineStr">
        <is>
          <t>NORDMALING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36779-2024</t>
        </is>
      </c>
      <c r="B4766" s="1" t="n">
        <v>45538.41059027778</v>
      </c>
      <c r="C4766" s="1" t="n">
        <v>45971</v>
      </c>
      <c r="D4766" t="inlineStr">
        <is>
          <t>VÄSTERBOTTENS LÄN</t>
        </is>
      </c>
      <c r="E4766" t="inlineStr">
        <is>
          <t>SKELLEFTEÅ</t>
        </is>
      </c>
      <c r="F4766" t="inlineStr">
        <is>
          <t>Holmen skog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562-2025</t>
        </is>
      </c>
      <c r="B4767" s="1" t="n">
        <v>45660</v>
      </c>
      <c r="C4767" s="1" t="n">
        <v>45971</v>
      </c>
      <c r="D4767" t="inlineStr">
        <is>
          <t>VÄSTERBOTTENS LÄN</t>
        </is>
      </c>
      <c r="E4767" t="inlineStr">
        <is>
          <t>SORSELE</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19786-2025</t>
        </is>
      </c>
      <c r="B4768" s="1" t="n">
        <v>45771.44086805556</v>
      </c>
      <c r="C4768" s="1" t="n">
        <v>45971</v>
      </c>
      <c r="D4768" t="inlineStr">
        <is>
          <t>VÄSTERBOTTENS LÄN</t>
        </is>
      </c>
      <c r="E4768" t="inlineStr">
        <is>
          <t>VÄNNÄS</t>
        </is>
      </c>
      <c r="F4768" t="inlineStr">
        <is>
          <t>Holmen skog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60896-2023</t>
        </is>
      </c>
      <c r="B4769" s="1" t="n">
        <v>45261</v>
      </c>
      <c r="C4769" s="1" t="n">
        <v>45971</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60898-2023</t>
        </is>
      </c>
      <c r="B4770" s="1" t="n">
        <v>45261.35170138889</v>
      </c>
      <c r="C4770" s="1" t="n">
        <v>45971</v>
      </c>
      <c r="D4770" t="inlineStr">
        <is>
          <t>VÄSTERBOTTENS LÄN</t>
        </is>
      </c>
      <c r="E4770" t="inlineStr">
        <is>
          <t>SKELLEFTEÅ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57092-2024</t>
        </is>
      </c>
      <c r="B4771" s="1" t="n">
        <v>45629.35725694444</v>
      </c>
      <c r="C4771" s="1" t="n">
        <v>45971</v>
      </c>
      <c r="D4771" t="inlineStr">
        <is>
          <t>VÄSTERBOTTENS LÄN</t>
        </is>
      </c>
      <c r="E4771" t="inlineStr">
        <is>
          <t>DOROTEA</t>
        </is>
      </c>
      <c r="F4771" t="inlineStr">
        <is>
          <t>SCA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60811-2022</t>
        </is>
      </c>
      <c r="B4772" s="1" t="n">
        <v>44914.46180555555</v>
      </c>
      <c r="C4772" s="1" t="n">
        <v>45971</v>
      </c>
      <c r="D4772" t="inlineStr">
        <is>
          <t>VÄSTERBOTTENS LÄN</t>
        </is>
      </c>
      <c r="E4772" t="inlineStr">
        <is>
          <t>UMEÅ</t>
        </is>
      </c>
      <c r="F4772" t="inlineStr">
        <is>
          <t>Holmen skog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1920-2021</t>
        </is>
      </c>
      <c r="B4773" s="1" t="n">
        <v>44210</v>
      </c>
      <c r="C4773" s="1" t="n">
        <v>45971</v>
      </c>
      <c r="D4773" t="inlineStr">
        <is>
          <t>VÄSTERBOTTENS LÄN</t>
        </is>
      </c>
      <c r="E4773" t="inlineStr">
        <is>
          <t>VÄNNÄS</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15825-2023</t>
        </is>
      </c>
      <c r="B4774" s="1" t="n">
        <v>45021.94521990741</v>
      </c>
      <c r="C4774" s="1" t="n">
        <v>45971</v>
      </c>
      <c r="D4774" t="inlineStr">
        <is>
          <t>VÄSTERBOTTENS LÄN</t>
        </is>
      </c>
      <c r="E4774" t="inlineStr">
        <is>
          <t>SKELLEFTEÅ</t>
        </is>
      </c>
      <c r="F4774" t="inlineStr">
        <is>
          <t>SCA</t>
        </is>
      </c>
      <c r="G4774" t="n">
        <v>16.8</v>
      </c>
      <c r="H4774" t="n">
        <v>0</v>
      </c>
      <c r="I4774" t="n">
        <v>0</v>
      </c>
      <c r="J4774" t="n">
        <v>0</v>
      </c>
      <c r="K4774" t="n">
        <v>0</v>
      </c>
      <c r="L4774" t="n">
        <v>0</v>
      </c>
      <c r="M4774" t="n">
        <v>0</v>
      </c>
      <c r="N4774" t="n">
        <v>0</v>
      </c>
      <c r="O4774" t="n">
        <v>0</v>
      </c>
      <c r="P4774" t="n">
        <v>0</v>
      </c>
      <c r="Q4774" t="n">
        <v>0</v>
      </c>
      <c r="R4774" s="2" t="inlineStr"/>
    </row>
    <row r="4775" ht="15" customHeight="1">
      <c r="A4775" t="inlineStr">
        <is>
          <t>A 53323-2021</t>
        </is>
      </c>
      <c r="B4775" s="1" t="n">
        <v>44468.56100694444</v>
      </c>
      <c r="C4775" s="1" t="n">
        <v>45971</v>
      </c>
      <c r="D4775" t="inlineStr">
        <is>
          <t>VÄSTERBOTTENS LÄN</t>
        </is>
      </c>
      <c r="E4775" t="inlineStr">
        <is>
          <t>LYCKSELE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7916-2025</t>
        </is>
      </c>
      <c r="B4776" s="1" t="n">
        <v>45707.35113425926</v>
      </c>
      <c r="C4776" s="1" t="n">
        <v>45971</v>
      </c>
      <c r="D4776" t="inlineStr">
        <is>
          <t>VÄSTERBOTTENS LÄN</t>
        </is>
      </c>
      <c r="E4776" t="inlineStr">
        <is>
          <t>SKELLEFTEÅ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31868-2024</t>
        </is>
      </c>
      <c r="B4777" s="1" t="n">
        <v>45509</v>
      </c>
      <c r="C4777" s="1" t="n">
        <v>45971</v>
      </c>
      <c r="D4777" t="inlineStr">
        <is>
          <t>VÄSTERBOTTENS LÄN</t>
        </is>
      </c>
      <c r="E4777" t="inlineStr">
        <is>
          <t>VILHELMINA</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10582-2023</t>
        </is>
      </c>
      <c r="B4778" s="1" t="n">
        <v>44984</v>
      </c>
      <c r="C4778" s="1" t="n">
        <v>45971</v>
      </c>
      <c r="D4778" t="inlineStr">
        <is>
          <t>VÄSTERBOTTENS LÄN</t>
        </is>
      </c>
      <c r="E4778" t="inlineStr">
        <is>
          <t>ÅSELE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56646-2022</t>
        </is>
      </c>
      <c r="B4779" s="1" t="n">
        <v>44888</v>
      </c>
      <c r="C4779" s="1" t="n">
        <v>45971</v>
      </c>
      <c r="D4779" t="inlineStr">
        <is>
          <t>VÄSTERBOTTENS LÄN</t>
        </is>
      </c>
      <c r="E4779" t="inlineStr">
        <is>
          <t>ÅSELE</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30421-2024</t>
        </is>
      </c>
      <c r="B4780" s="1" t="n">
        <v>45491.66295138889</v>
      </c>
      <c r="C4780" s="1" t="n">
        <v>45971</v>
      </c>
      <c r="D4780" t="inlineStr">
        <is>
          <t>VÄSTERBOTTENS LÄN</t>
        </is>
      </c>
      <c r="E4780" t="inlineStr">
        <is>
          <t>LYCKSELE</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30438-2024</t>
        </is>
      </c>
      <c r="B4781" s="1" t="n">
        <v>45491</v>
      </c>
      <c r="C4781" s="1" t="n">
        <v>45971</v>
      </c>
      <c r="D4781" t="inlineStr">
        <is>
          <t>VÄSTERBOTTENS LÄN</t>
        </is>
      </c>
      <c r="E4781" t="inlineStr">
        <is>
          <t>NORDMALING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52276-2023</t>
        </is>
      </c>
      <c r="B4782" s="1" t="n">
        <v>45217</v>
      </c>
      <c r="C4782" s="1" t="n">
        <v>45971</v>
      </c>
      <c r="D4782" t="inlineStr">
        <is>
          <t>VÄSTERBOTTENS LÄN</t>
        </is>
      </c>
      <c r="E4782" t="inlineStr">
        <is>
          <t>DOROTEA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367-2024</t>
        </is>
      </c>
      <c r="B4783" s="1" t="n">
        <v>45295</v>
      </c>
      <c r="C4783" s="1" t="n">
        <v>45971</v>
      </c>
      <c r="D4783" t="inlineStr">
        <is>
          <t>VÄSTERBOTTENS LÄN</t>
        </is>
      </c>
      <c r="E4783" t="inlineStr">
        <is>
          <t>VILHELMINA</t>
        </is>
      </c>
      <c r="F4783" t="inlineStr">
        <is>
          <t>SCA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56627-2021</t>
        </is>
      </c>
      <c r="B4784" s="1" t="n">
        <v>44480.84313657408</v>
      </c>
      <c r="C4784" s="1" t="n">
        <v>45971</v>
      </c>
      <c r="D4784" t="inlineStr">
        <is>
          <t>VÄSTERBOTTENS LÄN</t>
        </is>
      </c>
      <c r="E4784" t="inlineStr">
        <is>
          <t>SKELLEFTEÅ</t>
        </is>
      </c>
      <c r="F4784" t="inlineStr">
        <is>
          <t>Sveaskog</t>
        </is>
      </c>
      <c r="G4784" t="n">
        <v>20.1</v>
      </c>
      <c r="H4784" t="n">
        <v>0</v>
      </c>
      <c r="I4784" t="n">
        <v>0</v>
      </c>
      <c r="J4784" t="n">
        <v>0</v>
      </c>
      <c r="K4784" t="n">
        <v>0</v>
      </c>
      <c r="L4784" t="n">
        <v>0</v>
      </c>
      <c r="M4784" t="n">
        <v>0</v>
      </c>
      <c r="N4784" t="n">
        <v>0</v>
      </c>
      <c r="O4784" t="n">
        <v>0</v>
      </c>
      <c r="P4784" t="n">
        <v>0</v>
      </c>
      <c r="Q4784" t="n">
        <v>0</v>
      </c>
      <c r="R4784" s="2" t="inlineStr"/>
    </row>
    <row r="4785" ht="15" customHeight="1">
      <c r="A4785" t="inlineStr">
        <is>
          <t>A 28443-2023</t>
        </is>
      </c>
      <c r="B4785" s="1" t="n">
        <v>45102</v>
      </c>
      <c r="C4785" s="1" t="n">
        <v>45971</v>
      </c>
      <c r="D4785" t="inlineStr">
        <is>
          <t>VÄSTERBOTTENS LÄN</t>
        </is>
      </c>
      <c r="E4785" t="inlineStr">
        <is>
          <t>NORDMALING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426-2022</t>
        </is>
      </c>
      <c r="B4786" s="1" t="n">
        <v>44565</v>
      </c>
      <c r="C4786" s="1" t="n">
        <v>45971</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62483-2022</t>
        </is>
      </c>
      <c r="B4787" s="1" t="n">
        <v>44924.56034722222</v>
      </c>
      <c r="C4787" s="1" t="n">
        <v>45971</v>
      </c>
      <c r="D4787" t="inlineStr">
        <is>
          <t>VÄSTERBOTTENS LÄN</t>
        </is>
      </c>
      <c r="E4787" t="inlineStr">
        <is>
          <t>SKELLEFTEÅ</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58604-2022</t>
        </is>
      </c>
      <c r="B4788" s="1" t="n">
        <v>44894</v>
      </c>
      <c r="C4788" s="1" t="n">
        <v>45971</v>
      </c>
      <c r="D4788" t="inlineStr">
        <is>
          <t>VÄSTERBOTTENS LÄN</t>
        </is>
      </c>
      <c r="E4788" t="inlineStr">
        <is>
          <t>ROBERTSFORS</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58605-2022</t>
        </is>
      </c>
      <c r="B4789" s="1" t="n">
        <v>44902.57146990741</v>
      </c>
      <c r="C4789" s="1" t="n">
        <v>45971</v>
      </c>
      <c r="D4789" t="inlineStr">
        <is>
          <t>VÄSTERBOTTENS LÄN</t>
        </is>
      </c>
      <c r="E4789" t="inlineStr">
        <is>
          <t>UMEÅ</t>
        </is>
      </c>
      <c r="F4789" t="inlineStr">
        <is>
          <t>Holmen skog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60873-2022</t>
        </is>
      </c>
      <c r="B4790" s="1" t="n">
        <v>44908</v>
      </c>
      <c r="C4790" s="1" t="n">
        <v>45971</v>
      </c>
      <c r="D4790" t="inlineStr">
        <is>
          <t>VÄSTERBOTTENS LÄN</t>
        </is>
      </c>
      <c r="E4790" t="inlineStr">
        <is>
          <t>ÅSELE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12137-2023</t>
        </is>
      </c>
      <c r="B4791" s="1" t="n">
        <v>44995</v>
      </c>
      <c r="C4791" s="1" t="n">
        <v>45971</v>
      </c>
      <c r="D4791" t="inlineStr">
        <is>
          <t>VÄSTERBOTTENS LÄN</t>
        </is>
      </c>
      <c r="E4791" t="inlineStr">
        <is>
          <t>SKELLEFTEÅ</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58700-2020</t>
        </is>
      </c>
      <c r="B4792" s="1" t="n">
        <v>44146</v>
      </c>
      <c r="C4792" s="1" t="n">
        <v>45971</v>
      </c>
      <c r="D4792" t="inlineStr">
        <is>
          <t>VÄSTERBOTTENS LÄN</t>
        </is>
      </c>
      <c r="E4792" t="inlineStr">
        <is>
          <t>VINDELN</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15979-2024</t>
        </is>
      </c>
      <c r="B4793" s="1" t="n">
        <v>45405</v>
      </c>
      <c r="C4793" s="1" t="n">
        <v>45971</v>
      </c>
      <c r="D4793" t="inlineStr">
        <is>
          <t>VÄSTERBOTTENS LÄN</t>
        </is>
      </c>
      <c r="E4793" t="inlineStr">
        <is>
          <t>UMEÅ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37429-2022</t>
        </is>
      </c>
      <c r="B4794" s="1" t="n">
        <v>44809</v>
      </c>
      <c r="C4794" s="1" t="n">
        <v>45971</v>
      </c>
      <c r="D4794" t="inlineStr">
        <is>
          <t>VÄSTERBOTTENS LÄN</t>
        </is>
      </c>
      <c r="E4794" t="inlineStr">
        <is>
          <t>STORUMAN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57799-2023</t>
        </is>
      </c>
      <c r="B4795" s="1" t="n">
        <v>45246.96910879629</v>
      </c>
      <c r="C4795" s="1" t="n">
        <v>45971</v>
      </c>
      <c r="D4795" t="inlineStr">
        <is>
          <t>VÄSTERBOTTENS LÄN</t>
        </is>
      </c>
      <c r="E4795" t="inlineStr">
        <is>
          <t>BJURHOLM</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57800-2023</t>
        </is>
      </c>
      <c r="B4796" s="1" t="n">
        <v>45246.96921296296</v>
      </c>
      <c r="C4796" s="1" t="n">
        <v>45971</v>
      </c>
      <c r="D4796" t="inlineStr">
        <is>
          <t>VÄSTERBOTTENS LÄN</t>
        </is>
      </c>
      <c r="E4796" t="inlineStr">
        <is>
          <t>ÅSELE</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22509-2023</t>
        </is>
      </c>
      <c r="B4797" s="1" t="n">
        <v>45069</v>
      </c>
      <c r="C4797" s="1" t="n">
        <v>45971</v>
      </c>
      <c r="D4797" t="inlineStr">
        <is>
          <t>VÄSTERBOTTENS LÄN</t>
        </is>
      </c>
      <c r="E4797" t="inlineStr">
        <is>
          <t>VINDELN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402-2023</t>
        </is>
      </c>
      <c r="B4798" s="1" t="n">
        <v>44923</v>
      </c>
      <c r="C4798" s="1" t="n">
        <v>45971</v>
      </c>
      <c r="D4798" t="inlineStr">
        <is>
          <t>VÄSTERBOTTENS LÄN</t>
        </is>
      </c>
      <c r="E4798" t="inlineStr">
        <is>
          <t>VILHELMINA</t>
        </is>
      </c>
      <c r="G4798" t="n">
        <v>14.7</v>
      </c>
      <c r="H4798" t="n">
        <v>0</v>
      </c>
      <c r="I4798" t="n">
        <v>0</v>
      </c>
      <c r="J4798" t="n">
        <v>0</v>
      </c>
      <c r="K4798" t="n">
        <v>0</v>
      </c>
      <c r="L4798" t="n">
        <v>0</v>
      </c>
      <c r="M4798" t="n">
        <v>0</v>
      </c>
      <c r="N4798" t="n">
        <v>0</v>
      </c>
      <c r="O4798" t="n">
        <v>0</v>
      </c>
      <c r="P4798" t="n">
        <v>0</v>
      </c>
      <c r="Q4798" t="n">
        <v>0</v>
      </c>
      <c r="R4798" s="2" t="inlineStr"/>
    </row>
    <row r="4799" ht="15" customHeight="1">
      <c r="A4799" t="inlineStr">
        <is>
          <t>A 60624-2024</t>
        </is>
      </c>
      <c r="B4799" s="1" t="n">
        <v>45642</v>
      </c>
      <c r="C4799" s="1" t="n">
        <v>45971</v>
      </c>
      <c r="D4799" t="inlineStr">
        <is>
          <t>VÄSTERBOTTENS LÄN</t>
        </is>
      </c>
      <c r="E4799" t="inlineStr">
        <is>
          <t>MALÅ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60646-2024</t>
        </is>
      </c>
      <c r="B4800" s="1" t="n">
        <v>45644.4325462963</v>
      </c>
      <c r="C4800" s="1" t="n">
        <v>45971</v>
      </c>
      <c r="D4800" t="inlineStr">
        <is>
          <t>VÄSTERBOTTENS LÄN</t>
        </is>
      </c>
      <c r="E4800" t="inlineStr">
        <is>
          <t>VÄNNÄS</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39458-2025</t>
        </is>
      </c>
      <c r="B4801" s="1" t="n">
        <v>45889.82722222222</v>
      </c>
      <c r="C4801" s="1" t="n">
        <v>45971</v>
      </c>
      <c r="D4801" t="inlineStr">
        <is>
          <t>VÄSTERBOTTENS LÄN</t>
        </is>
      </c>
      <c r="E4801" t="inlineStr">
        <is>
          <t>LYCKSELE</t>
        </is>
      </c>
      <c r="F4801" t="inlineStr">
        <is>
          <t>Sveaskog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37760-2024</t>
        </is>
      </c>
      <c r="B4802" s="1" t="n">
        <v>45541.784375</v>
      </c>
      <c r="C4802" s="1" t="n">
        <v>45971</v>
      </c>
      <c r="D4802" t="inlineStr">
        <is>
          <t>VÄSTERBOTTENS LÄN</t>
        </is>
      </c>
      <c r="E4802" t="inlineStr">
        <is>
          <t>SKELLEFTEÅ</t>
        </is>
      </c>
      <c r="F4802" t="inlineStr">
        <is>
          <t>Sveaskog</t>
        </is>
      </c>
      <c r="G4802" t="n">
        <v>27.6</v>
      </c>
      <c r="H4802" t="n">
        <v>0</v>
      </c>
      <c r="I4802" t="n">
        <v>0</v>
      </c>
      <c r="J4802" t="n">
        <v>0</v>
      </c>
      <c r="K4802" t="n">
        <v>0</v>
      </c>
      <c r="L4802" t="n">
        <v>0</v>
      </c>
      <c r="M4802" t="n">
        <v>0</v>
      </c>
      <c r="N4802" t="n">
        <v>0</v>
      </c>
      <c r="O4802" t="n">
        <v>0</v>
      </c>
      <c r="P4802" t="n">
        <v>0</v>
      </c>
      <c r="Q4802" t="n">
        <v>0</v>
      </c>
      <c r="R4802" s="2" t="inlineStr"/>
    </row>
    <row r="4803" ht="15" customHeight="1">
      <c r="A4803" t="inlineStr">
        <is>
          <t>A 59287-2022</t>
        </is>
      </c>
      <c r="B4803" s="1" t="n">
        <v>44904.60694444444</v>
      </c>
      <c r="C4803" s="1" t="n">
        <v>45971</v>
      </c>
      <c r="D4803" t="inlineStr">
        <is>
          <t>VÄSTERBOTTENS LÄN</t>
        </is>
      </c>
      <c r="E4803" t="inlineStr">
        <is>
          <t>LYCKSELE</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57431-2022</t>
        </is>
      </c>
      <c r="B4804" s="1" t="n">
        <v>44889</v>
      </c>
      <c r="C4804" s="1" t="n">
        <v>45971</v>
      </c>
      <c r="D4804" t="inlineStr">
        <is>
          <t>VÄSTERBOTTENS LÄN</t>
        </is>
      </c>
      <c r="E4804" t="inlineStr">
        <is>
          <t>DOROTEA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38434-2021</t>
        </is>
      </c>
      <c r="B4805" s="1" t="n">
        <v>44406</v>
      </c>
      <c r="C4805" s="1" t="n">
        <v>45971</v>
      </c>
      <c r="D4805" t="inlineStr">
        <is>
          <t>VÄSTERBOTTENS LÄN</t>
        </is>
      </c>
      <c r="E4805" t="inlineStr">
        <is>
          <t>UMEÅ</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58376-2022</t>
        </is>
      </c>
      <c r="B4806" s="1" t="n">
        <v>44901</v>
      </c>
      <c r="C4806" s="1" t="n">
        <v>45971</v>
      </c>
      <c r="D4806" t="inlineStr">
        <is>
          <t>VÄSTERBOTTENS LÄN</t>
        </is>
      </c>
      <c r="E4806" t="inlineStr">
        <is>
          <t>SKELLEFTEÅ</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58426-2022</t>
        </is>
      </c>
      <c r="B4807" s="1" t="n">
        <v>44901</v>
      </c>
      <c r="C4807" s="1" t="n">
        <v>45971</v>
      </c>
      <c r="D4807" t="inlineStr">
        <is>
          <t>VÄSTERBOTTENS LÄN</t>
        </is>
      </c>
      <c r="E4807" t="inlineStr">
        <is>
          <t>ROBERTSFORS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30901-2024</t>
        </is>
      </c>
      <c r="B4808" s="1" t="n">
        <v>45498</v>
      </c>
      <c r="C4808" s="1" t="n">
        <v>45971</v>
      </c>
      <c r="D4808" t="inlineStr">
        <is>
          <t>VÄSTERBOTTENS LÄN</t>
        </is>
      </c>
      <c r="E4808" t="inlineStr">
        <is>
          <t>SKELLEFTEÅ</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8937-2025</t>
        </is>
      </c>
      <c r="B4809" s="1" t="n">
        <v>45713.44841435185</v>
      </c>
      <c r="C4809" s="1" t="n">
        <v>45971</v>
      </c>
      <c r="D4809" t="inlineStr">
        <is>
          <t>VÄSTERBOTTENS LÄN</t>
        </is>
      </c>
      <c r="E4809" t="inlineStr">
        <is>
          <t>VÄNNÄS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8938-2025</t>
        </is>
      </c>
      <c r="B4810" s="1" t="n">
        <v>45713.44842592593</v>
      </c>
      <c r="C4810" s="1" t="n">
        <v>45971</v>
      </c>
      <c r="D4810" t="inlineStr">
        <is>
          <t>VÄSTERBOTTENS LÄN</t>
        </is>
      </c>
      <c r="E4810" t="inlineStr">
        <is>
          <t>VÄNNÄS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18199-2024</t>
        </is>
      </c>
      <c r="B4811" s="1" t="n">
        <v>45420</v>
      </c>
      <c r="C4811" s="1" t="n">
        <v>45971</v>
      </c>
      <c r="D4811" t="inlineStr">
        <is>
          <t>VÄSTERBOTTENS LÄN</t>
        </is>
      </c>
      <c r="E4811" t="inlineStr">
        <is>
          <t>ROBERTSFORS</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1497-2025</t>
        </is>
      </c>
      <c r="B4812" s="1" t="n">
        <v>45667</v>
      </c>
      <c r="C4812" s="1" t="n">
        <v>45971</v>
      </c>
      <c r="D4812" t="inlineStr">
        <is>
          <t>VÄSTERBOTTENS LÄN</t>
        </is>
      </c>
      <c r="E4812" t="inlineStr">
        <is>
          <t>MALÅ</t>
        </is>
      </c>
      <c r="F4812" t="inlineStr">
        <is>
          <t>Sveaskog</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60754-2020</t>
        </is>
      </c>
      <c r="B4813" s="1" t="n">
        <v>44153.93832175926</v>
      </c>
      <c r="C4813" s="1" t="n">
        <v>45971</v>
      </c>
      <c r="D4813" t="inlineStr">
        <is>
          <t>VÄSTERBOTTENS LÄN</t>
        </is>
      </c>
      <c r="E4813" t="inlineStr">
        <is>
          <t>VINDELN</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8634-2023</t>
        </is>
      </c>
      <c r="B4814" s="1" t="n">
        <v>44977.93446759259</v>
      </c>
      <c r="C4814" s="1" t="n">
        <v>45971</v>
      </c>
      <c r="D4814" t="inlineStr">
        <is>
          <t>VÄSTERBOTTENS LÄN</t>
        </is>
      </c>
      <c r="E4814" t="inlineStr">
        <is>
          <t>ÅSELE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58897-2022</t>
        </is>
      </c>
      <c r="B4815" s="1" t="n">
        <v>44895</v>
      </c>
      <c r="C4815" s="1" t="n">
        <v>45971</v>
      </c>
      <c r="D4815" t="inlineStr">
        <is>
          <t>VÄSTERBOTTENS LÄN</t>
        </is>
      </c>
      <c r="E4815" t="inlineStr">
        <is>
          <t>SKELLEFTEÅ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33460-2024</t>
        </is>
      </c>
      <c r="B4816" s="1" t="n">
        <v>45519.58368055556</v>
      </c>
      <c r="C4816" s="1" t="n">
        <v>45971</v>
      </c>
      <c r="D4816" t="inlineStr">
        <is>
          <t>VÄSTERBOTTENS LÄN</t>
        </is>
      </c>
      <c r="E4816" t="inlineStr">
        <is>
          <t>NORSJÖ</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40348-2021</t>
        </is>
      </c>
      <c r="B4817" s="1" t="n">
        <v>44419.57832175926</v>
      </c>
      <c r="C4817" s="1" t="n">
        <v>45971</v>
      </c>
      <c r="D4817" t="inlineStr">
        <is>
          <t>VÄSTERBOTTENS LÄN</t>
        </is>
      </c>
      <c r="E4817" t="inlineStr">
        <is>
          <t>UMEÅ</t>
        </is>
      </c>
      <c r="F4817" t="inlineStr">
        <is>
          <t>Kommuner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6638-2025</t>
        </is>
      </c>
      <c r="B4818" s="1" t="n">
        <v>45700</v>
      </c>
      <c r="C4818" s="1" t="n">
        <v>45971</v>
      </c>
      <c r="D4818" t="inlineStr">
        <is>
          <t>VÄSTERBOTTENS LÄN</t>
        </is>
      </c>
      <c r="E4818" t="inlineStr">
        <is>
          <t>VILHELMINA</t>
        </is>
      </c>
      <c r="G4818" t="n">
        <v>21.5</v>
      </c>
      <c r="H4818" t="n">
        <v>0</v>
      </c>
      <c r="I4818" t="n">
        <v>0</v>
      </c>
      <c r="J4818" t="n">
        <v>0</v>
      </c>
      <c r="K4818" t="n">
        <v>0</v>
      </c>
      <c r="L4818" t="n">
        <v>0</v>
      </c>
      <c r="M4818" t="n">
        <v>0</v>
      </c>
      <c r="N4818" t="n">
        <v>0</v>
      </c>
      <c r="O4818" t="n">
        <v>0</v>
      </c>
      <c r="P4818" t="n">
        <v>0</v>
      </c>
      <c r="Q4818" t="n">
        <v>0</v>
      </c>
      <c r="R4818" s="2" t="inlineStr"/>
    </row>
    <row r="4819" ht="15" customHeight="1">
      <c r="A4819" t="inlineStr">
        <is>
          <t>A 39521-2025</t>
        </is>
      </c>
      <c r="B4819" s="1" t="n">
        <v>45890.43667824074</v>
      </c>
      <c r="C4819" s="1" t="n">
        <v>45971</v>
      </c>
      <c r="D4819" t="inlineStr">
        <is>
          <t>VÄSTERBOTTENS LÄN</t>
        </is>
      </c>
      <c r="E4819" t="inlineStr">
        <is>
          <t>LYCKSELE</t>
        </is>
      </c>
      <c r="F4819" t="inlineStr">
        <is>
          <t>Sveaskog</t>
        </is>
      </c>
      <c r="G4819" t="n">
        <v>20.2</v>
      </c>
      <c r="H4819" t="n">
        <v>0</v>
      </c>
      <c r="I4819" t="n">
        <v>0</v>
      </c>
      <c r="J4819" t="n">
        <v>0</v>
      </c>
      <c r="K4819" t="n">
        <v>0</v>
      </c>
      <c r="L4819" t="n">
        <v>0</v>
      </c>
      <c r="M4819" t="n">
        <v>0</v>
      </c>
      <c r="N4819" t="n">
        <v>0</v>
      </c>
      <c r="O4819" t="n">
        <v>0</v>
      </c>
      <c r="P4819" t="n">
        <v>0</v>
      </c>
      <c r="Q4819" t="n">
        <v>0</v>
      </c>
      <c r="R4819" s="2" t="inlineStr"/>
    </row>
    <row r="4820" ht="15" customHeight="1">
      <c r="A4820" t="inlineStr">
        <is>
          <t>A 16410-2025</t>
        </is>
      </c>
      <c r="B4820" s="1" t="n">
        <v>45751.45734953704</v>
      </c>
      <c r="C4820" s="1" t="n">
        <v>45971</v>
      </c>
      <c r="D4820" t="inlineStr">
        <is>
          <t>VÄSTERBOTTENS LÄN</t>
        </is>
      </c>
      <c r="E4820" t="inlineStr">
        <is>
          <t>SKELLEFTEÅ</t>
        </is>
      </c>
      <c r="G4820" t="n">
        <v>1.1</v>
      </c>
      <c r="H4820" t="n">
        <v>0</v>
      </c>
      <c r="I4820" t="n">
        <v>0</v>
      </c>
      <c r="J4820" t="n">
        <v>0</v>
      </c>
      <c r="K4820" t="n">
        <v>0</v>
      </c>
      <c r="L4820" t="n">
        <v>0</v>
      </c>
      <c r="M4820" t="n">
        <v>0</v>
      </c>
      <c r="N4820" t="n">
        <v>0</v>
      </c>
      <c r="O4820" t="n">
        <v>0</v>
      </c>
      <c r="P4820" t="n">
        <v>0</v>
      </c>
      <c r="Q4820" t="n">
        <v>0</v>
      </c>
      <c r="R4820" s="2" t="inlineStr"/>
      <c r="U4820">
        <f>HYPERLINK("https://klasma.github.io/Logging_2482/knärot/A 16410-2025 karta knärot.png", "A 16410-2025")</f>
        <v/>
      </c>
      <c r="V4820">
        <f>HYPERLINK("https://klasma.github.io/Logging_2482/klagomål/A 16410-2025 FSC-klagomål.docx", "A 16410-2025")</f>
        <v/>
      </c>
      <c r="W4820">
        <f>HYPERLINK("https://klasma.github.io/Logging_2482/klagomålsmail/A 16410-2025 FSC-klagomål mail.docx", "A 16410-2025")</f>
        <v/>
      </c>
      <c r="X4820">
        <f>HYPERLINK("https://klasma.github.io/Logging_2482/tillsyn/A 16410-2025 tillsynsbegäran.docx", "A 16410-2025")</f>
        <v/>
      </c>
      <c r="Y4820">
        <f>HYPERLINK("https://klasma.github.io/Logging_2482/tillsynsmail/A 16410-2025 tillsynsbegäran mail.docx", "A 16410-2025")</f>
        <v/>
      </c>
    </row>
    <row r="4821" ht="15" customHeight="1">
      <c r="A4821" t="inlineStr">
        <is>
          <t>A 33530-2024</t>
        </is>
      </c>
      <c r="B4821" s="1" t="n">
        <v>45519.67211805555</v>
      </c>
      <c r="C4821" s="1" t="n">
        <v>45971</v>
      </c>
      <c r="D4821" t="inlineStr">
        <is>
          <t>VÄSTERBOTTENS LÄN</t>
        </is>
      </c>
      <c r="E4821" t="inlineStr">
        <is>
          <t>SKELLEFTEÅ</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25735-2023</t>
        </is>
      </c>
      <c r="B4822" s="1" t="n">
        <v>45090</v>
      </c>
      <c r="C4822" s="1" t="n">
        <v>45971</v>
      </c>
      <c r="D4822" t="inlineStr">
        <is>
          <t>VÄSTERBOTTENS LÄN</t>
        </is>
      </c>
      <c r="E4822" t="inlineStr">
        <is>
          <t>NORSJÖ</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35354-2023</t>
        </is>
      </c>
      <c r="B4823" s="1" t="n">
        <v>45146</v>
      </c>
      <c r="C4823" s="1" t="n">
        <v>45971</v>
      </c>
      <c r="D4823" t="inlineStr">
        <is>
          <t>VÄSTERBOTTENS LÄN</t>
        </is>
      </c>
      <c r="E4823" t="inlineStr">
        <is>
          <t>VÄNNÄS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15581-2023</t>
        </is>
      </c>
      <c r="B4824" s="1" t="n">
        <v>45019</v>
      </c>
      <c r="C4824" s="1" t="n">
        <v>45971</v>
      </c>
      <c r="D4824" t="inlineStr">
        <is>
          <t>VÄSTERBOTTENS LÄN</t>
        </is>
      </c>
      <c r="E4824" t="inlineStr">
        <is>
          <t>BJURHOLM</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28936-2024</t>
        </is>
      </c>
      <c r="B4825" s="1" t="n">
        <v>45481</v>
      </c>
      <c r="C4825" s="1" t="n">
        <v>45971</v>
      </c>
      <c r="D4825" t="inlineStr">
        <is>
          <t>VÄSTERBOTTENS LÄN</t>
        </is>
      </c>
      <c r="E4825" t="inlineStr">
        <is>
          <t>ÅSELE</t>
        </is>
      </c>
      <c r="F4825" t="inlineStr">
        <is>
          <t>Sveaskog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4858-2025</t>
        </is>
      </c>
      <c r="B4826" s="1" t="n">
        <v>45688.67435185185</v>
      </c>
      <c r="C4826" s="1" t="n">
        <v>45971</v>
      </c>
      <c r="D4826" t="inlineStr">
        <is>
          <t>VÄSTERBOTTENS LÄN</t>
        </is>
      </c>
      <c r="E4826" t="inlineStr">
        <is>
          <t>LYCKSELE</t>
        </is>
      </c>
      <c r="F4826" t="inlineStr">
        <is>
          <t>SCA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36895-2024</t>
        </is>
      </c>
      <c r="B4827" s="1" t="n">
        <v>45538.61855324074</v>
      </c>
      <c r="C4827" s="1" t="n">
        <v>45971</v>
      </c>
      <c r="D4827" t="inlineStr">
        <is>
          <t>VÄSTERBOTTENS LÄN</t>
        </is>
      </c>
      <c r="E4827" t="inlineStr">
        <is>
          <t>SKELLEFTEÅ</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42887-2024</t>
        </is>
      </c>
      <c r="B4828" s="1" t="n">
        <v>45566.73494212963</v>
      </c>
      <c r="C4828" s="1" t="n">
        <v>45971</v>
      </c>
      <c r="D4828" t="inlineStr">
        <is>
          <t>VÄSTERBOTTENS LÄN</t>
        </is>
      </c>
      <c r="E4828" t="inlineStr">
        <is>
          <t>LYCKSELE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37658-2024</t>
        </is>
      </c>
      <c r="B4829" s="1" t="n">
        <v>45541.56019675926</v>
      </c>
      <c r="C4829" s="1" t="n">
        <v>45971</v>
      </c>
      <c r="D4829" t="inlineStr">
        <is>
          <t>VÄSTERBOTTENS LÄN</t>
        </is>
      </c>
      <c r="E4829" t="inlineStr">
        <is>
          <t>LYCKSELE</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38558-2024</t>
        </is>
      </c>
      <c r="B4830" s="1" t="n">
        <v>45546.62606481482</v>
      </c>
      <c r="C4830" s="1" t="n">
        <v>45971</v>
      </c>
      <c r="D4830" t="inlineStr">
        <is>
          <t>VÄSTERBOTTENS LÄN</t>
        </is>
      </c>
      <c r="E4830" t="inlineStr">
        <is>
          <t>SKELLEFTEÅ</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38568-2024</t>
        </is>
      </c>
      <c r="B4831" s="1" t="n">
        <v>45546.63684027778</v>
      </c>
      <c r="C4831" s="1" t="n">
        <v>45971</v>
      </c>
      <c r="D4831" t="inlineStr">
        <is>
          <t>VÄSTERBOTTENS LÄN</t>
        </is>
      </c>
      <c r="E4831" t="inlineStr">
        <is>
          <t>SKELLEFTEÅ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38569-2024</t>
        </is>
      </c>
      <c r="B4832" s="1" t="n">
        <v>45546.63689814815</v>
      </c>
      <c r="C4832" s="1" t="n">
        <v>45971</v>
      </c>
      <c r="D4832" t="inlineStr">
        <is>
          <t>VÄSTERBOTTENS LÄN</t>
        </is>
      </c>
      <c r="E4832" t="inlineStr">
        <is>
          <t>VILHELMINA</t>
        </is>
      </c>
      <c r="G4832" t="n">
        <v>31.5</v>
      </c>
      <c r="H4832" t="n">
        <v>0</v>
      </c>
      <c r="I4832" t="n">
        <v>0</v>
      </c>
      <c r="J4832" t="n">
        <v>0</v>
      </c>
      <c r="K4832" t="n">
        <v>0</v>
      </c>
      <c r="L4832" t="n">
        <v>0</v>
      </c>
      <c r="M4832" t="n">
        <v>0</v>
      </c>
      <c r="N4832" t="n">
        <v>0</v>
      </c>
      <c r="O4832" t="n">
        <v>0</v>
      </c>
      <c r="P4832" t="n">
        <v>0</v>
      </c>
      <c r="Q4832" t="n">
        <v>0</v>
      </c>
      <c r="R4832" s="2" t="inlineStr"/>
    </row>
    <row r="4833" ht="15" customHeight="1">
      <c r="A4833" t="inlineStr">
        <is>
          <t>A 61188-2023</t>
        </is>
      </c>
      <c r="B4833" s="1" t="n">
        <v>45264</v>
      </c>
      <c r="C4833" s="1" t="n">
        <v>45971</v>
      </c>
      <c r="D4833" t="inlineStr">
        <is>
          <t>VÄSTERBOTTENS LÄN</t>
        </is>
      </c>
      <c r="E4833" t="inlineStr">
        <is>
          <t>SKELLEFTEÅ</t>
        </is>
      </c>
      <c r="F4833" t="inlineStr">
        <is>
          <t>Sveaskog</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9135-2024</t>
        </is>
      </c>
      <c r="B4834" s="1" t="n">
        <v>45357</v>
      </c>
      <c r="C4834" s="1" t="n">
        <v>45971</v>
      </c>
      <c r="D4834" t="inlineStr">
        <is>
          <t>VÄSTERBOTTENS LÄN</t>
        </is>
      </c>
      <c r="E4834" t="inlineStr">
        <is>
          <t>ROBERTSFORS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40103-2024</t>
        </is>
      </c>
      <c r="B4835" s="1" t="n">
        <v>45554.42751157407</v>
      </c>
      <c r="C4835" s="1" t="n">
        <v>45971</v>
      </c>
      <c r="D4835" t="inlineStr">
        <is>
          <t>VÄSTERBOTTENS LÄN</t>
        </is>
      </c>
      <c r="E4835" t="inlineStr">
        <is>
          <t>NORSJÖ</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42214-2023</t>
        </is>
      </c>
      <c r="B4836" s="1" t="n">
        <v>45179</v>
      </c>
      <c r="C4836" s="1" t="n">
        <v>45971</v>
      </c>
      <c r="D4836" t="inlineStr">
        <is>
          <t>VÄSTERBOTTENS LÄN</t>
        </is>
      </c>
      <c r="E4836" t="inlineStr">
        <is>
          <t>MALÅ</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13628-2025</t>
        </is>
      </c>
      <c r="B4837" s="1" t="n">
        <v>45736</v>
      </c>
      <c r="C4837" s="1" t="n">
        <v>45971</v>
      </c>
      <c r="D4837" t="inlineStr">
        <is>
          <t>VÄSTERBOTTENS LÄN</t>
        </is>
      </c>
      <c r="E4837" t="inlineStr">
        <is>
          <t>NORSJÖ</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62624-2023</t>
        </is>
      </c>
      <c r="B4838" s="1" t="n">
        <v>45271.37019675926</v>
      </c>
      <c r="C4838" s="1" t="n">
        <v>45971</v>
      </c>
      <c r="D4838" t="inlineStr">
        <is>
          <t>VÄSTERBOTTENS LÄN</t>
        </is>
      </c>
      <c r="E4838" t="inlineStr">
        <is>
          <t>STORUMAN</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12765-2025</t>
        </is>
      </c>
      <c r="B4839" s="1" t="n">
        <v>45733</v>
      </c>
      <c r="C4839" s="1" t="n">
        <v>45971</v>
      </c>
      <c r="D4839" t="inlineStr">
        <is>
          <t>VÄSTERBOTTENS LÄN</t>
        </is>
      </c>
      <c r="E4839" t="inlineStr">
        <is>
          <t>VILHELMINA</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16907-2025</t>
        </is>
      </c>
      <c r="B4840" s="1" t="n">
        <v>45755.35048611111</v>
      </c>
      <c r="C4840" s="1" t="n">
        <v>45971</v>
      </c>
      <c r="D4840" t="inlineStr">
        <is>
          <t>VÄSTERBOTTENS LÄN</t>
        </is>
      </c>
      <c r="E4840" t="inlineStr">
        <is>
          <t>UMEÅ</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16945-2025</t>
        </is>
      </c>
      <c r="B4841" s="1" t="n">
        <v>45755.42978009259</v>
      </c>
      <c r="C4841" s="1" t="n">
        <v>45971</v>
      </c>
      <c r="D4841" t="inlineStr">
        <is>
          <t>VÄSTERBOTTENS LÄN</t>
        </is>
      </c>
      <c r="E4841" t="inlineStr">
        <is>
          <t>UMEÅ</t>
        </is>
      </c>
      <c r="F4841" t="inlineStr">
        <is>
          <t>Holmen skog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15846-2024</t>
        </is>
      </c>
      <c r="B4842" s="1" t="n">
        <v>45404.84630787037</v>
      </c>
      <c r="C4842" s="1" t="n">
        <v>45971</v>
      </c>
      <c r="D4842" t="inlineStr">
        <is>
          <t>VÄSTERBOTTENS LÄN</t>
        </is>
      </c>
      <c r="E4842" t="inlineStr">
        <is>
          <t>SKELLEFTEÅ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15848-2024</t>
        </is>
      </c>
      <c r="B4843" s="1" t="n">
        <v>45404</v>
      </c>
      <c r="C4843" s="1" t="n">
        <v>45971</v>
      </c>
      <c r="D4843" t="inlineStr">
        <is>
          <t>VÄSTERBOTTENS LÄN</t>
        </is>
      </c>
      <c r="E4843" t="inlineStr">
        <is>
          <t>SKELLEFTEÅ</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18301-2025</t>
        </is>
      </c>
      <c r="B4844" s="1" t="n">
        <v>45762.43146990741</v>
      </c>
      <c r="C4844" s="1" t="n">
        <v>45971</v>
      </c>
      <c r="D4844" t="inlineStr">
        <is>
          <t>VÄSTERBOTTENS LÄN</t>
        </is>
      </c>
      <c r="E4844" t="inlineStr">
        <is>
          <t>ÅSELE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18979-2024</t>
        </is>
      </c>
      <c r="B4845" s="1" t="n">
        <v>45427</v>
      </c>
      <c r="C4845" s="1" t="n">
        <v>45971</v>
      </c>
      <c r="D4845" t="inlineStr">
        <is>
          <t>VÄSTERBOTTENS LÄN</t>
        </is>
      </c>
      <c r="E4845" t="inlineStr">
        <is>
          <t>SKELLEFTEÅ</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7723-2024</t>
        </is>
      </c>
      <c r="B4846" s="1" t="n">
        <v>45348</v>
      </c>
      <c r="C4846" s="1" t="n">
        <v>45971</v>
      </c>
      <c r="D4846" t="inlineStr">
        <is>
          <t>VÄSTERBOTTENS LÄN</t>
        </is>
      </c>
      <c r="E4846" t="inlineStr">
        <is>
          <t>BJURHOLM</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47660-2025</t>
        </is>
      </c>
      <c r="B4847" s="1" t="n">
        <v>45931.56010416667</v>
      </c>
      <c r="C4847" s="1" t="n">
        <v>45971</v>
      </c>
      <c r="D4847" t="inlineStr">
        <is>
          <t>VÄSTERBOTTENS LÄN</t>
        </is>
      </c>
      <c r="E4847" t="inlineStr">
        <is>
          <t>SORSELE</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19421-2023</t>
        </is>
      </c>
      <c r="B4848" s="1" t="n">
        <v>45049.92737268518</v>
      </c>
      <c r="C4848" s="1" t="n">
        <v>45971</v>
      </c>
      <c r="D4848" t="inlineStr">
        <is>
          <t>VÄSTERBOTTENS LÄN</t>
        </is>
      </c>
      <c r="E4848" t="inlineStr">
        <is>
          <t>NORSJÖ</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47444-2022</t>
        </is>
      </c>
      <c r="B4849" s="1" t="n">
        <v>44851</v>
      </c>
      <c r="C4849" s="1" t="n">
        <v>45971</v>
      </c>
      <c r="D4849" t="inlineStr">
        <is>
          <t>VÄSTERBOTTENS LÄN</t>
        </is>
      </c>
      <c r="E4849" t="inlineStr">
        <is>
          <t>VINDELN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10532-2023</t>
        </is>
      </c>
      <c r="B4850" s="1" t="n">
        <v>44987</v>
      </c>
      <c r="C4850" s="1" t="n">
        <v>45971</v>
      </c>
      <c r="D4850" t="inlineStr">
        <is>
          <t>VÄSTERBOTTENS LÄN</t>
        </is>
      </c>
      <c r="E4850" t="inlineStr">
        <is>
          <t>UMEÅ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62933-2023</t>
        </is>
      </c>
      <c r="B4851" s="1" t="n">
        <v>45271</v>
      </c>
      <c r="C4851" s="1" t="n">
        <v>45971</v>
      </c>
      <c r="D4851" t="inlineStr">
        <is>
          <t>VÄSTERBOTTENS LÄN</t>
        </is>
      </c>
      <c r="E4851" t="inlineStr">
        <is>
          <t>ROBERTSFORS</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54375-2022</t>
        </is>
      </c>
      <c r="B4852" s="1" t="n">
        <v>44879</v>
      </c>
      <c r="C4852" s="1" t="n">
        <v>45971</v>
      </c>
      <c r="D4852" t="inlineStr">
        <is>
          <t>VÄSTERBOTTENS LÄN</t>
        </is>
      </c>
      <c r="E4852" t="inlineStr">
        <is>
          <t>SORSELE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10533-2023</t>
        </is>
      </c>
      <c r="B4853" s="1" t="n">
        <v>44987.92349537037</v>
      </c>
      <c r="C4853" s="1" t="n">
        <v>45971</v>
      </c>
      <c r="D4853" t="inlineStr">
        <is>
          <t>VÄSTERBOTTENS LÄN</t>
        </is>
      </c>
      <c r="E4853" t="inlineStr">
        <is>
          <t>VÄNNÄS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26395-2023</t>
        </is>
      </c>
      <c r="B4854" s="1" t="n">
        <v>45092.35770833334</v>
      </c>
      <c r="C4854" s="1" t="n">
        <v>45971</v>
      </c>
      <c r="D4854" t="inlineStr">
        <is>
          <t>VÄSTERBOTTENS LÄN</t>
        </is>
      </c>
      <c r="E4854" t="inlineStr">
        <is>
          <t>ÅSELE</t>
        </is>
      </c>
      <c r="F4854" t="inlineStr">
        <is>
          <t>Holmen skog AB</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34897-2024</t>
        </is>
      </c>
      <c r="B4855" s="1" t="n">
        <v>45527.36991898148</v>
      </c>
      <c r="C4855" s="1" t="n">
        <v>45971</v>
      </c>
      <c r="D4855" t="inlineStr">
        <is>
          <t>VÄSTERBOTTENS LÄN</t>
        </is>
      </c>
      <c r="E4855" t="inlineStr">
        <is>
          <t>LYCKSELE</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11973-2023</t>
        </is>
      </c>
      <c r="B4856" s="1" t="n">
        <v>44994</v>
      </c>
      <c r="C4856" s="1" t="n">
        <v>45971</v>
      </c>
      <c r="D4856" t="inlineStr">
        <is>
          <t>VÄSTERBOTTENS LÄN</t>
        </is>
      </c>
      <c r="E4856" t="inlineStr">
        <is>
          <t>SKELLEFTEÅ</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26920-2024</t>
        </is>
      </c>
      <c r="B4857" s="1" t="n">
        <v>45470.9305787037</v>
      </c>
      <c r="C4857" s="1" t="n">
        <v>45971</v>
      </c>
      <c r="D4857" t="inlineStr">
        <is>
          <t>VÄSTERBOTTENS LÄN</t>
        </is>
      </c>
      <c r="E4857" t="inlineStr">
        <is>
          <t>SKELLEFTEÅ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2891-2025</t>
        </is>
      </c>
      <c r="B4858" s="1" t="n">
        <v>45677</v>
      </c>
      <c r="C4858" s="1" t="n">
        <v>45971</v>
      </c>
      <c r="D4858" t="inlineStr">
        <is>
          <t>VÄSTERBOTTENS LÄN</t>
        </is>
      </c>
      <c r="E4858" t="inlineStr">
        <is>
          <t>ÅSELE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50368-2023</t>
        </is>
      </c>
      <c r="B4859" s="1" t="n">
        <v>45209</v>
      </c>
      <c r="C4859" s="1" t="n">
        <v>45971</v>
      </c>
      <c r="D4859" t="inlineStr">
        <is>
          <t>VÄSTERBOTTENS LÄN</t>
        </is>
      </c>
      <c r="E4859" t="inlineStr">
        <is>
          <t>NORSJÖ</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49226-2024</t>
        </is>
      </c>
      <c r="B4860" s="1" t="n">
        <v>45595.41861111111</v>
      </c>
      <c r="C4860" s="1" t="n">
        <v>45971</v>
      </c>
      <c r="D4860" t="inlineStr">
        <is>
          <t>VÄSTERBOTTENS LÄN</t>
        </is>
      </c>
      <c r="E4860" t="inlineStr">
        <is>
          <t>MALÅ</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210-2022</t>
        </is>
      </c>
      <c r="B4861" s="1" t="n">
        <v>44564.80189814815</v>
      </c>
      <c r="C4861" s="1" t="n">
        <v>45971</v>
      </c>
      <c r="D4861" t="inlineStr">
        <is>
          <t>VÄSTERBOTTENS LÄN</t>
        </is>
      </c>
      <c r="E4861" t="inlineStr">
        <is>
          <t>VILHELMINA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47674-2025</t>
        </is>
      </c>
      <c r="B4862" s="1" t="n">
        <v>45931</v>
      </c>
      <c r="C4862" s="1" t="n">
        <v>45971</v>
      </c>
      <c r="D4862" t="inlineStr">
        <is>
          <t>VÄSTERBOTTENS LÄN</t>
        </is>
      </c>
      <c r="E4862" t="inlineStr">
        <is>
          <t>SKELLEFTEÅ</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60782-2024</t>
        </is>
      </c>
      <c r="B4863" s="1" t="n">
        <v>45644.59050925926</v>
      </c>
      <c r="C4863" s="1" t="n">
        <v>45971</v>
      </c>
      <c r="D4863" t="inlineStr">
        <is>
          <t>VÄSTERBOTTENS LÄN</t>
        </is>
      </c>
      <c r="E4863" t="inlineStr">
        <is>
          <t>NORSJÖ</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2642-2023</t>
        </is>
      </c>
      <c r="B4864" s="1" t="n">
        <v>44944.41868055556</v>
      </c>
      <c r="C4864" s="1" t="n">
        <v>45971</v>
      </c>
      <c r="D4864" t="inlineStr">
        <is>
          <t>VÄSTERBOTTENS LÄN</t>
        </is>
      </c>
      <c r="E4864" t="inlineStr">
        <is>
          <t>NORSJÖ</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2659-2023</t>
        </is>
      </c>
      <c r="B4865" s="1" t="n">
        <v>44944</v>
      </c>
      <c r="C4865" s="1" t="n">
        <v>45971</v>
      </c>
      <c r="D4865" t="inlineStr">
        <is>
          <t>VÄSTERBOTTENS LÄN</t>
        </is>
      </c>
      <c r="E4865" t="inlineStr">
        <is>
          <t>UMEÅ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34760-2023</t>
        </is>
      </c>
      <c r="B4866" s="1" t="n">
        <v>45139</v>
      </c>
      <c r="C4866" s="1" t="n">
        <v>45971</v>
      </c>
      <c r="D4866" t="inlineStr">
        <is>
          <t>VÄSTERBOTTENS LÄN</t>
        </is>
      </c>
      <c r="E4866" t="inlineStr">
        <is>
          <t>VÄNNÄS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26351-2024</t>
        </is>
      </c>
      <c r="B4867" s="1" t="n">
        <v>45469.36478009259</v>
      </c>
      <c r="C4867" s="1" t="n">
        <v>45971</v>
      </c>
      <c r="D4867" t="inlineStr">
        <is>
          <t>VÄSTERBOTTENS LÄN</t>
        </is>
      </c>
      <c r="E4867" t="inlineStr">
        <is>
          <t>UMEÅ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40898-2021</t>
        </is>
      </c>
      <c r="B4868" s="1" t="n">
        <v>44421.48540509259</v>
      </c>
      <c r="C4868" s="1" t="n">
        <v>45971</v>
      </c>
      <c r="D4868" t="inlineStr">
        <is>
          <t>VÄSTERBOTTENS LÄN</t>
        </is>
      </c>
      <c r="E4868" t="inlineStr">
        <is>
          <t>SKELLEFTEÅ</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52133-2024</t>
        </is>
      </c>
      <c r="B4869" s="1" t="n">
        <v>45608.48483796296</v>
      </c>
      <c r="C4869" s="1" t="n">
        <v>45971</v>
      </c>
      <c r="D4869" t="inlineStr">
        <is>
          <t>VÄSTERBOTTENS LÄN</t>
        </is>
      </c>
      <c r="E4869" t="inlineStr">
        <is>
          <t>NORSJÖ</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44385-2024</t>
        </is>
      </c>
      <c r="B4870" s="1" t="n">
        <v>45573.68590277778</v>
      </c>
      <c r="C4870" s="1" t="n">
        <v>45971</v>
      </c>
      <c r="D4870" t="inlineStr">
        <is>
          <t>VÄSTERBOTTENS LÄN</t>
        </is>
      </c>
      <c r="E4870" t="inlineStr">
        <is>
          <t>LYCKSELE</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21668-2024</t>
        </is>
      </c>
      <c r="B4871" s="1" t="n">
        <v>45441.85773148148</v>
      </c>
      <c r="C4871" s="1" t="n">
        <v>45971</v>
      </c>
      <c r="D4871" t="inlineStr">
        <is>
          <t>VÄSTERBOTTENS LÄN</t>
        </is>
      </c>
      <c r="E4871" t="inlineStr">
        <is>
          <t>LYCKSELE</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28203-2023</t>
        </is>
      </c>
      <c r="B4872" s="1" t="n">
        <v>45096</v>
      </c>
      <c r="C4872" s="1" t="n">
        <v>45971</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29827-2023</t>
        </is>
      </c>
      <c r="B4873" s="1" t="n">
        <v>45107</v>
      </c>
      <c r="C4873" s="1" t="n">
        <v>45971</v>
      </c>
      <c r="D4873" t="inlineStr">
        <is>
          <t>VÄSTERBOTTENS LÄN</t>
        </is>
      </c>
      <c r="E4873" t="inlineStr">
        <is>
          <t>UMEÅ</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43723-2024</t>
        </is>
      </c>
      <c r="B4874" s="1" t="n">
        <v>45569.63114583334</v>
      </c>
      <c r="C4874" s="1" t="n">
        <v>45971</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59030-2022</t>
        </is>
      </c>
      <c r="B4875" s="1" t="n">
        <v>44903</v>
      </c>
      <c r="C4875" s="1" t="n">
        <v>45971</v>
      </c>
      <c r="D4875" t="inlineStr">
        <is>
          <t>VÄSTERBOTTENS LÄN</t>
        </is>
      </c>
      <c r="E4875" t="inlineStr">
        <is>
          <t>VILHELMINA</t>
        </is>
      </c>
      <c r="G4875" t="n">
        <v>17.8</v>
      </c>
      <c r="H4875" t="n">
        <v>0</v>
      </c>
      <c r="I4875" t="n">
        <v>0</v>
      </c>
      <c r="J4875" t="n">
        <v>0</v>
      </c>
      <c r="K4875" t="n">
        <v>0</v>
      </c>
      <c r="L4875" t="n">
        <v>0</v>
      </c>
      <c r="M4875" t="n">
        <v>0</v>
      </c>
      <c r="N4875" t="n">
        <v>0</v>
      </c>
      <c r="O4875" t="n">
        <v>0</v>
      </c>
      <c r="P4875" t="n">
        <v>0</v>
      </c>
      <c r="Q4875" t="n">
        <v>0</v>
      </c>
      <c r="R4875" s="2" t="inlineStr"/>
    </row>
    <row r="4876" ht="15" customHeight="1">
      <c r="A4876" t="inlineStr">
        <is>
          <t>A 59031-2022</t>
        </is>
      </c>
      <c r="B4876" s="1" t="n">
        <v>44903.92716435185</v>
      </c>
      <c r="C4876" s="1" t="n">
        <v>45971</v>
      </c>
      <c r="D4876" t="inlineStr">
        <is>
          <t>VÄSTERBOTTENS LÄN</t>
        </is>
      </c>
      <c r="E4876" t="inlineStr">
        <is>
          <t>LYCKSELE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42764-2024</t>
        </is>
      </c>
      <c r="B4877" s="1" t="n">
        <v>45566.50524305556</v>
      </c>
      <c r="C4877" s="1" t="n">
        <v>45971</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22291-2023</t>
        </is>
      </c>
      <c r="B4878" s="1" t="n">
        <v>45070</v>
      </c>
      <c r="C4878" s="1" t="n">
        <v>45971</v>
      </c>
      <c r="D4878" t="inlineStr">
        <is>
          <t>VÄSTERBOTTENS LÄN</t>
        </is>
      </c>
      <c r="E4878" t="inlineStr">
        <is>
          <t>UMEÅ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53783-2024</t>
        </is>
      </c>
      <c r="B4879" s="1" t="n">
        <v>45615</v>
      </c>
      <c r="C4879" s="1" t="n">
        <v>45971</v>
      </c>
      <c r="D4879" t="inlineStr">
        <is>
          <t>VÄSTERBOTTENS LÄN</t>
        </is>
      </c>
      <c r="E4879" t="inlineStr">
        <is>
          <t>VÄNNÄS</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53787-2024</t>
        </is>
      </c>
      <c r="B4880" s="1" t="n">
        <v>45615</v>
      </c>
      <c r="C4880" s="1" t="n">
        <v>45971</v>
      </c>
      <c r="D4880" t="inlineStr">
        <is>
          <t>VÄSTERBOTTENS LÄN</t>
        </is>
      </c>
      <c r="E4880" t="inlineStr">
        <is>
          <t>UMEÅ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31904-2024</t>
        </is>
      </c>
      <c r="B4881" s="1" t="n">
        <v>45510</v>
      </c>
      <c r="C4881" s="1" t="n">
        <v>45971</v>
      </c>
      <c r="D4881" t="inlineStr">
        <is>
          <t>VÄSTERBOTTENS LÄN</t>
        </is>
      </c>
      <c r="E4881" t="inlineStr">
        <is>
          <t>VINDELN</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47827-2025</t>
        </is>
      </c>
      <c r="B4882" s="1" t="n">
        <v>45932.34491898148</v>
      </c>
      <c r="C4882" s="1" t="n">
        <v>45971</v>
      </c>
      <c r="D4882" t="inlineStr">
        <is>
          <t>VÄSTERBOTTENS LÄN</t>
        </is>
      </c>
      <c r="E4882" t="inlineStr">
        <is>
          <t>SKELLEFTEÅ</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9035-2021</t>
        </is>
      </c>
      <c r="B4883" s="1" t="n">
        <v>44249</v>
      </c>
      <c r="C4883" s="1" t="n">
        <v>45971</v>
      </c>
      <c r="D4883" t="inlineStr">
        <is>
          <t>VÄSTERBOTTENS LÄN</t>
        </is>
      </c>
      <c r="E4883" t="inlineStr">
        <is>
          <t>SKELLEFTEÅ</t>
        </is>
      </c>
      <c r="G4883" t="n">
        <v>6.7</v>
      </c>
      <c r="H4883" t="n">
        <v>0</v>
      </c>
      <c r="I4883" t="n">
        <v>0</v>
      </c>
      <c r="J4883" t="n">
        <v>0</v>
      </c>
      <c r="K4883" t="n">
        <v>0</v>
      </c>
      <c r="L4883" t="n">
        <v>0</v>
      </c>
      <c r="M4883" t="n">
        <v>0</v>
      </c>
      <c r="N4883" t="n">
        <v>0</v>
      </c>
      <c r="O4883" t="n">
        <v>0</v>
      </c>
      <c r="P4883" t="n">
        <v>0</v>
      </c>
      <c r="Q4883" t="n">
        <v>0</v>
      </c>
      <c r="R4883" s="2" t="inlineStr"/>
    </row>
    <row r="4884" ht="15" customHeight="1">
      <c r="A4884" t="inlineStr">
        <is>
          <t>A 19939-2025</t>
        </is>
      </c>
      <c r="B4884" s="1" t="n">
        <v>45771.64439814815</v>
      </c>
      <c r="C4884" s="1" t="n">
        <v>45971</v>
      </c>
      <c r="D4884" t="inlineStr">
        <is>
          <t>VÄSTERBOTTENS LÄN</t>
        </is>
      </c>
      <c r="E4884" t="inlineStr">
        <is>
          <t>VINDELN</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37134-2023</t>
        </is>
      </c>
      <c r="B4885" s="1" t="n">
        <v>45155.57627314814</v>
      </c>
      <c r="C4885" s="1" t="n">
        <v>45971</v>
      </c>
      <c r="D4885" t="inlineStr">
        <is>
          <t>VÄSTERBOTTENS LÄN</t>
        </is>
      </c>
      <c r="E4885" t="inlineStr">
        <is>
          <t>SKELLEFTEÅ</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32492-2024</t>
        </is>
      </c>
      <c r="B4886" s="1" t="n">
        <v>45513.40537037037</v>
      </c>
      <c r="C4886" s="1" t="n">
        <v>45971</v>
      </c>
      <c r="D4886" t="inlineStr">
        <is>
          <t>VÄSTERBOTTENS LÄN</t>
        </is>
      </c>
      <c r="E4886" t="inlineStr">
        <is>
          <t>VINDELN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36639-2024</t>
        </is>
      </c>
      <c r="B4887" s="1" t="n">
        <v>45537.59991898148</v>
      </c>
      <c r="C4887" s="1" t="n">
        <v>45971</v>
      </c>
      <c r="D4887" t="inlineStr">
        <is>
          <t>VÄSTERBOTTENS LÄN</t>
        </is>
      </c>
      <c r="E4887" t="inlineStr">
        <is>
          <t>ROBERTSFORS</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62547-2022</t>
        </is>
      </c>
      <c r="B4888" s="1" t="n">
        <v>44924.71886574074</v>
      </c>
      <c r="C4888" s="1" t="n">
        <v>45971</v>
      </c>
      <c r="D4888" t="inlineStr">
        <is>
          <t>VÄSTERBOTTENS LÄN</t>
        </is>
      </c>
      <c r="E4888" t="inlineStr">
        <is>
          <t>LYCKSELE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34320-2024</t>
        </is>
      </c>
      <c r="B4889" s="1" t="n">
        <v>45524</v>
      </c>
      <c r="C4889" s="1" t="n">
        <v>45971</v>
      </c>
      <c r="D4889" t="inlineStr">
        <is>
          <t>VÄSTERBOTTENS LÄN</t>
        </is>
      </c>
      <c r="E4889" t="inlineStr">
        <is>
          <t>UMEÅ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36408-2023</t>
        </is>
      </c>
      <c r="B4890" s="1" t="n">
        <v>45152</v>
      </c>
      <c r="C4890" s="1" t="n">
        <v>45971</v>
      </c>
      <c r="D4890" t="inlineStr">
        <is>
          <t>VÄSTERBOTTENS LÄN</t>
        </is>
      </c>
      <c r="E4890" t="inlineStr">
        <is>
          <t>VILHELMINA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62581-2022</t>
        </is>
      </c>
      <c r="B4891" s="1" t="n">
        <v>44924</v>
      </c>
      <c r="C4891" s="1" t="n">
        <v>45971</v>
      </c>
      <c r="D4891" t="inlineStr">
        <is>
          <t>VÄSTERBOTTENS LÄN</t>
        </is>
      </c>
      <c r="E4891" t="inlineStr">
        <is>
          <t>BJURHOLM</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62585-2022</t>
        </is>
      </c>
      <c r="B4892" s="1" t="n">
        <v>44924.94068287037</v>
      </c>
      <c r="C4892" s="1" t="n">
        <v>45971</v>
      </c>
      <c r="D4892" t="inlineStr">
        <is>
          <t>VÄSTERBOTTENS LÄN</t>
        </is>
      </c>
      <c r="E4892" t="inlineStr">
        <is>
          <t>VINDELN</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28409-2023</t>
        </is>
      </c>
      <c r="B4893" s="1" t="n">
        <v>45101</v>
      </c>
      <c r="C4893" s="1" t="n">
        <v>45971</v>
      </c>
      <c r="D4893" t="inlineStr">
        <is>
          <t>VÄSTERBOTTENS LÄN</t>
        </is>
      </c>
      <c r="E4893" t="inlineStr">
        <is>
          <t>LYCKSELE</t>
        </is>
      </c>
      <c r="G4893" t="n">
        <v>12.9</v>
      </c>
      <c r="H4893" t="n">
        <v>0</v>
      </c>
      <c r="I4893" t="n">
        <v>0</v>
      </c>
      <c r="J4893" t="n">
        <v>0</v>
      </c>
      <c r="K4893" t="n">
        <v>0</v>
      </c>
      <c r="L4893" t="n">
        <v>0</v>
      </c>
      <c r="M4893" t="n">
        <v>0</v>
      </c>
      <c r="N4893" t="n">
        <v>0</v>
      </c>
      <c r="O4893" t="n">
        <v>0</v>
      </c>
      <c r="P4893" t="n">
        <v>0</v>
      </c>
      <c r="Q4893" t="n">
        <v>0</v>
      </c>
      <c r="R4893" s="2" t="inlineStr"/>
    </row>
    <row r="4894" ht="15" customHeight="1">
      <c r="A4894" t="inlineStr">
        <is>
          <t>A 51297-2021</t>
        </is>
      </c>
      <c r="B4894" s="1" t="n">
        <v>44461.59241898148</v>
      </c>
      <c r="C4894" s="1" t="n">
        <v>45971</v>
      </c>
      <c r="D4894" t="inlineStr">
        <is>
          <t>VÄSTERBOTTENS LÄN</t>
        </is>
      </c>
      <c r="E4894" t="inlineStr">
        <is>
          <t>NORSJÖ</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155-2025</t>
        </is>
      </c>
      <c r="B4895" s="1" t="n">
        <v>45659.61873842592</v>
      </c>
      <c r="C4895" s="1" t="n">
        <v>45971</v>
      </c>
      <c r="D4895" t="inlineStr">
        <is>
          <t>VÄSTERBOTTENS LÄN</t>
        </is>
      </c>
      <c r="E4895" t="inlineStr">
        <is>
          <t>ROBERTSFORS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33828-2024</t>
        </is>
      </c>
      <c r="B4896" s="1" t="n">
        <v>45520.61695601852</v>
      </c>
      <c r="C4896" s="1" t="n">
        <v>45971</v>
      </c>
      <c r="D4896" t="inlineStr">
        <is>
          <t>VÄSTERBOTTENS LÄN</t>
        </is>
      </c>
      <c r="E4896" t="inlineStr">
        <is>
          <t>VILHELMINA</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14352-2025</t>
        </is>
      </c>
      <c r="B4897" s="1" t="n">
        <v>45741.36424768518</v>
      </c>
      <c r="C4897" s="1" t="n">
        <v>45971</v>
      </c>
      <c r="D4897" t="inlineStr">
        <is>
          <t>VÄSTERBOTTENS LÄN</t>
        </is>
      </c>
      <c r="E4897" t="inlineStr">
        <is>
          <t>VINDELN</t>
        </is>
      </c>
      <c r="G4897" t="n">
        <v>9.800000000000001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47700-2025</t>
        </is>
      </c>
      <c r="B4898" s="1" t="n">
        <v>45931</v>
      </c>
      <c r="C4898" s="1" t="n">
        <v>45971</v>
      </c>
      <c r="D4898" t="inlineStr">
        <is>
          <t>VÄSTERBOTTENS LÄN</t>
        </is>
      </c>
      <c r="E4898" t="inlineStr">
        <is>
          <t>LYCKSELE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44475.63670138889</v>
      </c>
      <c r="C4899" s="1" t="n">
        <v>45971</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18357-2023</t>
        </is>
      </c>
      <c r="B4900" s="1" t="n">
        <v>45041</v>
      </c>
      <c r="C4900" s="1" t="n">
        <v>45971</v>
      </c>
      <c r="D4900" t="inlineStr">
        <is>
          <t>VÄSTERBOTTENS LÄN</t>
        </is>
      </c>
      <c r="E4900" t="inlineStr">
        <is>
          <t>SKELLEFTEÅ</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5595-2025</t>
        </is>
      </c>
      <c r="B4901" s="1" t="n">
        <v>45693.57324074074</v>
      </c>
      <c r="C4901" s="1" t="n">
        <v>45971</v>
      </c>
      <c r="D4901" t="inlineStr">
        <is>
          <t>VÄSTERBOTTENS LÄN</t>
        </is>
      </c>
      <c r="E4901" t="inlineStr">
        <is>
          <t>NORDMALING</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11511-2022</t>
        </is>
      </c>
      <c r="B4902" s="1" t="n">
        <v>44631.33300925926</v>
      </c>
      <c r="C4902" s="1" t="n">
        <v>45971</v>
      </c>
      <c r="D4902" t="inlineStr">
        <is>
          <t>VÄSTERBOTTENS LÄN</t>
        </is>
      </c>
      <c r="E4902" t="inlineStr">
        <is>
          <t>UMEÅ</t>
        </is>
      </c>
      <c r="F4902" t="inlineStr">
        <is>
          <t>Kommuner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1627-2025</t>
        </is>
      </c>
      <c r="B4903" s="1" t="n">
        <v>45670.6259375</v>
      </c>
      <c r="C4903" s="1" t="n">
        <v>45971</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57108-2023</t>
        </is>
      </c>
      <c r="B4904" s="1" t="n">
        <v>45239</v>
      </c>
      <c r="C4904" s="1" t="n">
        <v>45971</v>
      </c>
      <c r="D4904" t="inlineStr">
        <is>
          <t>VÄSTERBOTTENS LÄN</t>
        </is>
      </c>
      <c r="E4904" t="inlineStr">
        <is>
          <t>VILHELMINA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39067-2024</t>
        </is>
      </c>
      <c r="B4905" s="1" t="n">
        <v>45548.53137731482</v>
      </c>
      <c r="C4905" s="1" t="n">
        <v>45971</v>
      </c>
      <c r="D4905" t="inlineStr">
        <is>
          <t>VÄSTERBOTTENS LÄN</t>
        </is>
      </c>
      <c r="E4905" t="inlineStr">
        <is>
          <t>NORSJÖ</t>
        </is>
      </c>
      <c r="F4905" t="inlineStr">
        <is>
          <t>Holmen skog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33038-2024</t>
        </is>
      </c>
      <c r="B4906" s="1" t="n">
        <v>45517.60179398148</v>
      </c>
      <c r="C4906" s="1" t="n">
        <v>45971</v>
      </c>
      <c r="D4906" t="inlineStr">
        <is>
          <t>VÄSTERBOTTENS LÄN</t>
        </is>
      </c>
      <c r="E4906" t="inlineStr">
        <is>
          <t>VINDELN</t>
        </is>
      </c>
      <c r="F4906" t="inlineStr">
        <is>
          <t>Sveaskog</t>
        </is>
      </c>
      <c r="G4906" t="n">
        <v>15.2</v>
      </c>
      <c r="H4906" t="n">
        <v>0</v>
      </c>
      <c r="I4906" t="n">
        <v>0</v>
      </c>
      <c r="J4906" t="n">
        <v>0</v>
      </c>
      <c r="K4906" t="n">
        <v>0</v>
      </c>
      <c r="L4906" t="n">
        <v>0</v>
      </c>
      <c r="M4906" t="n">
        <v>0</v>
      </c>
      <c r="N4906" t="n">
        <v>0</v>
      </c>
      <c r="O4906" t="n">
        <v>0</v>
      </c>
      <c r="P4906" t="n">
        <v>0</v>
      </c>
      <c r="Q4906" t="n">
        <v>0</v>
      </c>
      <c r="R4906" s="2" t="inlineStr"/>
    </row>
    <row r="4907" ht="15" customHeight="1">
      <c r="A4907" t="inlineStr">
        <is>
          <t>A 54302-2024</t>
        </is>
      </c>
      <c r="B4907" s="1" t="n">
        <v>45617</v>
      </c>
      <c r="C4907" s="1" t="n">
        <v>45971</v>
      </c>
      <c r="D4907" t="inlineStr">
        <is>
          <t>VÄSTERBOTTENS LÄN</t>
        </is>
      </c>
      <c r="E4907" t="inlineStr">
        <is>
          <t>DOROTEA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8309-2025</t>
        </is>
      </c>
      <c r="B4908" s="1" t="n">
        <v>45708.60898148148</v>
      </c>
      <c r="C4908" s="1" t="n">
        <v>45971</v>
      </c>
      <c r="D4908" t="inlineStr">
        <is>
          <t>VÄSTERBOTTENS LÄN</t>
        </is>
      </c>
      <c r="E4908" t="inlineStr">
        <is>
          <t>ROBERTSFORS</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66463-2021</t>
        </is>
      </c>
      <c r="B4909" s="1" t="n">
        <v>44518</v>
      </c>
      <c r="C4909" s="1" t="n">
        <v>45971</v>
      </c>
      <c r="D4909" t="inlineStr">
        <is>
          <t>VÄSTERBOTTENS LÄN</t>
        </is>
      </c>
      <c r="E4909" t="inlineStr">
        <is>
          <t>SKELLEFTEÅ</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53311-2023</t>
        </is>
      </c>
      <c r="B4910" s="1" t="n">
        <v>45229.59980324074</v>
      </c>
      <c r="C4910" s="1" t="n">
        <v>45971</v>
      </c>
      <c r="D4910" t="inlineStr">
        <is>
          <t>VÄSTERBOTTENS LÄN</t>
        </is>
      </c>
      <c r="E4910" t="inlineStr">
        <is>
          <t>SKELLEFTEÅ</t>
        </is>
      </c>
      <c r="F4910" t="inlineStr">
        <is>
          <t>Holmen skog AB</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33109-2024</t>
        </is>
      </c>
      <c r="B4911" s="1" t="n">
        <v>45517</v>
      </c>
      <c r="C4911" s="1" t="n">
        <v>45971</v>
      </c>
      <c r="D4911" t="inlineStr">
        <is>
          <t>VÄSTERBOTTENS LÄN</t>
        </is>
      </c>
      <c r="E4911" t="inlineStr">
        <is>
          <t>SKELLEFTEÅ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60854-2023</t>
        </is>
      </c>
      <c r="B4912" s="1" t="n">
        <v>45260.9266087963</v>
      </c>
      <c r="C4912" s="1" t="n">
        <v>45971</v>
      </c>
      <c r="D4912" t="inlineStr">
        <is>
          <t>VÄSTERBOTTENS LÄN</t>
        </is>
      </c>
      <c r="E4912" t="inlineStr">
        <is>
          <t>STORUMAN</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33188-2024</t>
        </is>
      </c>
      <c r="B4913" s="1" t="n">
        <v>45518</v>
      </c>
      <c r="C4913" s="1" t="n">
        <v>45971</v>
      </c>
      <c r="D4913" t="inlineStr">
        <is>
          <t>VÄSTERBOTTENS LÄN</t>
        </is>
      </c>
      <c r="E4913" t="inlineStr">
        <is>
          <t>MALÅ</t>
        </is>
      </c>
      <c r="F4913" t="inlineStr">
        <is>
          <t>Kommuner</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11945-2023</t>
        </is>
      </c>
      <c r="B4914" s="1" t="n">
        <v>44995</v>
      </c>
      <c r="C4914" s="1" t="n">
        <v>45971</v>
      </c>
      <c r="D4914" t="inlineStr">
        <is>
          <t>VÄSTERBOTTENS LÄN</t>
        </is>
      </c>
      <c r="E4914" t="inlineStr">
        <is>
          <t>SKELLEFTEÅ</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38555-2024</t>
        </is>
      </c>
      <c r="B4915" s="1" t="n">
        <v>45546</v>
      </c>
      <c r="C4915" s="1" t="n">
        <v>45971</v>
      </c>
      <c r="D4915" t="inlineStr">
        <is>
          <t>VÄSTERBOTTENS LÄN</t>
        </is>
      </c>
      <c r="E4915" t="inlineStr">
        <is>
          <t>VILHELMINA</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51934-2021</t>
        </is>
      </c>
      <c r="B4916" s="1" t="n">
        <v>44462.95502314815</v>
      </c>
      <c r="C4916" s="1" t="n">
        <v>45971</v>
      </c>
      <c r="D4916" t="inlineStr">
        <is>
          <t>VÄSTERBOTTENS LÄN</t>
        </is>
      </c>
      <c r="E4916" t="inlineStr">
        <is>
          <t>SORSELE</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60892-2022</t>
        </is>
      </c>
      <c r="B4917" s="1" t="n">
        <v>44908</v>
      </c>
      <c r="C4917" s="1" t="n">
        <v>45971</v>
      </c>
      <c r="D4917" t="inlineStr">
        <is>
          <t>VÄSTERBOTTENS LÄN</t>
        </is>
      </c>
      <c r="E4917" t="inlineStr">
        <is>
          <t>SORSELE</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50796-2022</t>
        </is>
      </c>
      <c r="B4918" s="1" t="n">
        <v>44867</v>
      </c>
      <c r="C4918" s="1" t="n">
        <v>45971</v>
      </c>
      <c r="D4918" t="inlineStr">
        <is>
          <t>VÄSTERBOTTENS LÄN</t>
        </is>
      </c>
      <c r="E4918" t="inlineStr">
        <is>
          <t>NORSJÖ</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6974-2024</t>
        </is>
      </c>
      <c r="B4919" s="1" t="n">
        <v>45343</v>
      </c>
      <c r="C4919" s="1" t="n">
        <v>45971</v>
      </c>
      <c r="D4919" t="inlineStr">
        <is>
          <t>VÄSTERBOTTENS LÄN</t>
        </is>
      </c>
      <c r="E4919" t="inlineStr">
        <is>
          <t>NORDMALING</t>
        </is>
      </c>
      <c r="F4919" t="inlineStr">
        <is>
          <t>Kommuner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7700-2024</t>
        </is>
      </c>
      <c r="B4920" s="1" t="n">
        <v>45349</v>
      </c>
      <c r="C4920" s="1" t="n">
        <v>45971</v>
      </c>
      <c r="D4920" t="inlineStr">
        <is>
          <t>VÄSTERBOTTENS LÄN</t>
        </is>
      </c>
      <c r="E4920" t="inlineStr">
        <is>
          <t>NORDMALING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35291-2023</t>
        </is>
      </c>
      <c r="B4921" s="1" t="n">
        <v>45145.95565972223</v>
      </c>
      <c r="C4921" s="1" t="n">
        <v>45971</v>
      </c>
      <c r="D4921" t="inlineStr">
        <is>
          <t>VÄSTERBOTTENS LÄN</t>
        </is>
      </c>
      <c r="E4921" t="inlineStr">
        <is>
          <t>NORDMALING</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33318-2024</t>
        </is>
      </c>
      <c r="B4922" s="1" t="n">
        <v>45518.97211805556</v>
      </c>
      <c r="C4922" s="1" t="n">
        <v>45971</v>
      </c>
      <c r="D4922" t="inlineStr">
        <is>
          <t>VÄSTERBOTTENS LÄN</t>
        </is>
      </c>
      <c r="E4922" t="inlineStr">
        <is>
          <t>VILHELMINA</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33321-2024</t>
        </is>
      </c>
      <c r="B4923" s="1" t="n">
        <v>45518.97256944444</v>
      </c>
      <c r="C4923" s="1" t="n">
        <v>45971</v>
      </c>
      <c r="D4923" t="inlineStr">
        <is>
          <t>VÄSTERBOTTENS LÄN</t>
        </is>
      </c>
      <c r="E4923" t="inlineStr">
        <is>
          <t>VILHELMINA</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37181-2023</t>
        </is>
      </c>
      <c r="B4924" s="1" t="n">
        <v>45154</v>
      </c>
      <c r="C4924" s="1" t="n">
        <v>45971</v>
      </c>
      <c r="D4924" t="inlineStr">
        <is>
          <t>VÄSTERBOTTENS LÄN</t>
        </is>
      </c>
      <c r="E4924" t="inlineStr">
        <is>
          <t>MALÅ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6942-2025</t>
        </is>
      </c>
      <c r="B4925" s="1" t="n">
        <v>45701</v>
      </c>
      <c r="C4925" s="1" t="n">
        <v>45971</v>
      </c>
      <c r="D4925" t="inlineStr">
        <is>
          <t>VÄSTERBOTTENS LÄN</t>
        </is>
      </c>
      <c r="E4925" t="inlineStr">
        <is>
          <t>LYCKSELE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7397-2025</t>
        </is>
      </c>
      <c r="B4926" s="1" t="n">
        <v>45705.3462037037</v>
      </c>
      <c r="C4926" s="1" t="n">
        <v>45971</v>
      </c>
      <c r="D4926" t="inlineStr">
        <is>
          <t>VÄSTERBOTTENS LÄN</t>
        </is>
      </c>
      <c r="E4926" t="inlineStr">
        <is>
          <t>DOROTEA</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15884-2025</t>
        </is>
      </c>
      <c r="B4927" s="1" t="n">
        <v>45749</v>
      </c>
      <c r="C4927" s="1" t="n">
        <v>45971</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2766-2025</t>
        </is>
      </c>
      <c r="B4928" s="1" t="n">
        <v>45677.49140046296</v>
      </c>
      <c r="C4928" s="1" t="n">
        <v>45971</v>
      </c>
      <c r="D4928" t="inlineStr">
        <is>
          <t>VÄSTERBOTTENS LÄN</t>
        </is>
      </c>
      <c r="E4928" t="inlineStr">
        <is>
          <t>UMEÅ</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22739-2023</t>
        </is>
      </c>
      <c r="B4929" s="1" t="n">
        <v>45071.92619212963</v>
      </c>
      <c r="C4929" s="1" t="n">
        <v>45971</v>
      </c>
      <c r="D4929" t="inlineStr">
        <is>
          <t>VÄSTERBOTTENS LÄN</t>
        </is>
      </c>
      <c r="E4929" t="inlineStr">
        <is>
          <t>ÅSELE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65096-2020</t>
        </is>
      </c>
      <c r="B4930" s="1" t="n">
        <v>44167</v>
      </c>
      <c r="C4930" s="1" t="n">
        <v>45971</v>
      </c>
      <c r="D4930" t="inlineStr">
        <is>
          <t>VÄSTERBOTTENS LÄN</t>
        </is>
      </c>
      <c r="E4930" t="inlineStr">
        <is>
          <t>SKELLEFTEÅ</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15002-2022</t>
        </is>
      </c>
      <c r="B4931" s="1" t="n">
        <v>44657</v>
      </c>
      <c r="C4931" s="1" t="n">
        <v>45971</v>
      </c>
      <c r="D4931" t="inlineStr">
        <is>
          <t>VÄSTERBOTTENS LÄN</t>
        </is>
      </c>
      <c r="E4931" t="inlineStr">
        <is>
          <t>SORSELE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15008-2022</t>
        </is>
      </c>
      <c r="B4932" s="1" t="n">
        <v>44657</v>
      </c>
      <c r="C4932" s="1" t="n">
        <v>45971</v>
      </c>
      <c r="D4932" t="inlineStr">
        <is>
          <t>VÄSTERBOTTENS LÄN</t>
        </is>
      </c>
      <c r="E4932" t="inlineStr">
        <is>
          <t>SORSELE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16021-2025</t>
        </is>
      </c>
      <c r="B4933" s="1" t="n">
        <v>45749</v>
      </c>
      <c r="C4933" s="1" t="n">
        <v>45971</v>
      </c>
      <c r="D4933" t="inlineStr">
        <is>
          <t>VÄSTERBOTTENS LÄN</t>
        </is>
      </c>
      <c r="E4933" t="inlineStr">
        <is>
          <t>UMEÅ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53646-2022</t>
        </is>
      </c>
      <c r="B4934" s="1" t="n">
        <v>44879</v>
      </c>
      <c r="C4934" s="1" t="n">
        <v>45971</v>
      </c>
      <c r="D4934" t="inlineStr">
        <is>
          <t>VÄSTERBOTTENS LÄN</t>
        </is>
      </c>
      <c r="E4934" t="inlineStr">
        <is>
          <t>SKELLEFTEÅ</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42317-2023</t>
        </is>
      </c>
      <c r="B4935" s="1" t="n">
        <v>45175</v>
      </c>
      <c r="C4935" s="1" t="n">
        <v>45971</v>
      </c>
      <c r="D4935" t="inlineStr">
        <is>
          <t>VÄSTERBOTTENS LÄN</t>
        </is>
      </c>
      <c r="E4935" t="inlineStr">
        <is>
          <t>VÄNNÄS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42327-2023</t>
        </is>
      </c>
      <c r="B4936" s="1" t="n">
        <v>45175</v>
      </c>
      <c r="C4936" s="1" t="n">
        <v>45971</v>
      </c>
      <c r="D4936" t="inlineStr">
        <is>
          <t>VÄSTERBOTTENS LÄN</t>
        </is>
      </c>
      <c r="E4936" t="inlineStr">
        <is>
          <t>VÄNNÄS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53018-2024</t>
        </is>
      </c>
      <c r="B4937" s="1" t="n">
        <v>45611</v>
      </c>
      <c r="C4937" s="1" t="n">
        <v>45971</v>
      </c>
      <c r="D4937" t="inlineStr">
        <is>
          <t>VÄSTERBOTTENS LÄN</t>
        </is>
      </c>
      <c r="E4937" t="inlineStr">
        <is>
          <t>ÅSELE</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47910-2023</t>
        </is>
      </c>
      <c r="B4938" s="1" t="n">
        <v>45204.5140625</v>
      </c>
      <c r="C4938" s="1" t="n">
        <v>45971</v>
      </c>
      <c r="D4938" t="inlineStr">
        <is>
          <t>VÄSTERBOTTENS LÄN</t>
        </is>
      </c>
      <c r="E4938" t="inlineStr">
        <is>
          <t>SKELLEFTEÅ</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13557-2024</t>
        </is>
      </c>
      <c r="B4939" s="1" t="n">
        <v>45388</v>
      </c>
      <c r="C4939" s="1" t="n">
        <v>45971</v>
      </c>
      <c r="D4939" t="inlineStr">
        <is>
          <t>VÄSTERBOTTENS LÄN</t>
        </is>
      </c>
      <c r="E4939" t="inlineStr">
        <is>
          <t>VILHELMINA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47933-2023</t>
        </is>
      </c>
      <c r="B4940" s="1" t="n">
        <v>45198</v>
      </c>
      <c r="C4940" s="1" t="n">
        <v>45971</v>
      </c>
      <c r="D4940" t="inlineStr">
        <is>
          <t>VÄSTERBOTTENS LÄN</t>
        </is>
      </c>
      <c r="E4940" t="inlineStr">
        <is>
          <t>SORSELE</t>
        </is>
      </c>
      <c r="G4940" t="n">
        <v>125</v>
      </c>
      <c r="H4940" t="n">
        <v>0</v>
      </c>
      <c r="I4940" t="n">
        <v>0</v>
      </c>
      <c r="J4940" t="n">
        <v>0</v>
      </c>
      <c r="K4940" t="n">
        <v>0</v>
      </c>
      <c r="L4940" t="n">
        <v>0</v>
      </c>
      <c r="M4940" t="n">
        <v>0</v>
      </c>
      <c r="N4940" t="n">
        <v>0</v>
      </c>
      <c r="O4940" t="n">
        <v>0</v>
      </c>
      <c r="P4940" t="n">
        <v>0</v>
      </c>
      <c r="Q4940" t="n">
        <v>0</v>
      </c>
      <c r="R4940" s="2" t="inlineStr"/>
    </row>
    <row r="4941" ht="15" customHeight="1">
      <c r="A4941" t="inlineStr">
        <is>
          <t>A 29164-2022</t>
        </is>
      </c>
      <c r="B4941" s="1" t="n">
        <v>44750.49505787037</v>
      </c>
      <c r="C4941" s="1" t="n">
        <v>45971</v>
      </c>
      <c r="D4941" t="inlineStr">
        <is>
          <t>VÄSTERBOTTENS LÄN</t>
        </is>
      </c>
      <c r="E4941" t="inlineStr">
        <is>
          <t>SKELLEFTEÅ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37468-2024</t>
        </is>
      </c>
      <c r="B4942" s="1" t="n">
        <v>45540</v>
      </c>
      <c r="C4942" s="1" t="n">
        <v>45971</v>
      </c>
      <c r="D4942" t="inlineStr">
        <is>
          <t>VÄSTERBOTTENS LÄN</t>
        </is>
      </c>
      <c r="E4942" t="inlineStr">
        <is>
          <t>MALÅ</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74013-2021</t>
        </is>
      </c>
      <c r="B4943" s="1" t="n">
        <v>44557.42135416667</v>
      </c>
      <c r="C4943" s="1" t="n">
        <v>45971</v>
      </c>
      <c r="D4943" t="inlineStr">
        <is>
          <t>VÄSTERBOTTENS LÄN</t>
        </is>
      </c>
      <c r="E4943" t="inlineStr">
        <is>
          <t>DOROTEA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52218-2024</t>
        </is>
      </c>
      <c r="B4944" s="1" t="n">
        <v>45608.60149305555</v>
      </c>
      <c r="C4944" s="1" t="n">
        <v>45971</v>
      </c>
      <c r="D4944" t="inlineStr">
        <is>
          <t>VÄSTERBOTTENS LÄN</t>
        </is>
      </c>
      <c r="E4944" t="inlineStr">
        <is>
          <t>SKELLEFTEÅ</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44132-2023</t>
        </is>
      </c>
      <c r="B4945" s="1" t="n">
        <v>45182</v>
      </c>
      <c r="C4945" s="1" t="n">
        <v>45971</v>
      </c>
      <c r="D4945" t="inlineStr">
        <is>
          <t>VÄSTERBOTTENS LÄN</t>
        </is>
      </c>
      <c r="E4945" t="inlineStr">
        <is>
          <t>SORSELE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29579-2024</t>
        </is>
      </c>
      <c r="B4946" s="1" t="n">
        <v>45484.57260416666</v>
      </c>
      <c r="C4946" s="1" t="n">
        <v>45971</v>
      </c>
      <c r="D4946" t="inlineStr">
        <is>
          <t>VÄSTERBOTTENS LÄN</t>
        </is>
      </c>
      <c r="E4946" t="inlineStr">
        <is>
          <t>SKELLEFTEÅ</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54366-2024</t>
        </is>
      </c>
      <c r="B4947" s="1" t="n">
        <v>45617</v>
      </c>
      <c r="C4947" s="1" t="n">
        <v>45971</v>
      </c>
      <c r="D4947" t="inlineStr">
        <is>
          <t>VÄSTERBOTTENS LÄN</t>
        </is>
      </c>
      <c r="E4947" t="inlineStr">
        <is>
          <t>ROBERTSFORS</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24832-2022</t>
        </is>
      </c>
      <c r="B4948" s="1" t="n">
        <v>44728</v>
      </c>
      <c r="C4948" s="1" t="n">
        <v>45971</v>
      </c>
      <c r="D4948" t="inlineStr">
        <is>
          <t>VÄSTERBOTTENS LÄN</t>
        </is>
      </c>
      <c r="E4948" t="inlineStr">
        <is>
          <t>SKELLEFTEÅ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62630-2022</t>
        </is>
      </c>
      <c r="B4949" s="1" t="n">
        <v>44917</v>
      </c>
      <c r="C4949" s="1" t="n">
        <v>45971</v>
      </c>
      <c r="D4949" t="inlineStr">
        <is>
          <t>VÄSTERBOTTENS LÄN</t>
        </is>
      </c>
      <c r="E4949" t="inlineStr">
        <is>
          <t>VILHELMINA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45560-2022</t>
        </is>
      </c>
      <c r="B4950" s="1" t="n">
        <v>44841</v>
      </c>
      <c r="C4950" s="1" t="n">
        <v>45971</v>
      </c>
      <c r="D4950" t="inlineStr">
        <is>
          <t>VÄSTERBOTTENS LÄN</t>
        </is>
      </c>
      <c r="E4950" t="inlineStr">
        <is>
          <t>SORSELE</t>
        </is>
      </c>
      <c r="G4950" t="n">
        <v>26.2</v>
      </c>
      <c r="H4950" t="n">
        <v>0</v>
      </c>
      <c r="I4950" t="n">
        <v>0</v>
      </c>
      <c r="J4950" t="n">
        <v>0</v>
      </c>
      <c r="K4950" t="n">
        <v>0</v>
      </c>
      <c r="L4950" t="n">
        <v>0</v>
      </c>
      <c r="M4950" t="n">
        <v>0</v>
      </c>
      <c r="N4950" t="n">
        <v>0</v>
      </c>
      <c r="O4950" t="n">
        <v>0</v>
      </c>
      <c r="P4950" t="n">
        <v>0</v>
      </c>
      <c r="Q4950" t="n">
        <v>0</v>
      </c>
      <c r="R4950" s="2" t="inlineStr"/>
    </row>
    <row r="4951" ht="15" customHeight="1">
      <c r="A4951" t="inlineStr">
        <is>
          <t>A 37796-2023</t>
        </is>
      </c>
      <c r="B4951" s="1" t="n">
        <v>45159.92447916666</v>
      </c>
      <c r="C4951" s="1" t="n">
        <v>45971</v>
      </c>
      <c r="D4951" t="inlineStr">
        <is>
          <t>VÄSTERBOTTENS LÄN</t>
        </is>
      </c>
      <c r="E4951" t="inlineStr">
        <is>
          <t>SKELLEFTEÅ</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19385-2025</t>
        </is>
      </c>
      <c r="B4952" s="1" t="n">
        <v>45769.65708333333</v>
      </c>
      <c r="C4952" s="1" t="n">
        <v>45971</v>
      </c>
      <c r="D4952" t="inlineStr">
        <is>
          <t>VÄSTERBOTTENS LÄN</t>
        </is>
      </c>
      <c r="E4952" t="inlineStr">
        <is>
          <t>ÅSELE</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39603-2021</t>
        </is>
      </c>
      <c r="B4953" s="1" t="n">
        <v>44417</v>
      </c>
      <c r="C4953" s="1" t="n">
        <v>45971</v>
      </c>
      <c r="D4953" t="inlineStr">
        <is>
          <t>VÄSTERBOTTENS LÄN</t>
        </is>
      </c>
      <c r="E4953" t="inlineStr">
        <is>
          <t>DOROTEA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44387-2023</t>
        </is>
      </c>
      <c r="B4954" s="1" t="n">
        <v>45188.94491898148</v>
      </c>
      <c r="C4954" s="1" t="n">
        <v>45971</v>
      </c>
      <c r="D4954" t="inlineStr">
        <is>
          <t>VÄSTERBOTTENS LÄN</t>
        </is>
      </c>
      <c r="E4954" t="inlineStr">
        <is>
          <t>NORDMALING</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54264-2024</t>
        </is>
      </c>
      <c r="B4955" s="1" t="n">
        <v>45616</v>
      </c>
      <c r="C4955" s="1" t="n">
        <v>45971</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13202-2022</t>
        </is>
      </c>
      <c r="B4956" s="1" t="n">
        <v>44644.54197916666</v>
      </c>
      <c r="C4956" s="1" t="n">
        <v>45971</v>
      </c>
      <c r="D4956" t="inlineStr">
        <is>
          <t>VÄSTERBOTTENS LÄN</t>
        </is>
      </c>
      <c r="E4956" t="inlineStr">
        <is>
          <t>VINDELN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54880-2024</t>
        </is>
      </c>
      <c r="B4957" s="1" t="n">
        <v>45618.61046296296</v>
      </c>
      <c r="C4957" s="1" t="n">
        <v>45971</v>
      </c>
      <c r="D4957" t="inlineStr">
        <is>
          <t>VÄSTERBOTTENS LÄN</t>
        </is>
      </c>
      <c r="E4957" t="inlineStr">
        <is>
          <t>SKELLEFTEÅ</t>
        </is>
      </c>
      <c r="F4957" t="inlineStr">
        <is>
          <t>Sveaskog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54019-2024</t>
        </is>
      </c>
      <c r="B4958" s="1" t="n">
        <v>45616.38535879629</v>
      </c>
      <c r="C4958" s="1" t="n">
        <v>45971</v>
      </c>
      <c r="D4958" t="inlineStr">
        <is>
          <t>VÄSTERBOTTENS LÄN</t>
        </is>
      </c>
      <c r="E4958" t="inlineStr">
        <is>
          <t>VINDELN</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54024-2024</t>
        </is>
      </c>
      <c r="B4959" s="1" t="n">
        <v>45616.38949074074</v>
      </c>
      <c r="C4959" s="1" t="n">
        <v>45971</v>
      </c>
      <c r="D4959" t="inlineStr">
        <is>
          <t>VÄSTERBOTTENS LÄN</t>
        </is>
      </c>
      <c r="E4959" t="inlineStr">
        <is>
          <t>VINDELN</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54030-2024</t>
        </is>
      </c>
      <c r="B4960" s="1" t="n">
        <v>45616.4003125</v>
      </c>
      <c r="C4960" s="1" t="n">
        <v>45971</v>
      </c>
      <c r="D4960" t="inlineStr">
        <is>
          <t>VÄSTERBOTTENS LÄN</t>
        </is>
      </c>
      <c r="E4960" t="inlineStr">
        <is>
          <t>VINDELN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54033-2024</t>
        </is>
      </c>
      <c r="B4961" s="1" t="n">
        <v>45616.41386574074</v>
      </c>
      <c r="C4961" s="1" t="n">
        <v>45971</v>
      </c>
      <c r="D4961" t="inlineStr">
        <is>
          <t>VÄSTERBOTTENS LÄN</t>
        </is>
      </c>
      <c r="E4961" t="inlineStr">
        <is>
          <t>VINDELN</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24532-2023</t>
        </is>
      </c>
      <c r="B4962" s="1" t="n">
        <v>45082.75269675926</v>
      </c>
      <c r="C4962" s="1" t="n">
        <v>45971</v>
      </c>
      <c r="D4962" t="inlineStr">
        <is>
          <t>VÄSTERBOTTENS LÄN</t>
        </is>
      </c>
      <c r="E4962" t="inlineStr">
        <is>
          <t>UMEÅ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40370-2023</t>
        </is>
      </c>
      <c r="B4963" s="1" t="n">
        <v>45168</v>
      </c>
      <c r="C4963" s="1" t="n">
        <v>45971</v>
      </c>
      <c r="D4963" t="inlineStr">
        <is>
          <t>VÄSTERBOTTENS LÄN</t>
        </is>
      </c>
      <c r="E4963" t="inlineStr">
        <is>
          <t>MALÅ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42181-2023</t>
        </is>
      </c>
      <c r="B4964" s="1" t="n">
        <v>45178.92329861111</v>
      </c>
      <c r="C4964" s="1" t="n">
        <v>45971</v>
      </c>
      <c r="D4964" t="inlineStr">
        <is>
          <t>VÄSTERBOTTENS LÄN</t>
        </is>
      </c>
      <c r="E4964" t="inlineStr">
        <is>
          <t>NORSJÖ</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60690-2022</t>
        </is>
      </c>
      <c r="B4965" s="1" t="n">
        <v>44911</v>
      </c>
      <c r="C4965" s="1" t="n">
        <v>45971</v>
      </c>
      <c r="D4965" t="inlineStr">
        <is>
          <t>VÄSTERBOTTENS LÄN</t>
        </is>
      </c>
      <c r="E4965" t="inlineStr">
        <is>
          <t>BJURHOLM</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55940-2024</t>
        </is>
      </c>
      <c r="B4966" s="1" t="n">
        <v>45623.61108796296</v>
      </c>
      <c r="C4966" s="1" t="n">
        <v>45971</v>
      </c>
      <c r="D4966" t="inlineStr">
        <is>
          <t>VÄSTERBOTTENS LÄN</t>
        </is>
      </c>
      <c r="E4966" t="inlineStr">
        <is>
          <t>SKELLEFTEÅ</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51526-2023</t>
        </is>
      </c>
      <c r="B4967" s="1" t="n">
        <v>45222</v>
      </c>
      <c r="C4967" s="1" t="n">
        <v>45971</v>
      </c>
      <c r="D4967" t="inlineStr">
        <is>
          <t>VÄSTERBOTTENS LÄN</t>
        </is>
      </c>
      <c r="E4967" t="inlineStr">
        <is>
          <t>SKELLEFTEÅ</t>
        </is>
      </c>
      <c r="F4967" t="inlineStr">
        <is>
          <t>Holmen skog AB</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58676-2024</t>
        </is>
      </c>
      <c r="B4968" s="1" t="n">
        <v>45635</v>
      </c>
      <c r="C4968" s="1" t="n">
        <v>45971</v>
      </c>
      <c r="D4968" t="inlineStr">
        <is>
          <t>VÄSTERBOTTENS LÄN</t>
        </is>
      </c>
      <c r="E4968" t="inlineStr">
        <is>
          <t>SORSELE</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45971</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54984-2023</t>
        </is>
      </c>
      <c r="B4970" s="1" t="n">
        <v>45236</v>
      </c>
      <c r="C4970" s="1" t="n">
        <v>45971</v>
      </c>
      <c r="D4970" t="inlineStr">
        <is>
          <t>VÄSTERBOTTENS LÄN</t>
        </is>
      </c>
      <c r="E4970" t="inlineStr">
        <is>
          <t>VILHELMINA</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54437-2023</t>
        </is>
      </c>
      <c r="B4971" s="1" t="n">
        <v>45233</v>
      </c>
      <c r="C4971" s="1" t="n">
        <v>45971</v>
      </c>
      <c r="D4971" t="inlineStr">
        <is>
          <t>VÄSTERBOTTENS LÄN</t>
        </is>
      </c>
      <c r="E4971" t="inlineStr">
        <is>
          <t>MALÅ</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39251-2025</t>
        </is>
      </c>
      <c r="B4972" s="1" t="n">
        <v>45889.36145833333</v>
      </c>
      <c r="C4972" s="1" t="n">
        <v>45971</v>
      </c>
      <c r="D4972" t="inlineStr">
        <is>
          <t>VÄSTERBOTTENS LÄN</t>
        </is>
      </c>
      <c r="E4972" t="inlineStr">
        <is>
          <t>ÅSELE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39254-2025</t>
        </is>
      </c>
      <c r="B4973" s="1" t="n">
        <v>45889.36454861111</v>
      </c>
      <c r="C4973" s="1" t="n">
        <v>45971</v>
      </c>
      <c r="D4973" t="inlineStr">
        <is>
          <t>VÄSTERBOTTENS LÄN</t>
        </is>
      </c>
      <c r="E4973" t="inlineStr">
        <is>
          <t>SKELLEFTEÅ</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39255-2025</t>
        </is>
      </c>
      <c r="B4974" s="1" t="n">
        <v>45889.36472222222</v>
      </c>
      <c r="C4974" s="1" t="n">
        <v>45971</v>
      </c>
      <c r="D4974" t="inlineStr">
        <is>
          <t>VÄSTERBOTTENS LÄN</t>
        </is>
      </c>
      <c r="E4974" t="inlineStr">
        <is>
          <t>BJURHOLM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39267-2025</t>
        </is>
      </c>
      <c r="B4975" s="1" t="n">
        <v>45889.37619212963</v>
      </c>
      <c r="C4975" s="1" t="n">
        <v>45971</v>
      </c>
      <c r="D4975" t="inlineStr">
        <is>
          <t>VÄSTERBOTTENS LÄN</t>
        </is>
      </c>
      <c r="E4975" t="inlineStr">
        <is>
          <t>BJURHOLM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54446-2023</t>
        </is>
      </c>
      <c r="B4976" s="1" t="n">
        <v>45233</v>
      </c>
      <c r="C4976" s="1" t="n">
        <v>45971</v>
      </c>
      <c r="D4976" t="inlineStr">
        <is>
          <t>VÄSTERBOTTENS LÄN</t>
        </is>
      </c>
      <c r="E4976" t="inlineStr">
        <is>
          <t>LYCKSELE</t>
        </is>
      </c>
      <c r="G4976" t="n">
        <v>21.4</v>
      </c>
      <c r="H4976" t="n">
        <v>0</v>
      </c>
      <c r="I4976" t="n">
        <v>0</v>
      </c>
      <c r="J4976" t="n">
        <v>0</v>
      </c>
      <c r="K4976" t="n">
        <v>0</v>
      </c>
      <c r="L4976" t="n">
        <v>0</v>
      </c>
      <c r="M4976" t="n">
        <v>0</v>
      </c>
      <c r="N4976" t="n">
        <v>0</v>
      </c>
      <c r="O4976" t="n">
        <v>0</v>
      </c>
      <c r="P4976" t="n">
        <v>0</v>
      </c>
      <c r="Q4976" t="n">
        <v>0</v>
      </c>
      <c r="R4976" s="2" t="inlineStr"/>
    </row>
    <row r="4977" ht="15" customHeight="1">
      <c r="A4977" t="inlineStr">
        <is>
          <t>A 54476-2023</t>
        </is>
      </c>
      <c r="B4977" s="1" t="n">
        <v>45233.47082175926</v>
      </c>
      <c r="C4977" s="1" t="n">
        <v>45971</v>
      </c>
      <c r="D4977" t="inlineStr">
        <is>
          <t>VÄSTERBOTTENS LÄN</t>
        </is>
      </c>
      <c r="E4977" t="inlineStr">
        <is>
          <t>SKELLEFTEÅ</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37950-2024</t>
        </is>
      </c>
      <c r="B4978" s="1" t="n">
        <v>45544.51636574074</v>
      </c>
      <c r="C4978" s="1" t="n">
        <v>45971</v>
      </c>
      <c r="D4978" t="inlineStr">
        <is>
          <t>VÄSTERBOTTENS LÄN</t>
        </is>
      </c>
      <c r="E4978" t="inlineStr">
        <is>
          <t>LYCKSELE</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16192-2024</t>
        </is>
      </c>
      <c r="B4979" s="1" t="n">
        <v>45406</v>
      </c>
      <c r="C4979" s="1" t="n">
        <v>45971</v>
      </c>
      <c r="D4979" t="inlineStr">
        <is>
          <t>VÄSTERBOTTENS LÄN</t>
        </is>
      </c>
      <c r="E4979" t="inlineStr">
        <is>
          <t>LYCKSELE</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59860-2022</t>
        </is>
      </c>
      <c r="B4980" s="1" t="n">
        <v>44908.65792824074</v>
      </c>
      <c r="C4980" s="1" t="n">
        <v>45971</v>
      </c>
      <c r="D4980" t="inlineStr">
        <is>
          <t>VÄSTERBOTTENS LÄN</t>
        </is>
      </c>
      <c r="E4980" t="inlineStr">
        <is>
          <t>UMEÅ</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58594-2022</t>
        </is>
      </c>
      <c r="B4981" s="1" t="n">
        <v>44902.54416666667</v>
      </c>
      <c r="C4981" s="1" t="n">
        <v>45971</v>
      </c>
      <c r="D4981" t="inlineStr">
        <is>
          <t>VÄSTERBOTTENS LÄN</t>
        </is>
      </c>
      <c r="E4981" t="inlineStr">
        <is>
          <t>LYCKSELE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62657-2022</t>
        </is>
      </c>
      <c r="B4982" s="1" t="n">
        <v>44925</v>
      </c>
      <c r="C4982" s="1" t="n">
        <v>45971</v>
      </c>
      <c r="D4982" t="inlineStr">
        <is>
          <t>VÄSTERBOTTENS LÄN</t>
        </is>
      </c>
      <c r="E4982" t="inlineStr">
        <is>
          <t>DOROTEA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58710-2020</t>
        </is>
      </c>
      <c r="B4983" s="1" t="n">
        <v>44146</v>
      </c>
      <c r="C4983" s="1" t="n">
        <v>45971</v>
      </c>
      <c r="D4983" t="inlineStr">
        <is>
          <t>VÄSTERBOTTENS LÄN</t>
        </is>
      </c>
      <c r="E4983" t="inlineStr">
        <is>
          <t>UMEÅ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25080-2024</t>
        </is>
      </c>
      <c r="B4984" s="1" t="n">
        <v>45462.38275462963</v>
      </c>
      <c r="C4984" s="1" t="n">
        <v>45971</v>
      </c>
      <c r="D4984" t="inlineStr">
        <is>
          <t>VÄSTERBOTTENS LÄN</t>
        </is>
      </c>
      <c r="E4984" t="inlineStr">
        <is>
          <t>NORSJÖ</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25084-2024</t>
        </is>
      </c>
      <c r="B4985" s="1" t="n">
        <v>45462.38805555556</v>
      </c>
      <c r="C4985" s="1" t="n">
        <v>45971</v>
      </c>
      <c r="D4985" t="inlineStr">
        <is>
          <t>VÄSTERBOTTENS LÄN</t>
        </is>
      </c>
      <c r="E4985" t="inlineStr">
        <is>
          <t>NORSJÖ</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51368-2023</t>
        </is>
      </c>
      <c r="B4986" s="1" t="n">
        <v>45219</v>
      </c>
      <c r="C4986" s="1" t="n">
        <v>45971</v>
      </c>
      <c r="D4986" t="inlineStr">
        <is>
          <t>VÄSTERBOTTENS LÄN</t>
        </is>
      </c>
      <c r="E4986" t="inlineStr">
        <is>
          <t>LYCKSELE</t>
        </is>
      </c>
      <c r="F4986" t="inlineStr">
        <is>
          <t>Holmen skog AB</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53795-2022</t>
        </is>
      </c>
      <c r="B4987" s="1" t="n">
        <v>44876</v>
      </c>
      <c r="C4987" s="1" t="n">
        <v>45971</v>
      </c>
      <c r="D4987" t="inlineStr">
        <is>
          <t>VÄSTERBOTTENS LÄN</t>
        </is>
      </c>
      <c r="E4987" t="inlineStr">
        <is>
          <t>DOROTEA</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42160-2024</t>
        </is>
      </c>
      <c r="B4988" s="1" t="n">
        <v>45562.45623842593</v>
      </c>
      <c r="C4988" s="1" t="n">
        <v>45971</v>
      </c>
      <c r="D4988" t="inlineStr">
        <is>
          <t>VÄSTERBOTTENS LÄN</t>
        </is>
      </c>
      <c r="E4988" t="inlineStr">
        <is>
          <t>UMEÅ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27917-2024</t>
        </is>
      </c>
      <c r="B4989" s="1" t="n">
        <v>45475.94844907407</v>
      </c>
      <c r="C4989" s="1" t="n">
        <v>45971</v>
      </c>
      <c r="D4989" t="inlineStr">
        <is>
          <t>VÄSTERBOTTENS LÄN</t>
        </is>
      </c>
      <c r="E4989" t="inlineStr">
        <is>
          <t>VILHELMINA</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42223-2024</t>
        </is>
      </c>
      <c r="B4990" s="1" t="n">
        <v>45562.55023148148</v>
      </c>
      <c r="C4990" s="1" t="n">
        <v>45971</v>
      </c>
      <c r="D4990" t="inlineStr">
        <is>
          <t>VÄSTERBOTTENS LÄN</t>
        </is>
      </c>
      <c r="E4990" t="inlineStr">
        <is>
          <t>SKELLEFTEÅ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61105-2023</t>
        </is>
      </c>
      <c r="B4991" s="1" t="n">
        <v>45261.66517361111</v>
      </c>
      <c r="C4991" s="1" t="n">
        <v>45971</v>
      </c>
      <c r="D4991" t="inlineStr">
        <is>
          <t>VÄSTERBOTTENS LÄN</t>
        </is>
      </c>
      <c r="E4991" t="inlineStr">
        <is>
          <t>UMEÅ</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4403-2025</t>
        </is>
      </c>
      <c r="B4992" s="1" t="n">
        <v>45686.43848379629</v>
      </c>
      <c r="C4992" s="1" t="n">
        <v>45971</v>
      </c>
      <c r="D4992" t="inlineStr">
        <is>
          <t>VÄSTERBOTTENS LÄN</t>
        </is>
      </c>
      <c r="E4992" t="inlineStr">
        <is>
          <t>SKELLEFTEÅ</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61151-2023</t>
        </is>
      </c>
      <c r="B4993" s="1" t="n">
        <v>45261.96797453704</v>
      </c>
      <c r="C4993" s="1" t="n">
        <v>45971</v>
      </c>
      <c r="D4993" t="inlineStr">
        <is>
          <t>VÄSTERBOTTENS LÄN</t>
        </is>
      </c>
      <c r="E4993" t="inlineStr">
        <is>
          <t>VINDELN</t>
        </is>
      </c>
      <c r="F4993" t="inlineStr">
        <is>
          <t>SCA</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61152-2023</t>
        </is>
      </c>
      <c r="B4994" s="1" t="n">
        <v>45261</v>
      </c>
      <c r="C4994" s="1" t="n">
        <v>45971</v>
      </c>
      <c r="D4994" t="inlineStr">
        <is>
          <t>VÄSTERBOTTENS LÄN</t>
        </is>
      </c>
      <c r="E4994" t="inlineStr">
        <is>
          <t>VINDELN</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42014-2024</t>
        </is>
      </c>
      <c r="B4995" s="1" t="n">
        <v>45561.69625</v>
      </c>
      <c r="C4995" s="1" t="n">
        <v>45971</v>
      </c>
      <c r="D4995" t="inlineStr">
        <is>
          <t>VÄSTERBOTTENS LÄN</t>
        </is>
      </c>
      <c r="E4995" t="inlineStr">
        <is>
          <t>UMEÅ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61395-2022</t>
        </is>
      </c>
      <c r="B4996" s="1" t="n">
        <v>44915</v>
      </c>
      <c r="C4996" s="1" t="n">
        <v>45971</v>
      </c>
      <c r="D4996" t="inlineStr">
        <is>
          <t>VÄSTERBOTTENS LÄN</t>
        </is>
      </c>
      <c r="E4996" t="inlineStr">
        <is>
          <t>VINDELN</t>
        </is>
      </c>
      <c r="F4996" t="inlineStr">
        <is>
          <t>SCA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4509-2025</t>
        </is>
      </c>
      <c r="B4997" s="1" t="n">
        <v>45686</v>
      </c>
      <c r="C4997" s="1" t="n">
        <v>45971</v>
      </c>
      <c r="D4997" t="inlineStr">
        <is>
          <t>VÄSTERBOTTENS LÄN</t>
        </is>
      </c>
      <c r="E4997" t="inlineStr">
        <is>
          <t>SKELLEFTEÅ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43945-2023</t>
        </is>
      </c>
      <c r="B4998" s="1" t="n">
        <v>45187</v>
      </c>
      <c r="C4998" s="1" t="n">
        <v>45971</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29104-2024</t>
        </is>
      </c>
      <c r="B4999" s="1" t="n">
        <v>45481.95178240741</v>
      </c>
      <c r="C4999" s="1" t="n">
        <v>45971</v>
      </c>
      <c r="D4999" t="inlineStr">
        <is>
          <t>VÄSTERBOTTENS LÄN</t>
        </is>
      </c>
      <c r="E4999" t="inlineStr">
        <is>
          <t>VILHELMINA</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2410-2023</t>
        </is>
      </c>
      <c r="B5000" s="1" t="n">
        <v>44942</v>
      </c>
      <c r="C5000" s="1" t="n">
        <v>45971</v>
      </c>
      <c r="D5000" t="inlineStr">
        <is>
          <t>VÄSTERBOTTENS LÄN</t>
        </is>
      </c>
      <c r="E5000" t="inlineStr">
        <is>
          <t>VINDELN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1821-2022</t>
        </is>
      </c>
      <c r="B5001" s="1" t="n">
        <v>44574.65519675926</v>
      </c>
      <c r="C5001" s="1" t="n">
        <v>45971</v>
      </c>
      <c r="D5001" t="inlineStr">
        <is>
          <t>VÄSTERBOTTENS LÄN</t>
        </is>
      </c>
      <c r="E5001" t="inlineStr">
        <is>
          <t>UMEÅ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17842-2023</t>
        </is>
      </c>
      <c r="B5002" s="1" t="n">
        <v>45037.65628472222</v>
      </c>
      <c r="C5002" s="1" t="n">
        <v>45971</v>
      </c>
      <c r="D5002" t="inlineStr">
        <is>
          <t>VÄSTERBOTTENS LÄN</t>
        </is>
      </c>
      <c r="E5002" t="inlineStr">
        <is>
          <t>SKELLEFTEÅ</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34402-2024</t>
        </is>
      </c>
      <c r="B5003" s="1" t="n">
        <v>45525.45399305555</v>
      </c>
      <c r="C5003" s="1" t="n">
        <v>45971</v>
      </c>
      <c r="D5003" t="inlineStr">
        <is>
          <t>VÄSTERBOTTENS LÄN</t>
        </is>
      </c>
      <c r="E5003" t="inlineStr">
        <is>
          <t>VINDELN</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19928-2025</t>
        </is>
      </c>
      <c r="B5004" s="1" t="n">
        <v>45771</v>
      </c>
      <c r="C5004" s="1" t="n">
        <v>45971</v>
      </c>
      <c r="D5004" t="inlineStr">
        <is>
          <t>VÄSTERBOTTENS LÄN</t>
        </is>
      </c>
      <c r="E5004" t="inlineStr">
        <is>
          <t>ÅSELE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62732-2022</t>
        </is>
      </c>
      <c r="B5005" s="1" t="n">
        <v>44925.66795138889</v>
      </c>
      <c r="C5005" s="1" t="n">
        <v>45971</v>
      </c>
      <c r="D5005" t="inlineStr">
        <is>
          <t>VÄSTERBOTTENS LÄN</t>
        </is>
      </c>
      <c r="E5005" t="inlineStr">
        <is>
          <t>VINDELN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34587-2024</t>
        </is>
      </c>
      <c r="B5006" s="1" t="n">
        <v>45526</v>
      </c>
      <c r="C5006" s="1" t="n">
        <v>45971</v>
      </c>
      <c r="D5006" t="inlineStr">
        <is>
          <t>VÄSTERBOTTENS LÄN</t>
        </is>
      </c>
      <c r="E5006" t="inlineStr">
        <is>
          <t>SKELLEFTEÅ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35221-2024</t>
        </is>
      </c>
      <c r="B5007" s="1" t="n">
        <v>45530.50326388889</v>
      </c>
      <c r="C5007" s="1" t="n">
        <v>45971</v>
      </c>
      <c r="D5007" t="inlineStr">
        <is>
          <t>VÄSTERBOTTENS LÄN</t>
        </is>
      </c>
      <c r="E5007" t="inlineStr">
        <is>
          <t>ROBERTSFORS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35222-2024</t>
        </is>
      </c>
      <c r="B5008" s="1" t="n">
        <v>45530.50581018518</v>
      </c>
      <c r="C5008" s="1" t="n">
        <v>45971</v>
      </c>
      <c r="D5008" t="inlineStr">
        <is>
          <t>VÄSTERBOTTENS LÄN</t>
        </is>
      </c>
      <c r="E5008" t="inlineStr">
        <is>
          <t>ROBERTSFORS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56299-2022</t>
        </is>
      </c>
      <c r="B5009" s="1" t="n">
        <v>44887</v>
      </c>
      <c r="C5009" s="1" t="n">
        <v>45971</v>
      </c>
      <c r="D5009" t="inlineStr">
        <is>
          <t>VÄSTERBOTTENS LÄN</t>
        </is>
      </c>
      <c r="E5009" t="inlineStr">
        <is>
          <t>SKELLEFTEÅ</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53375-2024</t>
        </is>
      </c>
      <c r="B5010" s="1" t="n">
        <v>45614</v>
      </c>
      <c r="C5010" s="1" t="n">
        <v>45971</v>
      </c>
      <c r="D5010" t="inlineStr">
        <is>
          <t>VÄSTERBOTTENS LÄN</t>
        </is>
      </c>
      <c r="E5010" t="inlineStr">
        <is>
          <t>BJURHOLM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43163-2023</t>
        </is>
      </c>
      <c r="B5011" s="1" t="n">
        <v>45183</v>
      </c>
      <c r="C5011" s="1" t="n">
        <v>45971</v>
      </c>
      <c r="D5011" t="inlineStr">
        <is>
          <t>VÄSTERBOTTENS LÄN</t>
        </is>
      </c>
      <c r="E5011" t="inlineStr">
        <is>
          <t>UMEÅ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13842-2025</t>
        </is>
      </c>
      <c r="B5012" s="1" t="n">
        <v>45737.55802083333</v>
      </c>
      <c r="C5012" s="1" t="n">
        <v>45971</v>
      </c>
      <c r="D5012" t="inlineStr">
        <is>
          <t>VÄSTERBOTTENS LÄN</t>
        </is>
      </c>
      <c r="E5012" t="inlineStr">
        <is>
          <t>BJURHOLM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10440-2023</t>
        </is>
      </c>
      <c r="B5013" s="1" t="n">
        <v>44987</v>
      </c>
      <c r="C5013" s="1" t="n">
        <v>45971</v>
      </c>
      <c r="D5013" t="inlineStr">
        <is>
          <t>VÄSTERBOTTENS LÄN</t>
        </is>
      </c>
      <c r="E5013" t="inlineStr">
        <is>
          <t>VÄNNÄS</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30588-2024</t>
        </is>
      </c>
      <c r="B5014" s="1" t="n">
        <v>45492</v>
      </c>
      <c r="C5014" s="1" t="n">
        <v>45971</v>
      </c>
      <c r="D5014" t="inlineStr">
        <is>
          <t>VÄSTERBOTTENS LÄN</t>
        </is>
      </c>
      <c r="E5014" t="inlineStr">
        <is>
          <t>ÅSELE</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14631-2025</t>
        </is>
      </c>
      <c r="B5015" s="1" t="n">
        <v>45742.42782407408</v>
      </c>
      <c r="C5015" s="1" t="n">
        <v>45971</v>
      </c>
      <c r="D5015" t="inlineStr">
        <is>
          <t>VÄSTERBOTTENS LÄN</t>
        </is>
      </c>
      <c r="E5015" t="inlineStr">
        <is>
          <t>DOROTEA</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22257-2023</t>
        </is>
      </c>
      <c r="B5016" s="1" t="n">
        <v>45070</v>
      </c>
      <c r="C5016" s="1" t="n">
        <v>45971</v>
      </c>
      <c r="D5016" t="inlineStr">
        <is>
          <t>VÄSTERBOTTENS LÄN</t>
        </is>
      </c>
      <c r="E5016" t="inlineStr">
        <is>
          <t>ROBERTSFORS</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64361-2023</t>
        </is>
      </c>
      <c r="B5017" s="1" t="n">
        <v>45280</v>
      </c>
      <c r="C5017" s="1" t="n">
        <v>45971</v>
      </c>
      <c r="D5017" t="inlineStr">
        <is>
          <t>VÄSTERBOTTENS LÄN</t>
        </is>
      </c>
      <c r="E5017" t="inlineStr">
        <is>
          <t>SORSELE</t>
        </is>
      </c>
      <c r="G5017" t="n">
        <v>99.59999999999999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39790-2023</t>
        </is>
      </c>
      <c r="B5018" s="1" t="n">
        <v>45167</v>
      </c>
      <c r="C5018" s="1" t="n">
        <v>45971</v>
      </c>
      <c r="D5018" t="inlineStr">
        <is>
          <t>VÄSTERBOTTENS LÄN</t>
        </is>
      </c>
      <c r="E5018" t="inlineStr">
        <is>
          <t>MALÅ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42183-2023</t>
        </is>
      </c>
      <c r="B5019" s="1" t="n">
        <v>45178</v>
      </c>
      <c r="C5019" s="1" t="n">
        <v>45971</v>
      </c>
      <c r="D5019" t="inlineStr">
        <is>
          <t>VÄSTERBOTTENS LÄN</t>
        </is>
      </c>
      <c r="E5019" t="inlineStr">
        <is>
          <t>MALÅ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14226-2023</t>
        </is>
      </c>
      <c r="B5020" s="1" t="n">
        <v>45009</v>
      </c>
      <c r="C5020" s="1" t="n">
        <v>45971</v>
      </c>
      <c r="D5020" t="inlineStr">
        <is>
          <t>VÄSTERBOTTENS LÄN</t>
        </is>
      </c>
      <c r="E5020" t="inlineStr">
        <is>
          <t>NORSJÖ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53034-2023</t>
        </is>
      </c>
      <c r="B5021" s="1" t="n">
        <v>45226.96258101852</v>
      </c>
      <c r="C5021" s="1" t="n">
        <v>45971</v>
      </c>
      <c r="D5021" t="inlineStr">
        <is>
          <t>VÄSTERBOTTENS LÄN</t>
        </is>
      </c>
      <c r="E5021" t="inlineStr">
        <is>
          <t>VILHELMINA</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53036-2023</t>
        </is>
      </c>
      <c r="B5022" s="1" t="n">
        <v>45226.96280092592</v>
      </c>
      <c r="C5022" s="1" t="n">
        <v>45971</v>
      </c>
      <c r="D5022" t="inlineStr">
        <is>
          <t>VÄSTERBOTTENS LÄN</t>
        </is>
      </c>
      <c r="E5022" t="inlineStr">
        <is>
          <t>LYCKSELE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46164-2023</t>
        </is>
      </c>
      <c r="B5023" s="1" t="n">
        <v>45190</v>
      </c>
      <c r="C5023" s="1" t="n">
        <v>45971</v>
      </c>
      <c r="D5023" t="inlineStr">
        <is>
          <t>VÄSTERBOTTENS LÄN</t>
        </is>
      </c>
      <c r="E5023" t="inlineStr">
        <is>
          <t>VILHELMINA</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39252-2025</t>
        </is>
      </c>
      <c r="B5024" s="1" t="n">
        <v>45889.36288194444</v>
      </c>
      <c r="C5024" s="1" t="n">
        <v>45971</v>
      </c>
      <c r="D5024" t="inlineStr">
        <is>
          <t>VÄSTERBOTTENS LÄN</t>
        </is>
      </c>
      <c r="E5024" t="inlineStr">
        <is>
          <t>BJURHOLM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14242-2023</t>
        </is>
      </c>
      <c r="B5025" s="1" t="n">
        <v>45009</v>
      </c>
      <c r="C5025" s="1" t="n">
        <v>45971</v>
      </c>
      <c r="D5025" t="inlineStr">
        <is>
          <t>VÄSTERBOTTENS LÄN</t>
        </is>
      </c>
      <c r="E5025" t="inlineStr">
        <is>
          <t>UMEÅ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41854-2024</t>
        </is>
      </c>
      <c r="B5026" s="1" t="n">
        <v>45561.44042824074</v>
      </c>
      <c r="C5026" s="1" t="n">
        <v>45971</v>
      </c>
      <c r="D5026" t="inlineStr">
        <is>
          <t>VÄSTERBOTTENS LÄN</t>
        </is>
      </c>
      <c r="E5026" t="inlineStr">
        <is>
          <t>STORUMAN</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46176-2023</t>
        </is>
      </c>
      <c r="B5027" s="1" t="n">
        <v>45196.60607638889</v>
      </c>
      <c r="C5027" s="1" t="n">
        <v>45971</v>
      </c>
      <c r="D5027" t="inlineStr">
        <is>
          <t>VÄSTERBOTTENS LÄN</t>
        </is>
      </c>
      <c r="E5027" t="inlineStr">
        <is>
          <t>LYCKSELE</t>
        </is>
      </c>
      <c r="F5027" t="inlineStr">
        <is>
          <t>Sveaskog</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41914-2024</t>
        </is>
      </c>
      <c r="B5028" s="1" t="n">
        <v>45561.55239583334</v>
      </c>
      <c r="C5028" s="1" t="n">
        <v>45971</v>
      </c>
      <c r="D5028" t="inlineStr">
        <is>
          <t>VÄSTERBOTTENS LÄN</t>
        </is>
      </c>
      <c r="E5028" t="inlineStr">
        <is>
          <t>ROBERTSFORS</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25966-2022</t>
        </is>
      </c>
      <c r="B5029" s="1" t="n">
        <v>44734</v>
      </c>
      <c r="C5029" s="1" t="n">
        <v>45971</v>
      </c>
      <c r="D5029" t="inlineStr">
        <is>
          <t>VÄSTERBOTTENS LÄN</t>
        </is>
      </c>
      <c r="E5029" t="inlineStr">
        <is>
          <t>UMEÅ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40527-2024</t>
        </is>
      </c>
      <c r="B5030" s="1" t="n">
        <v>45555.60515046296</v>
      </c>
      <c r="C5030" s="1" t="n">
        <v>45971</v>
      </c>
      <c r="D5030" t="inlineStr">
        <is>
          <t>VÄSTERBOTTENS LÄN</t>
        </is>
      </c>
      <c r="E5030" t="inlineStr">
        <is>
          <t>LYCKSELE</t>
        </is>
      </c>
      <c r="F5030" t="inlineStr">
        <is>
          <t>Sveaskog</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41112-2024</t>
        </is>
      </c>
      <c r="B5031" s="1" t="n">
        <v>45559.45047453704</v>
      </c>
      <c r="C5031" s="1" t="n">
        <v>45971</v>
      </c>
      <c r="D5031" t="inlineStr">
        <is>
          <t>VÄSTERBOTTENS LÄN</t>
        </is>
      </c>
      <c r="E5031" t="inlineStr">
        <is>
          <t>SKELLEFTEÅ</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3373-2025</t>
        </is>
      </c>
      <c r="B5032" s="1" t="n">
        <v>45680.30523148148</v>
      </c>
      <c r="C5032" s="1" t="n">
        <v>45971</v>
      </c>
      <c r="D5032" t="inlineStr">
        <is>
          <t>VÄSTERBOTTENS LÄN</t>
        </is>
      </c>
      <c r="E5032" t="inlineStr">
        <is>
          <t>SKELLEFTEÅ</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61559-2024</t>
        </is>
      </c>
      <c r="B5033" s="1" t="n">
        <v>45646.61180555556</v>
      </c>
      <c r="C5033" s="1" t="n">
        <v>45971</v>
      </c>
      <c r="D5033" t="inlineStr">
        <is>
          <t>VÄSTERBOTTENS LÄN</t>
        </is>
      </c>
      <c r="E5033" t="inlineStr">
        <is>
          <t>SKELLEFTEÅ</t>
        </is>
      </c>
      <c r="F5033" t="inlineStr">
        <is>
          <t>Sveaskog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17409-2025</t>
        </is>
      </c>
      <c r="B5034" s="1" t="n">
        <v>45757.36844907407</v>
      </c>
      <c r="C5034" s="1" t="n">
        <v>45971</v>
      </c>
      <c r="D5034" t="inlineStr">
        <is>
          <t>VÄSTERBOTTENS LÄN</t>
        </is>
      </c>
      <c r="E5034" t="inlineStr">
        <is>
          <t>VÄNNÄS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11053-2023</t>
        </is>
      </c>
      <c r="B5035" s="1" t="n">
        <v>44991</v>
      </c>
      <c r="C5035" s="1" t="n">
        <v>45971</v>
      </c>
      <c r="D5035" t="inlineStr">
        <is>
          <t>VÄSTERBOTTENS LÄN</t>
        </is>
      </c>
      <c r="E5035" t="inlineStr">
        <is>
          <t>NORDMALING</t>
        </is>
      </c>
      <c r="F5035" t="inlineStr">
        <is>
          <t>SCA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17414-2025</t>
        </is>
      </c>
      <c r="B5036" s="1" t="n">
        <v>45757</v>
      </c>
      <c r="C5036" s="1" t="n">
        <v>45971</v>
      </c>
      <c r="D5036" t="inlineStr">
        <is>
          <t>VÄSTERBOTTENS LÄN</t>
        </is>
      </c>
      <c r="E5036" t="inlineStr">
        <is>
          <t>VÄNNÄS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2579-2024</t>
        </is>
      </c>
      <c r="B5037" s="1" t="n">
        <v>45313.64712962963</v>
      </c>
      <c r="C5037" s="1" t="n">
        <v>45971</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1713-2024</t>
        </is>
      </c>
      <c r="B5038" s="1" t="n">
        <v>45307</v>
      </c>
      <c r="C5038" s="1" t="n">
        <v>45971</v>
      </c>
      <c r="D5038" t="inlineStr">
        <is>
          <t>VÄSTERBOTTENS LÄN</t>
        </is>
      </c>
      <c r="E5038" t="inlineStr">
        <is>
          <t>ROBERTSFORS</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38623-2024</t>
        </is>
      </c>
      <c r="B5039" s="1" t="n">
        <v>45546.73186342593</v>
      </c>
      <c r="C5039" s="1" t="n">
        <v>45971</v>
      </c>
      <c r="D5039" t="inlineStr">
        <is>
          <t>VÄSTERBOTTENS LÄN</t>
        </is>
      </c>
      <c r="E5039" t="inlineStr">
        <is>
          <t>LYCKSELE</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20432-2025</t>
        </is>
      </c>
      <c r="B5040" s="1" t="n">
        <v>45775.47893518519</v>
      </c>
      <c r="C5040" s="1" t="n">
        <v>45971</v>
      </c>
      <c r="D5040" t="inlineStr">
        <is>
          <t>VÄSTERBOTTENS LÄN</t>
        </is>
      </c>
      <c r="E5040" t="inlineStr">
        <is>
          <t>VÄNNÄS</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16626-2024</t>
        </is>
      </c>
      <c r="B5041" s="1" t="n">
        <v>45408</v>
      </c>
      <c r="C5041" s="1" t="n">
        <v>45971</v>
      </c>
      <c r="D5041" t="inlineStr">
        <is>
          <t>VÄSTERBOTTENS LÄN</t>
        </is>
      </c>
      <c r="E5041" t="inlineStr">
        <is>
          <t>VILHELMINA</t>
        </is>
      </c>
      <c r="G5041" t="n">
        <v>15.5</v>
      </c>
      <c r="H5041" t="n">
        <v>0</v>
      </c>
      <c r="I5041" t="n">
        <v>0</v>
      </c>
      <c r="J5041" t="n">
        <v>0</v>
      </c>
      <c r="K5041" t="n">
        <v>0</v>
      </c>
      <c r="L5041" t="n">
        <v>0</v>
      </c>
      <c r="M5041" t="n">
        <v>0</v>
      </c>
      <c r="N5041" t="n">
        <v>0</v>
      </c>
      <c r="O5041" t="n">
        <v>0</v>
      </c>
      <c r="P5041" t="n">
        <v>0</v>
      </c>
      <c r="Q5041" t="n">
        <v>0</v>
      </c>
      <c r="R5041" s="2" t="inlineStr"/>
    </row>
    <row r="5042" ht="15" customHeight="1">
      <c r="A5042" t="inlineStr">
        <is>
          <t>A 54037-2024</t>
        </is>
      </c>
      <c r="B5042" s="1" t="n">
        <v>45616.42424768519</v>
      </c>
      <c r="C5042" s="1" t="n">
        <v>45971</v>
      </c>
      <c r="D5042" t="inlineStr">
        <is>
          <t>VÄSTERBOTTENS LÄN</t>
        </is>
      </c>
      <c r="E5042" t="inlineStr">
        <is>
          <t>SKELLEFTEÅ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745-2022</t>
        </is>
      </c>
      <c r="B5043" s="1" t="n">
        <v>44568.92145833333</v>
      </c>
      <c r="C5043" s="1" t="n">
        <v>45971</v>
      </c>
      <c r="D5043" t="inlineStr">
        <is>
          <t>VÄSTERBOTTENS LÄN</t>
        </is>
      </c>
      <c r="E5043" t="inlineStr">
        <is>
          <t>DOROTEA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38706-2024</t>
        </is>
      </c>
      <c r="B5044" s="1" t="n">
        <v>45547.37357638889</v>
      </c>
      <c r="C5044" s="1" t="n">
        <v>45971</v>
      </c>
      <c r="D5044" t="inlineStr">
        <is>
          <t>VÄSTERBOTTENS LÄN</t>
        </is>
      </c>
      <c r="E5044" t="inlineStr">
        <is>
          <t>SKELLEFTEÅ</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4680-2024</t>
        </is>
      </c>
      <c r="B5045" s="1" t="n">
        <v>45328</v>
      </c>
      <c r="C5045" s="1" t="n">
        <v>45971</v>
      </c>
      <c r="D5045" t="inlineStr">
        <is>
          <t>VÄSTERBOTTENS LÄN</t>
        </is>
      </c>
      <c r="E5045" t="inlineStr">
        <is>
          <t>VINDELN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55130-2023</t>
        </is>
      </c>
      <c r="B5046" s="1" t="n">
        <v>45237</v>
      </c>
      <c r="C5046" s="1" t="n">
        <v>45971</v>
      </c>
      <c r="D5046" t="inlineStr">
        <is>
          <t>VÄSTERBOTTENS LÄN</t>
        </is>
      </c>
      <c r="E5046" t="inlineStr">
        <is>
          <t>NORDMALING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57798-2024</t>
        </is>
      </c>
      <c r="B5047" s="1" t="n">
        <v>45631.34457175926</v>
      </c>
      <c r="C5047" s="1" t="n">
        <v>45971</v>
      </c>
      <c r="D5047" t="inlineStr">
        <is>
          <t>VÄSTERBOTTENS LÄN</t>
        </is>
      </c>
      <c r="E5047" t="inlineStr">
        <is>
          <t>BJURHOLM</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12585-2025</t>
        </is>
      </c>
      <c r="B5048" s="1" t="n">
        <v>45732</v>
      </c>
      <c r="C5048" s="1" t="n">
        <v>45971</v>
      </c>
      <c r="D5048" t="inlineStr">
        <is>
          <t>VÄSTERBOTTENS LÄN</t>
        </is>
      </c>
      <c r="E5048" t="inlineStr">
        <is>
          <t>LYCKSELE</t>
        </is>
      </c>
      <c r="G5048" t="n">
        <v>15.5</v>
      </c>
      <c r="H5048" t="n">
        <v>0</v>
      </c>
      <c r="I5048" t="n">
        <v>0</v>
      </c>
      <c r="J5048" t="n">
        <v>0</v>
      </c>
      <c r="K5048" t="n">
        <v>0</v>
      </c>
      <c r="L5048" t="n">
        <v>0</v>
      </c>
      <c r="M5048" t="n">
        <v>0</v>
      </c>
      <c r="N5048" t="n">
        <v>0</v>
      </c>
      <c r="O5048" t="n">
        <v>0</v>
      </c>
      <c r="P5048" t="n">
        <v>0</v>
      </c>
      <c r="Q5048" t="n">
        <v>0</v>
      </c>
      <c r="R5048" s="2" t="inlineStr"/>
    </row>
    <row r="5049" ht="15" customHeight="1">
      <c r="A5049" t="inlineStr">
        <is>
          <t>A 37133-2022</t>
        </is>
      </c>
      <c r="B5049" s="1" t="n">
        <v>44806</v>
      </c>
      <c r="C5049" s="1" t="n">
        <v>45971</v>
      </c>
      <c r="D5049" t="inlineStr">
        <is>
          <t>VÄSTERBOTTENS LÄN</t>
        </is>
      </c>
      <c r="E5049" t="inlineStr">
        <is>
          <t>NORDMALING</t>
        </is>
      </c>
      <c r="G5049" t="n">
        <v>17.3</v>
      </c>
      <c r="H5049" t="n">
        <v>0</v>
      </c>
      <c r="I5049" t="n">
        <v>0</v>
      </c>
      <c r="J5049" t="n">
        <v>0</v>
      </c>
      <c r="K5049" t="n">
        <v>0</v>
      </c>
      <c r="L5049" t="n">
        <v>0</v>
      </c>
      <c r="M5049" t="n">
        <v>0</v>
      </c>
      <c r="N5049" t="n">
        <v>0</v>
      </c>
      <c r="O5049" t="n">
        <v>0</v>
      </c>
      <c r="P5049" t="n">
        <v>0</v>
      </c>
      <c r="Q5049" t="n">
        <v>0</v>
      </c>
      <c r="R5049" s="2" t="inlineStr"/>
    </row>
    <row r="5050" ht="15" customHeight="1">
      <c r="A5050" t="inlineStr">
        <is>
          <t>A 9158-2024</t>
        </is>
      </c>
      <c r="B5050" s="1" t="n">
        <v>45357</v>
      </c>
      <c r="C5050" s="1" t="n">
        <v>45971</v>
      </c>
      <c r="D5050" t="inlineStr">
        <is>
          <t>VÄSTERBOTTENS LÄN</t>
        </is>
      </c>
      <c r="E5050" t="inlineStr">
        <is>
          <t>BJURHOLM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52475-2022</t>
        </is>
      </c>
      <c r="B5051" s="1" t="n">
        <v>44869</v>
      </c>
      <c r="C5051" s="1" t="n">
        <v>45971</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15656-2023</t>
        </is>
      </c>
      <c r="B5052" s="1" t="n">
        <v>45019</v>
      </c>
      <c r="C5052" s="1" t="n">
        <v>45971</v>
      </c>
      <c r="D5052" t="inlineStr">
        <is>
          <t>VÄSTERBOTTENS LÄN</t>
        </is>
      </c>
      <c r="E5052" t="inlineStr">
        <is>
          <t>UMEÅ</t>
        </is>
      </c>
      <c r="F5052" t="inlineStr">
        <is>
          <t>Kommuner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26462-2023</t>
        </is>
      </c>
      <c r="B5053" s="1" t="n">
        <v>45092.4658449074</v>
      </c>
      <c r="C5053" s="1" t="n">
        <v>45971</v>
      </c>
      <c r="D5053" t="inlineStr">
        <is>
          <t>VÄSTERBOTTENS LÄN</t>
        </is>
      </c>
      <c r="E5053" t="inlineStr">
        <is>
          <t>SKELLEFTEÅ</t>
        </is>
      </c>
      <c r="F5053" t="inlineStr">
        <is>
          <t>Holmen skog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13170-2025</t>
        </is>
      </c>
      <c r="B5054" s="1" t="n">
        <v>45735</v>
      </c>
      <c r="C5054" s="1" t="n">
        <v>45971</v>
      </c>
      <c r="D5054" t="inlineStr">
        <is>
          <t>VÄSTERBOTTENS LÄN</t>
        </is>
      </c>
      <c r="E5054" t="inlineStr">
        <is>
          <t>DOROTEA</t>
        </is>
      </c>
      <c r="F5054" t="inlineStr">
        <is>
          <t>SCA</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59406-2020</t>
        </is>
      </c>
      <c r="B5055" s="1" t="n">
        <v>44147</v>
      </c>
      <c r="C5055" s="1" t="n">
        <v>45971</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39260-2022</t>
        </is>
      </c>
      <c r="B5056" s="1" t="n">
        <v>44817</v>
      </c>
      <c r="C5056" s="1" t="n">
        <v>45971</v>
      </c>
      <c r="D5056" t="inlineStr">
        <is>
          <t>VÄSTERBOTTENS LÄN</t>
        </is>
      </c>
      <c r="E5056" t="inlineStr">
        <is>
          <t>STORUMAN</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33343-2022</t>
        </is>
      </c>
      <c r="B5057" s="1" t="n">
        <v>44788</v>
      </c>
      <c r="C5057" s="1" t="n">
        <v>45971</v>
      </c>
      <c r="D5057" t="inlineStr">
        <is>
          <t>VÄSTERBOTTENS LÄN</t>
        </is>
      </c>
      <c r="E5057" t="inlineStr">
        <is>
          <t>NORDMALING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33157-2022</t>
        </is>
      </c>
      <c r="B5058" s="1" t="n">
        <v>44785</v>
      </c>
      <c r="C5058" s="1" t="n">
        <v>45971</v>
      </c>
      <c r="D5058" t="inlineStr">
        <is>
          <t>VÄSTERBOTTENS LÄN</t>
        </is>
      </c>
      <c r="E5058" t="inlineStr">
        <is>
          <t>BJURHOLM</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14329-2025</t>
        </is>
      </c>
      <c r="B5059" s="1" t="n">
        <v>45740.84127314815</v>
      </c>
      <c r="C5059" s="1" t="n">
        <v>45971</v>
      </c>
      <c r="D5059" t="inlineStr">
        <is>
          <t>VÄSTERBOTTENS LÄN</t>
        </is>
      </c>
      <c r="E5059" t="inlineStr">
        <is>
          <t>DOROTEA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55063-2022</t>
        </is>
      </c>
      <c r="B5060" s="1" t="n">
        <v>44886</v>
      </c>
      <c r="C5060" s="1" t="n">
        <v>45971</v>
      </c>
      <c r="D5060" t="inlineStr">
        <is>
          <t>VÄSTERBOTTENS LÄN</t>
        </is>
      </c>
      <c r="E5060" t="inlineStr">
        <is>
          <t>SKELLEFTEÅ</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51824-2024</t>
        </is>
      </c>
      <c r="B5061" s="1" t="n">
        <v>45607.50081018519</v>
      </c>
      <c r="C5061" s="1" t="n">
        <v>45971</v>
      </c>
      <c r="D5061" t="inlineStr">
        <is>
          <t>VÄSTERBOTTENS LÄN</t>
        </is>
      </c>
      <c r="E5061" t="inlineStr">
        <is>
          <t>NORDMALING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6969-2024</t>
        </is>
      </c>
      <c r="B5062" s="1" t="n">
        <v>45343</v>
      </c>
      <c r="C5062" s="1" t="n">
        <v>45971</v>
      </c>
      <c r="D5062" t="inlineStr">
        <is>
          <t>VÄSTERBOTTENS LÄN</t>
        </is>
      </c>
      <c r="E5062" t="inlineStr">
        <is>
          <t>NORDMALING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17464-2025</t>
        </is>
      </c>
      <c r="B5063" s="1" t="n">
        <v>45757.45982638889</v>
      </c>
      <c r="C5063" s="1" t="n">
        <v>45971</v>
      </c>
      <c r="D5063" t="inlineStr">
        <is>
          <t>VÄSTERBOTTENS LÄN</t>
        </is>
      </c>
      <c r="E5063" t="inlineStr">
        <is>
          <t>ROBERTSFORS</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20795-2023</t>
        </is>
      </c>
      <c r="B5064" s="1" t="n">
        <v>45055</v>
      </c>
      <c r="C5064" s="1" t="n">
        <v>45971</v>
      </c>
      <c r="D5064" t="inlineStr">
        <is>
          <t>VÄSTERBOTTENS LÄN</t>
        </is>
      </c>
      <c r="E5064" t="inlineStr">
        <is>
          <t>UMEÅ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17502-2025</t>
        </is>
      </c>
      <c r="B5065" s="1" t="n">
        <v>45757</v>
      </c>
      <c r="C5065" s="1" t="n">
        <v>45971</v>
      </c>
      <c r="D5065" t="inlineStr">
        <is>
          <t>VÄSTERBOTTENS LÄN</t>
        </is>
      </c>
      <c r="E5065" t="inlineStr">
        <is>
          <t>NORDMALING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17511-2025</t>
        </is>
      </c>
      <c r="B5066" s="1" t="n">
        <v>45757</v>
      </c>
      <c r="C5066" s="1" t="n">
        <v>45971</v>
      </c>
      <c r="D5066" t="inlineStr">
        <is>
          <t>VÄSTERBOTTENS LÄN</t>
        </is>
      </c>
      <c r="E5066" t="inlineStr">
        <is>
          <t>VINDELN</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73893-2021</t>
        </is>
      </c>
      <c r="B5067" s="1" t="n">
        <v>44552</v>
      </c>
      <c r="C5067" s="1" t="n">
        <v>45971</v>
      </c>
      <c r="D5067" t="inlineStr">
        <is>
          <t>VÄSTERBOTTENS LÄN</t>
        </is>
      </c>
      <c r="E5067" t="inlineStr">
        <is>
          <t>VINDELN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26472-2021</t>
        </is>
      </c>
      <c r="B5068" s="1" t="n">
        <v>44348.40371527777</v>
      </c>
      <c r="C5068" s="1" t="n">
        <v>45971</v>
      </c>
      <c r="D5068" t="inlineStr">
        <is>
          <t>VÄSTERBOTTENS LÄN</t>
        </is>
      </c>
      <c r="E5068" t="inlineStr">
        <is>
          <t>NORSJÖ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39605-2024</t>
        </is>
      </c>
      <c r="B5069" s="1" t="n">
        <v>45552.38758101852</v>
      </c>
      <c r="C5069" s="1" t="n">
        <v>45971</v>
      </c>
      <c r="D5069" t="inlineStr">
        <is>
          <t>VÄSTERBOTTENS LÄN</t>
        </is>
      </c>
      <c r="E5069" t="inlineStr">
        <is>
          <t>LYCKSELE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45515-2022</t>
        </is>
      </c>
      <c r="B5070" s="1" t="n">
        <v>44841</v>
      </c>
      <c r="C5070" s="1" t="n">
        <v>45971</v>
      </c>
      <c r="D5070" t="inlineStr">
        <is>
          <t>VÄSTERBOTTENS LÄN</t>
        </is>
      </c>
      <c r="E5070" t="inlineStr">
        <is>
          <t>SORSELE</t>
        </is>
      </c>
      <c r="G5070" t="n">
        <v>33.5</v>
      </c>
      <c r="H5070" t="n">
        <v>0</v>
      </c>
      <c r="I5070" t="n">
        <v>0</v>
      </c>
      <c r="J5070" t="n">
        <v>0</v>
      </c>
      <c r="K5070" t="n">
        <v>0</v>
      </c>
      <c r="L5070" t="n">
        <v>0</v>
      </c>
      <c r="M5070" t="n">
        <v>0</v>
      </c>
      <c r="N5070" t="n">
        <v>0</v>
      </c>
      <c r="O5070" t="n">
        <v>0</v>
      </c>
      <c r="P5070" t="n">
        <v>0</v>
      </c>
      <c r="Q5070" t="n">
        <v>0</v>
      </c>
      <c r="R5070" s="2" t="inlineStr"/>
    </row>
    <row r="5071" ht="15" customHeight="1">
      <c r="A5071" t="inlineStr">
        <is>
          <t>A 12034-2025</t>
        </is>
      </c>
      <c r="B5071" s="1" t="n">
        <v>45728.64752314815</v>
      </c>
      <c r="C5071" s="1" t="n">
        <v>45971</v>
      </c>
      <c r="D5071" t="inlineStr">
        <is>
          <t>VÄSTERBOTTENS LÄN</t>
        </is>
      </c>
      <c r="E5071" t="inlineStr">
        <is>
          <t>ROBERTSFORS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41037-2024</t>
        </is>
      </c>
      <c r="B5072" s="1" t="n">
        <v>45559.35982638889</v>
      </c>
      <c r="C5072" s="1" t="n">
        <v>45971</v>
      </c>
      <c r="D5072" t="inlineStr">
        <is>
          <t>VÄSTERBOTTENS LÄN</t>
        </is>
      </c>
      <c r="E5072" t="inlineStr">
        <is>
          <t>SKELLEFTEÅ</t>
        </is>
      </c>
      <c r="F5072" t="inlineStr">
        <is>
          <t>Sveaskog</t>
        </is>
      </c>
      <c r="G5072" t="n">
        <v>22.5</v>
      </c>
      <c r="H5072" t="n">
        <v>0</v>
      </c>
      <c r="I5072" t="n">
        <v>0</v>
      </c>
      <c r="J5072" t="n">
        <v>0</v>
      </c>
      <c r="K5072" t="n">
        <v>0</v>
      </c>
      <c r="L5072" t="n">
        <v>0</v>
      </c>
      <c r="M5072" t="n">
        <v>0</v>
      </c>
      <c r="N5072" t="n">
        <v>0</v>
      </c>
      <c r="O5072" t="n">
        <v>0</v>
      </c>
      <c r="P5072" t="n">
        <v>0</v>
      </c>
      <c r="Q5072" t="n">
        <v>0</v>
      </c>
      <c r="R5072" s="2" t="inlineStr"/>
    </row>
    <row r="5073" ht="15" customHeight="1">
      <c r="A5073" t="inlineStr">
        <is>
          <t>A 25626-2023</t>
        </is>
      </c>
      <c r="B5073" s="1" t="n">
        <v>45084</v>
      </c>
      <c r="C5073" s="1" t="n">
        <v>45971</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7213-2025</t>
        </is>
      </c>
      <c r="B5074" s="1" t="n">
        <v>45702.47341435185</v>
      </c>
      <c r="C5074" s="1" t="n">
        <v>45971</v>
      </c>
      <c r="D5074" t="inlineStr">
        <is>
          <t>VÄSTERBOTTENS LÄN</t>
        </is>
      </c>
      <c r="E5074" t="inlineStr">
        <is>
          <t>UMEÅ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48992-2023</t>
        </is>
      </c>
      <c r="B5075" s="1" t="n">
        <v>45209.64944444445</v>
      </c>
      <c r="C5075" s="1" t="n">
        <v>45971</v>
      </c>
      <c r="D5075" t="inlineStr">
        <is>
          <t>VÄSTERBOTTENS LÄN</t>
        </is>
      </c>
      <c r="E5075" t="inlineStr">
        <is>
          <t>LYCKSELE</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2043-2023</t>
        </is>
      </c>
      <c r="B5076" s="1" t="n">
        <v>44939</v>
      </c>
      <c r="C5076" s="1" t="n">
        <v>45971</v>
      </c>
      <c r="D5076" t="inlineStr">
        <is>
          <t>VÄSTERBOTTENS LÄN</t>
        </is>
      </c>
      <c r="E5076" t="inlineStr">
        <is>
          <t>VILHELMINA</t>
        </is>
      </c>
      <c r="F5076" t="inlineStr">
        <is>
          <t>Sveaskog</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55978-2024</t>
        </is>
      </c>
      <c r="B5077" s="1" t="n">
        <v>45623</v>
      </c>
      <c r="C5077" s="1" t="n">
        <v>45971</v>
      </c>
      <c r="D5077" t="inlineStr">
        <is>
          <t>VÄSTERBOTTENS LÄN</t>
        </is>
      </c>
      <c r="E5077" t="inlineStr">
        <is>
          <t>VILHELMINA</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45971</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47908-2022</t>
        </is>
      </c>
      <c r="B5079" s="1" t="n">
        <v>44855.48153935185</v>
      </c>
      <c r="C5079" s="1" t="n">
        <v>45971</v>
      </c>
      <c r="D5079" t="inlineStr">
        <is>
          <t>VÄSTERBOTTENS LÄN</t>
        </is>
      </c>
      <c r="E5079" t="inlineStr">
        <is>
          <t>SORSELE</t>
        </is>
      </c>
      <c r="F5079" t="inlineStr">
        <is>
          <t>Kyrkan</t>
        </is>
      </c>
      <c r="G5079" t="n">
        <v>22.7</v>
      </c>
      <c r="H5079" t="n">
        <v>0</v>
      </c>
      <c r="I5079" t="n">
        <v>0</v>
      </c>
      <c r="J5079" t="n">
        <v>0</v>
      </c>
      <c r="K5079" t="n">
        <v>0</v>
      </c>
      <c r="L5079" t="n">
        <v>0</v>
      </c>
      <c r="M5079" t="n">
        <v>0</v>
      </c>
      <c r="N5079" t="n">
        <v>0</v>
      </c>
      <c r="O5079" t="n">
        <v>0</v>
      </c>
      <c r="P5079" t="n">
        <v>0</v>
      </c>
      <c r="Q5079" t="n">
        <v>0</v>
      </c>
      <c r="R5079" s="2" t="inlineStr"/>
    </row>
    <row r="5080" ht="15" customHeight="1">
      <c r="A5080" t="inlineStr">
        <is>
          <t>A 31306-2024</t>
        </is>
      </c>
      <c r="B5080" s="1" t="n">
        <v>45504</v>
      </c>
      <c r="C5080" s="1" t="n">
        <v>45971</v>
      </c>
      <c r="D5080" t="inlineStr">
        <is>
          <t>VÄSTERBOTTENS LÄN</t>
        </is>
      </c>
      <c r="E5080" t="inlineStr">
        <is>
          <t>STORUMAN</t>
        </is>
      </c>
      <c r="F5080" t="inlineStr">
        <is>
          <t>Allmännings- och besparingsskogar</t>
        </is>
      </c>
      <c r="G5080" t="n">
        <v>35.8</v>
      </c>
      <c r="H5080" t="n">
        <v>0</v>
      </c>
      <c r="I5080" t="n">
        <v>0</v>
      </c>
      <c r="J5080" t="n">
        <v>0</v>
      </c>
      <c r="K5080" t="n">
        <v>0</v>
      </c>
      <c r="L5080" t="n">
        <v>0</v>
      </c>
      <c r="M5080" t="n">
        <v>0</v>
      </c>
      <c r="N5080" t="n">
        <v>0</v>
      </c>
      <c r="O5080" t="n">
        <v>0</v>
      </c>
      <c r="P5080" t="n">
        <v>0</v>
      </c>
      <c r="Q5080" t="n">
        <v>0</v>
      </c>
      <c r="R5080" s="2" t="inlineStr"/>
    </row>
    <row r="5081" ht="15" customHeight="1">
      <c r="A5081" t="inlineStr">
        <is>
          <t>A 4093-2023</t>
        </is>
      </c>
      <c r="B5081" s="1" t="n">
        <v>44952</v>
      </c>
      <c r="C5081" s="1" t="n">
        <v>45971</v>
      </c>
      <c r="D5081" t="inlineStr">
        <is>
          <t>VÄSTERBOTTENS LÄN</t>
        </is>
      </c>
      <c r="E5081" t="inlineStr">
        <is>
          <t>ÅSELE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64496-2020</t>
        </is>
      </c>
      <c r="B5082" s="1" t="n">
        <v>44168</v>
      </c>
      <c r="C5082" s="1" t="n">
        <v>45971</v>
      </c>
      <c r="D5082" t="inlineStr">
        <is>
          <t>VÄSTERBOTTENS LÄN</t>
        </is>
      </c>
      <c r="E5082" t="inlineStr">
        <is>
          <t>DOROTEA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9039-2024</t>
        </is>
      </c>
      <c r="B5083" s="1" t="n">
        <v>45356</v>
      </c>
      <c r="C5083" s="1" t="n">
        <v>45971</v>
      </c>
      <c r="D5083" t="inlineStr">
        <is>
          <t>VÄSTERBOTTENS LÄN</t>
        </is>
      </c>
      <c r="E5083" t="inlineStr">
        <is>
          <t>VÄNNÄS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45972-2023</t>
        </is>
      </c>
      <c r="B5084" s="1" t="n">
        <v>45195</v>
      </c>
      <c r="C5084" s="1" t="n">
        <v>45971</v>
      </c>
      <c r="D5084" t="inlineStr">
        <is>
          <t>VÄSTERBOTTENS LÄN</t>
        </is>
      </c>
      <c r="E5084" t="inlineStr">
        <is>
          <t>VILHELMINA</t>
        </is>
      </c>
      <c r="F5084" t="inlineStr">
        <is>
          <t>SCA</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38274-2022</t>
        </is>
      </c>
      <c r="B5085" s="1" t="n">
        <v>44812</v>
      </c>
      <c r="C5085" s="1" t="n">
        <v>45971</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32772-2024</t>
        </is>
      </c>
      <c r="B5086" s="1" t="n">
        <v>45516</v>
      </c>
      <c r="C5086" s="1" t="n">
        <v>45971</v>
      </c>
      <c r="D5086" t="inlineStr">
        <is>
          <t>VÄSTERBOTTENS LÄN</t>
        </is>
      </c>
      <c r="E5086" t="inlineStr">
        <is>
          <t>MALÅ</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32788-2024</t>
        </is>
      </c>
      <c r="B5087" s="1" t="n">
        <v>45516.5365625</v>
      </c>
      <c r="C5087" s="1" t="n">
        <v>45971</v>
      </c>
      <c r="D5087" t="inlineStr">
        <is>
          <t>VÄSTERBOTTENS LÄN</t>
        </is>
      </c>
      <c r="E5087" t="inlineStr">
        <is>
          <t>UMEÅ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32800-2024</t>
        </is>
      </c>
      <c r="B5088" s="1" t="n">
        <v>45516.56430555556</v>
      </c>
      <c r="C5088" s="1" t="n">
        <v>45971</v>
      </c>
      <c r="D5088" t="inlineStr">
        <is>
          <t>VÄSTERBOTTENS LÄN</t>
        </is>
      </c>
      <c r="E5088" t="inlineStr">
        <is>
          <t>LYCKSELE</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15856-2025</t>
        </is>
      </c>
      <c r="B5089" s="1" t="n">
        <v>45749.34060185185</v>
      </c>
      <c r="C5089" s="1" t="n">
        <v>45971</v>
      </c>
      <c r="D5089" t="inlineStr">
        <is>
          <t>VÄSTERBOTTENS LÄN</t>
        </is>
      </c>
      <c r="E5089" t="inlineStr">
        <is>
          <t>SORSELE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63377-2020</t>
        </is>
      </c>
      <c r="B5090" s="1" t="n">
        <v>44165</v>
      </c>
      <c r="C5090" s="1" t="n">
        <v>45971</v>
      </c>
      <c r="D5090" t="inlineStr">
        <is>
          <t>VÄSTERBOTTENS LÄN</t>
        </is>
      </c>
      <c r="E5090" t="inlineStr">
        <is>
          <t>UMEÅ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39266-2024</t>
        </is>
      </c>
      <c r="B5091" s="1" t="n">
        <v>45551.34447916667</v>
      </c>
      <c r="C5091" s="1" t="n">
        <v>45971</v>
      </c>
      <c r="D5091" t="inlineStr">
        <is>
          <t>VÄSTERBOTTENS LÄN</t>
        </is>
      </c>
      <c r="E5091" t="inlineStr">
        <is>
          <t>ÅSELE</t>
        </is>
      </c>
      <c r="F5091" t="inlineStr">
        <is>
          <t>SCA</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46388-2023</t>
        </is>
      </c>
      <c r="B5092" s="1" t="n">
        <v>45197.47825231482</v>
      </c>
      <c r="C5092" s="1" t="n">
        <v>45971</v>
      </c>
      <c r="D5092" t="inlineStr">
        <is>
          <t>VÄSTERBOTTENS LÄN</t>
        </is>
      </c>
      <c r="E5092" t="inlineStr">
        <is>
          <t>ROBERTSFORS</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44959-2022</t>
        </is>
      </c>
      <c r="B5093" s="1" t="n">
        <v>44839</v>
      </c>
      <c r="C5093" s="1" t="n">
        <v>45971</v>
      </c>
      <c r="D5093" t="inlineStr">
        <is>
          <t>VÄSTERBOTTENS LÄN</t>
        </is>
      </c>
      <c r="E5093" t="inlineStr">
        <is>
          <t>SKELLEFTEÅ</t>
        </is>
      </c>
      <c r="G5093" t="n">
        <v>17.3</v>
      </c>
      <c r="H5093" t="n">
        <v>0</v>
      </c>
      <c r="I5093" t="n">
        <v>0</v>
      </c>
      <c r="J5093" t="n">
        <v>0</v>
      </c>
      <c r="K5093" t="n">
        <v>0</v>
      </c>
      <c r="L5093" t="n">
        <v>0</v>
      </c>
      <c r="M5093" t="n">
        <v>0</v>
      </c>
      <c r="N5093" t="n">
        <v>0</v>
      </c>
      <c r="O5093" t="n">
        <v>0</v>
      </c>
      <c r="P5093" t="n">
        <v>0</v>
      </c>
      <c r="Q5093" t="n">
        <v>0</v>
      </c>
      <c r="R5093" s="2" t="inlineStr"/>
    </row>
    <row r="5094" ht="15" customHeight="1">
      <c r="A5094" t="inlineStr">
        <is>
          <t>A 1639-2023</t>
        </is>
      </c>
      <c r="B5094" s="1" t="n">
        <v>44937</v>
      </c>
      <c r="C5094" s="1" t="n">
        <v>45971</v>
      </c>
      <c r="D5094" t="inlineStr">
        <is>
          <t>VÄSTERBOTTENS LÄN</t>
        </is>
      </c>
      <c r="E5094" t="inlineStr">
        <is>
          <t>SKELLEFTEÅ</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20142-2025</t>
        </is>
      </c>
      <c r="B5095" s="1" t="n">
        <v>45772.52554398148</v>
      </c>
      <c r="C5095" s="1" t="n">
        <v>45971</v>
      </c>
      <c r="D5095" t="inlineStr">
        <is>
          <t>VÄSTERBOTTENS LÄN</t>
        </is>
      </c>
      <c r="E5095" t="inlineStr">
        <is>
          <t>UMEÅ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40600-2022</t>
        </is>
      </c>
      <c r="B5096" s="1" t="n">
        <v>44823</v>
      </c>
      <c r="C5096" s="1" t="n">
        <v>45971</v>
      </c>
      <c r="D5096" t="inlineStr">
        <is>
          <t>VÄSTERBOTTENS LÄN</t>
        </is>
      </c>
      <c r="E5096" t="inlineStr">
        <is>
          <t>ROBERTSFORS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39627-2025</t>
        </is>
      </c>
      <c r="B5097" s="1" t="n">
        <v>45890.5809837963</v>
      </c>
      <c r="C5097" s="1" t="n">
        <v>45971</v>
      </c>
      <c r="D5097" t="inlineStr">
        <is>
          <t>VÄSTERBOTTENS LÄN</t>
        </is>
      </c>
      <c r="E5097" t="inlineStr">
        <is>
          <t>MALÅ</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39629-2025</t>
        </is>
      </c>
      <c r="B5098" s="1" t="n">
        <v>45890.58671296296</v>
      </c>
      <c r="C5098" s="1" t="n">
        <v>45971</v>
      </c>
      <c r="D5098" t="inlineStr">
        <is>
          <t>VÄSTERBOTTENS LÄN</t>
        </is>
      </c>
      <c r="E5098" t="inlineStr">
        <is>
          <t>SORSELE</t>
        </is>
      </c>
      <c r="F5098" t="inlineStr">
        <is>
          <t>Sveaskog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547-2025</t>
        </is>
      </c>
      <c r="B5099" s="1" t="n">
        <v>45660</v>
      </c>
      <c r="C5099" s="1" t="n">
        <v>45971</v>
      </c>
      <c r="D5099" t="inlineStr">
        <is>
          <t>VÄSTERBOTTENS LÄN</t>
        </is>
      </c>
      <c r="E5099" t="inlineStr">
        <is>
          <t>MALÅ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9816-2023</t>
        </is>
      </c>
      <c r="B5100" s="1" t="n">
        <v>44978</v>
      </c>
      <c r="C5100" s="1" t="n">
        <v>45971</v>
      </c>
      <c r="D5100" t="inlineStr">
        <is>
          <t>VÄSTERBOTTENS LÄN</t>
        </is>
      </c>
      <c r="E5100" t="inlineStr">
        <is>
          <t>SORSELE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642-2025</t>
        </is>
      </c>
      <c r="B5101" s="1" t="n">
        <v>45660</v>
      </c>
      <c r="C5101" s="1" t="n">
        <v>45971</v>
      </c>
      <c r="D5101" t="inlineStr">
        <is>
          <t>VÄSTERBOTTENS LÄN</t>
        </is>
      </c>
      <c r="E5101" t="inlineStr">
        <is>
          <t>SKELLEFTEÅ</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647-2025</t>
        </is>
      </c>
      <c r="B5102" s="1" t="n">
        <v>45661</v>
      </c>
      <c r="C5102" s="1" t="n">
        <v>45971</v>
      </c>
      <c r="D5102" t="inlineStr">
        <is>
          <t>VÄSTERBOTTENS LÄN</t>
        </is>
      </c>
      <c r="E5102" t="inlineStr">
        <is>
          <t>ROBERTSFORS</t>
        </is>
      </c>
      <c r="G5102" t="n">
        <v>34.3</v>
      </c>
      <c r="H5102" t="n">
        <v>0</v>
      </c>
      <c r="I5102" t="n">
        <v>0</v>
      </c>
      <c r="J5102" t="n">
        <v>0</v>
      </c>
      <c r="K5102" t="n">
        <v>0</v>
      </c>
      <c r="L5102" t="n">
        <v>0</v>
      </c>
      <c r="M5102" t="n">
        <v>0</v>
      </c>
      <c r="N5102" t="n">
        <v>0</v>
      </c>
      <c r="O5102" t="n">
        <v>0</v>
      </c>
      <c r="P5102" t="n">
        <v>0</v>
      </c>
      <c r="Q5102" t="n">
        <v>0</v>
      </c>
      <c r="R5102" s="2" t="inlineStr"/>
    </row>
    <row r="5103" ht="15" customHeight="1">
      <c r="A5103" t="inlineStr">
        <is>
          <t>A 676-2025</t>
        </is>
      </c>
      <c r="B5103" s="1" t="n">
        <v>45664</v>
      </c>
      <c r="C5103" s="1" t="n">
        <v>45971</v>
      </c>
      <c r="D5103" t="inlineStr">
        <is>
          <t>VÄSTERBOTTENS LÄN</t>
        </is>
      </c>
      <c r="E5103" t="inlineStr">
        <is>
          <t>ROBERTSFORS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7884-2024</t>
        </is>
      </c>
      <c r="B5104" s="1" t="n">
        <v>45349</v>
      </c>
      <c r="C5104" s="1" t="n">
        <v>45971</v>
      </c>
      <c r="D5104" t="inlineStr">
        <is>
          <t>VÄSTERBOTTENS LÄN</t>
        </is>
      </c>
      <c r="E5104" t="inlineStr">
        <is>
          <t>SKELLEFTEÅ</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35737-2024</t>
        </is>
      </c>
      <c r="B5105" s="1" t="n">
        <v>45532</v>
      </c>
      <c r="C5105" s="1" t="n">
        <v>45971</v>
      </c>
      <c r="D5105" t="inlineStr">
        <is>
          <t>VÄSTERBOTTENS LÄN</t>
        </is>
      </c>
      <c r="E5105" t="inlineStr">
        <is>
          <t>VÄNNÄS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35755-2024</t>
        </is>
      </c>
      <c r="B5106" s="1" t="n">
        <v>45532</v>
      </c>
      <c r="C5106" s="1" t="n">
        <v>45971</v>
      </c>
      <c r="D5106" t="inlineStr">
        <is>
          <t>VÄSTERBOTTENS LÄN</t>
        </is>
      </c>
      <c r="E5106" t="inlineStr">
        <is>
          <t>VÄNNÄS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50084-2024</t>
        </is>
      </c>
      <c r="B5107" s="1" t="n">
        <v>45597</v>
      </c>
      <c r="C5107" s="1" t="n">
        <v>45971</v>
      </c>
      <c r="D5107" t="inlineStr">
        <is>
          <t>VÄSTERBOTTENS LÄN</t>
        </is>
      </c>
      <c r="E5107" t="inlineStr">
        <is>
          <t>VINDELN</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40548-2024</t>
        </is>
      </c>
      <c r="B5108" s="1" t="n">
        <v>45555.64177083333</v>
      </c>
      <c r="C5108" s="1" t="n">
        <v>45971</v>
      </c>
      <c r="D5108" t="inlineStr">
        <is>
          <t>VÄSTERBOTTENS LÄN</t>
        </is>
      </c>
      <c r="E5108" t="inlineStr">
        <is>
          <t>LYCKSELE</t>
        </is>
      </c>
      <c r="F5108" t="inlineStr">
        <is>
          <t>Holmen skog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35771-2024</t>
        </is>
      </c>
      <c r="B5109" s="1" t="n">
        <v>45532</v>
      </c>
      <c r="C5109" s="1" t="n">
        <v>45971</v>
      </c>
      <c r="D5109" t="inlineStr">
        <is>
          <t>VÄSTERBOTTENS LÄN</t>
        </is>
      </c>
      <c r="E5109" t="inlineStr">
        <is>
          <t>VÄNNÄS</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33708-2024</t>
        </is>
      </c>
      <c r="B5110" s="1" t="n">
        <v>45520.526875</v>
      </c>
      <c r="C5110" s="1" t="n">
        <v>45971</v>
      </c>
      <c r="D5110" t="inlineStr">
        <is>
          <t>VÄSTERBOTTENS LÄN</t>
        </is>
      </c>
      <c r="E5110" t="inlineStr">
        <is>
          <t>LYCKSELE</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33714-2024</t>
        </is>
      </c>
      <c r="B5111" s="1" t="n">
        <v>45520.53230324074</v>
      </c>
      <c r="C5111" s="1" t="n">
        <v>45971</v>
      </c>
      <c r="D5111" t="inlineStr">
        <is>
          <t>VÄSTERBOTTENS LÄN</t>
        </is>
      </c>
      <c r="E5111" t="inlineStr">
        <is>
          <t>LYCKSELE</t>
        </is>
      </c>
      <c r="F5111" t="inlineStr">
        <is>
          <t>Sveaskog</t>
        </is>
      </c>
      <c r="G5111" t="n">
        <v>10.4</v>
      </c>
      <c r="H5111" t="n">
        <v>0</v>
      </c>
      <c r="I5111" t="n">
        <v>0</v>
      </c>
      <c r="J5111" t="n">
        <v>0</v>
      </c>
      <c r="K5111" t="n">
        <v>0</v>
      </c>
      <c r="L5111" t="n">
        <v>0</v>
      </c>
      <c r="M5111" t="n">
        <v>0</v>
      </c>
      <c r="N5111" t="n">
        <v>0</v>
      </c>
      <c r="O5111" t="n">
        <v>0</v>
      </c>
      <c r="P5111" t="n">
        <v>0</v>
      </c>
      <c r="Q5111" t="n">
        <v>0</v>
      </c>
      <c r="R5111" s="2" t="inlineStr"/>
    </row>
    <row r="5112" ht="15" customHeight="1">
      <c r="A5112" t="inlineStr">
        <is>
          <t>A 41297-2024</t>
        </is>
      </c>
      <c r="B5112" s="1" t="n">
        <v>45559.61015046296</v>
      </c>
      <c r="C5112" s="1" t="n">
        <v>45971</v>
      </c>
      <c r="D5112" t="inlineStr">
        <is>
          <t>VÄSTERBOTTENS LÄN</t>
        </is>
      </c>
      <c r="E5112" t="inlineStr">
        <is>
          <t>SKELLEFTEÅ</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16355-2025</t>
        </is>
      </c>
      <c r="B5113" s="1" t="n">
        <v>45751.38821759259</v>
      </c>
      <c r="C5113" s="1" t="n">
        <v>45971</v>
      </c>
      <c r="D5113" t="inlineStr">
        <is>
          <t>VÄSTERBOTTENS LÄN</t>
        </is>
      </c>
      <c r="E5113" t="inlineStr">
        <is>
          <t>SKELLEFTEÅ</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16669-2022</t>
        </is>
      </c>
      <c r="B5114" s="1" t="n">
        <v>44672.92575231481</v>
      </c>
      <c r="C5114" s="1" t="n">
        <v>45971</v>
      </c>
      <c r="D5114" t="inlineStr">
        <is>
          <t>VÄSTERBOTTENS LÄN</t>
        </is>
      </c>
      <c r="E5114" t="inlineStr">
        <is>
          <t>LYCKSELE</t>
        </is>
      </c>
      <c r="G5114" t="n">
        <v>12.8</v>
      </c>
      <c r="H5114" t="n">
        <v>0</v>
      </c>
      <c r="I5114" t="n">
        <v>0</v>
      </c>
      <c r="J5114" t="n">
        <v>0</v>
      </c>
      <c r="K5114" t="n">
        <v>0</v>
      </c>
      <c r="L5114" t="n">
        <v>0</v>
      </c>
      <c r="M5114" t="n">
        <v>0</v>
      </c>
      <c r="N5114" t="n">
        <v>0</v>
      </c>
      <c r="O5114" t="n">
        <v>0</v>
      </c>
      <c r="P5114" t="n">
        <v>0</v>
      </c>
      <c r="Q5114" t="n">
        <v>0</v>
      </c>
      <c r="R5114" s="2" t="inlineStr"/>
    </row>
    <row r="5115" ht="15" customHeight="1">
      <c r="A5115" t="inlineStr">
        <is>
          <t>A 32279-2022</t>
        </is>
      </c>
      <c r="B5115" s="1" t="n">
        <v>44781</v>
      </c>
      <c r="C5115" s="1" t="n">
        <v>45971</v>
      </c>
      <c r="D5115" t="inlineStr">
        <is>
          <t>VÄSTERBOTTENS LÄN</t>
        </is>
      </c>
      <c r="E5115" t="inlineStr">
        <is>
          <t>SKELLEFTEÅ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60237-2022</t>
        </is>
      </c>
      <c r="B5116" s="1" t="n">
        <v>44903</v>
      </c>
      <c r="C5116" s="1" t="n">
        <v>45971</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41226-2024</t>
        </is>
      </c>
      <c r="B5117" s="1" t="n">
        <v>45559.55829861111</v>
      </c>
      <c r="C5117" s="1" t="n">
        <v>45971</v>
      </c>
      <c r="D5117" t="inlineStr">
        <is>
          <t>VÄSTERBOTTENS LÄN</t>
        </is>
      </c>
      <c r="E5117" t="inlineStr">
        <is>
          <t>SKELLEFTEÅ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41231-2024</t>
        </is>
      </c>
      <c r="B5118" s="1" t="n">
        <v>45559.56412037037</v>
      </c>
      <c r="C5118" s="1" t="n">
        <v>45971</v>
      </c>
      <c r="D5118" t="inlineStr">
        <is>
          <t>VÄSTERBOTTENS LÄN</t>
        </is>
      </c>
      <c r="E5118" t="inlineStr">
        <is>
          <t>SKELLEFTEÅ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13887-2023</t>
        </is>
      </c>
      <c r="B5119" s="1" t="n">
        <v>45007.95096064815</v>
      </c>
      <c r="C5119" s="1" t="n">
        <v>45971</v>
      </c>
      <c r="D5119" t="inlineStr">
        <is>
          <t>VÄSTERBOTTENS LÄN</t>
        </is>
      </c>
      <c r="E5119" t="inlineStr">
        <is>
          <t>VINDELN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176-2025</t>
        </is>
      </c>
      <c r="B5120" s="1" t="n">
        <v>45659</v>
      </c>
      <c r="C5120" s="1" t="n">
        <v>45971</v>
      </c>
      <c r="D5120" t="inlineStr">
        <is>
          <t>VÄSTERBOTTENS LÄN</t>
        </is>
      </c>
      <c r="E5120" t="inlineStr">
        <is>
          <t>ROBERTSFORS</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1321-2025</t>
        </is>
      </c>
      <c r="B5121" s="1" t="n">
        <v>45667</v>
      </c>
      <c r="C5121" s="1" t="n">
        <v>45971</v>
      </c>
      <c r="D5121" t="inlineStr">
        <is>
          <t>VÄSTERBOTTENS LÄN</t>
        </is>
      </c>
      <c r="E5121" t="inlineStr">
        <is>
          <t>SKELLEFTEÅ</t>
        </is>
      </c>
      <c r="F5121" t="inlineStr">
        <is>
          <t>Holmen skog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50077-2023</t>
        </is>
      </c>
      <c r="B5122" s="1" t="n">
        <v>45215.57974537037</v>
      </c>
      <c r="C5122" s="1" t="n">
        <v>45971</v>
      </c>
      <c r="D5122" t="inlineStr">
        <is>
          <t>VÄSTERBOTTENS LÄN</t>
        </is>
      </c>
      <c r="E5122" t="inlineStr">
        <is>
          <t>VINDELN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40445-2024</t>
        </is>
      </c>
      <c r="B5123" s="1" t="n">
        <v>45555</v>
      </c>
      <c r="C5123" s="1" t="n">
        <v>45971</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26791-2023</t>
        </is>
      </c>
      <c r="B5124" s="1" t="n">
        <v>45090</v>
      </c>
      <c r="C5124" s="1" t="n">
        <v>45971</v>
      </c>
      <c r="D5124" t="inlineStr">
        <is>
          <t>VÄSTERBOTTENS LÄN</t>
        </is>
      </c>
      <c r="E5124" t="inlineStr">
        <is>
          <t>ROBERTSFORS</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1334-2025</t>
        </is>
      </c>
      <c r="B5125" s="1" t="n">
        <v>45667.5803125</v>
      </c>
      <c r="C5125" s="1" t="n">
        <v>45971</v>
      </c>
      <c r="D5125" t="inlineStr">
        <is>
          <t>VÄSTERBOTTENS LÄN</t>
        </is>
      </c>
      <c r="E5125" t="inlineStr">
        <is>
          <t>NORSJÖ</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1362-2025</t>
        </is>
      </c>
      <c r="B5126" s="1" t="n">
        <v>45667.63641203703</v>
      </c>
      <c r="C5126" s="1" t="n">
        <v>45971</v>
      </c>
      <c r="D5126" t="inlineStr">
        <is>
          <t>VÄSTERBOTTENS LÄN</t>
        </is>
      </c>
      <c r="E5126" t="inlineStr">
        <is>
          <t>SKELLEFTEÅ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1367-2025</t>
        </is>
      </c>
      <c r="B5127" s="1" t="n">
        <v>45667.64177083333</v>
      </c>
      <c r="C5127" s="1" t="n">
        <v>45971</v>
      </c>
      <c r="D5127" t="inlineStr">
        <is>
          <t>VÄSTERBOTTENS LÄN</t>
        </is>
      </c>
      <c r="E5127" t="inlineStr">
        <is>
          <t>SKELLEFTEÅ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7057-2025</t>
        </is>
      </c>
      <c r="B5128" s="1" t="n">
        <v>45701.65417824074</v>
      </c>
      <c r="C5128" s="1" t="n">
        <v>45971</v>
      </c>
      <c r="D5128" t="inlineStr">
        <is>
          <t>VÄSTERBOTTENS LÄN</t>
        </is>
      </c>
      <c r="E5128" t="inlineStr">
        <is>
          <t>MALÅ</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21844-2024</t>
        </is>
      </c>
      <c r="B5129" s="1" t="n">
        <v>45442</v>
      </c>
      <c r="C5129" s="1" t="n">
        <v>45971</v>
      </c>
      <c r="D5129" t="inlineStr">
        <is>
          <t>VÄSTERBOTTENS LÄN</t>
        </is>
      </c>
      <c r="E5129" t="inlineStr">
        <is>
          <t>VILHELMINA</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55870-2022</t>
        </is>
      </c>
      <c r="B5130" s="1" t="n">
        <v>44888</v>
      </c>
      <c r="C5130" s="1" t="n">
        <v>45971</v>
      </c>
      <c r="D5130" t="inlineStr">
        <is>
          <t>VÄSTERBOTTENS LÄN</t>
        </is>
      </c>
      <c r="E5130" t="inlineStr">
        <is>
          <t>VILHELMINA</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46846-2024</t>
        </is>
      </c>
      <c r="B5131" s="1" t="n">
        <v>45583</v>
      </c>
      <c r="C5131" s="1" t="n">
        <v>45971</v>
      </c>
      <c r="D5131" t="inlineStr">
        <is>
          <t>VÄSTERBOTTENS LÄN</t>
        </is>
      </c>
      <c r="E5131" t="inlineStr">
        <is>
          <t>SKELLEFTEÅ</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57898-2021</t>
        </is>
      </c>
      <c r="B5132" s="1" t="n">
        <v>44486.67993055555</v>
      </c>
      <c r="C5132" s="1" t="n">
        <v>45971</v>
      </c>
      <c r="D5132" t="inlineStr">
        <is>
          <t>VÄSTERBOTTENS LÄN</t>
        </is>
      </c>
      <c r="E5132" t="inlineStr">
        <is>
          <t>LYCKSELE</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6656-2023</t>
        </is>
      </c>
      <c r="B5133" s="1" t="n">
        <v>44963</v>
      </c>
      <c r="C5133" s="1" t="n">
        <v>45971</v>
      </c>
      <c r="D5133" t="inlineStr">
        <is>
          <t>VÄSTERBOTTENS LÄN</t>
        </is>
      </c>
      <c r="E5133" t="inlineStr">
        <is>
          <t>SKELLEFTEÅ</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59330-2022</t>
        </is>
      </c>
      <c r="B5134" s="1" t="n">
        <v>44904.64789351852</v>
      </c>
      <c r="C5134" s="1" t="n">
        <v>45971</v>
      </c>
      <c r="D5134" t="inlineStr">
        <is>
          <t>VÄSTERBOTTENS LÄN</t>
        </is>
      </c>
      <c r="E5134" t="inlineStr">
        <is>
          <t>LYCKSELE</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59333-2022</t>
        </is>
      </c>
      <c r="B5135" s="1" t="n">
        <v>44904.65288194444</v>
      </c>
      <c r="C5135" s="1" t="n">
        <v>45971</v>
      </c>
      <c r="D5135" t="inlineStr">
        <is>
          <t>VÄSTERBOTTENS LÄN</t>
        </is>
      </c>
      <c r="E5135" t="inlineStr">
        <is>
          <t>STORUMAN</t>
        </is>
      </c>
      <c r="F5135" t="inlineStr">
        <is>
          <t>Sveaskog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12371-2025</t>
        </is>
      </c>
      <c r="B5136" s="1" t="n">
        <v>45730</v>
      </c>
      <c r="C5136" s="1" t="n">
        <v>45971</v>
      </c>
      <c r="D5136" t="inlineStr">
        <is>
          <t>VÄSTERBOTTENS LÄN</t>
        </is>
      </c>
      <c r="E5136" t="inlineStr">
        <is>
          <t>VILHELMINA</t>
        </is>
      </c>
      <c r="F5136" t="inlineStr">
        <is>
          <t>Övriga statliga verk och myndigheter</t>
        </is>
      </c>
      <c r="G5136" t="n">
        <v>37.1</v>
      </c>
      <c r="H5136" t="n">
        <v>0</v>
      </c>
      <c r="I5136" t="n">
        <v>0</v>
      </c>
      <c r="J5136" t="n">
        <v>0</v>
      </c>
      <c r="K5136" t="n">
        <v>0</v>
      </c>
      <c r="L5136" t="n">
        <v>0</v>
      </c>
      <c r="M5136" t="n">
        <v>0</v>
      </c>
      <c r="N5136" t="n">
        <v>0</v>
      </c>
      <c r="O5136" t="n">
        <v>0</v>
      </c>
      <c r="P5136" t="n">
        <v>0</v>
      </c>
      <c r="Q5136" t="n">
        <v>0</v>
      </c>
      <c r="R5136" s="2" t="inlineStr"/>
    </row>
    <row r="5137" ht="15" customHeight="1">
      <c r="A5137" t="inlineStr">
        <is>
          <t>A 14993-2025</t>
        </is>
      </c>
      <c r="B5137" s="1" t="n">
        <v>45743</v>
      </c>
      <c r="C5137" s="1" t="n">
        <v>45971</v>
      </c>
      <c r="D5137" t="inlineStr">
        <is>
          <t>VÄSTERBOTTENS LÄN</t>
        </is>
      </c>
      <c r="E5137" t="inlineStr">
        <is>
          <t>VILHELMINA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12375-2024</t>
        </is>
      </c>
      <c r="B5138" s="1" t="n">
        <v>45378</v>
      </c>
      <c r="C5138" s="1" t="n">
        <v>45971</v>
      </c>
      <c r="D5138" t="inlineStr">
        <is>
          <t>VÄSTERBOTTENS LÄN</t>
        </is>
      </c>
      <c r="E5138" t="inlineStr">
        <is>
          <t>NORDMALING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17133-2025</t>
        </is>
      </c>
      <c r="B5139" s="1" t="n">
        <v>45755</v>
      </c>
      <c r="C5139" s="1" t="n">
        <v>45971</v>
      </c>
      <c r="D5139" t="inlineStr">
        <is>
          <t>VÄSTERBOTTENS LÄN</t>
        </is>
      </c>
      <c r="E5139" t="inlineStr">
        <is>
          <t>DOROTEA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32408-2024</t>
        </is>
      </c>
      <c r="B5140" s="1" t="n">
        <v>45512.68542824074</v>
      </c>
      <c r="C5140" s="1" t="n">
        <v>45971</v>
      </c>
      <c r="D5140" t="inlineStr">
        <is>
          <t>VÄSTERBOTTENS LÄN</t>
        </is>
      </c>
      <c r="E5140" t="inlineStr">
        <is>
          <t>LYCKSELE</t>
        </is>
      </c>
      <c r="F5140" t="inlineStr">
        <is>
          <t>Naturvårdsverket</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17008-2025</t>
        </is>
      </c>
      <c r="B5141" s="1" t="n">
        <v>45755.54644675926</v>
      </c>
      <c r="C5141" s="1" t="n">
        <v>45971</v>
      </c>
      <c r="D5141" t="inlineStr">
        <is>
          <t>VÄSTERBOTTENS LÄN</t>
        </is>
      </c>
      <c r="E5141" t="inlineStr">
        <is>
          <t>SKELLEFTEÅ</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15461-2025</t>
        </is>
      </c>
      <c r="B5142" s="1" t="n">
        <v>45747.51061342593</v>
      </c>
      <c r="C5142" s="1" t="n">
        <v>45971</v>
      </c>
      <c r="D5142" t="inlineStr">
        <is>
          <t>VÄSTERBOTTENS LÄN</t>
        </is>
      </c>
      <c r="E5142" t="inlineStr">
        <is>
          <t>SKELLEFTEÅ</t>
        </is>
      </c>
      <c r="F5142" t="inlineStr">
        <is>
          <t>Holmen skog AB</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43317-2024</t>
        </is>
      </c>
      <c r="B5143" s="1" t="n">
        <v>45568</v>
      </c>
      <c r="C5143" s="1" t="n">
        <v>45971</v>
      </c>
      <c r="D5143" t="inlineStr">
        <is>
          <t>VÄSTERBOTTENS LÄN</t>
        </is>
      </c>
      <c r="E5143" t="inlineStr">
        <is>
          <t>BJURHOLM</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43354-2024</t>
        </is>
      </c>
      <c r="B5144" s="1" t="n">
        <v>45568.56800925926</v>
      </c>
      <c r="C5144" s="1" t="n">
        <v>45971</v>
      </c>
      <c r="D5144" t="inlineStr">
        <is>
          <t>VÄSTERBOTTENS LÄN</t>
        </is>
      </c>
      <c r="E5144" t="inlineStr">
        <is>
          <t>ROBERTSFORS</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433-2025</t>
        </is>
      </c>
      <c r="B5145" s="1" t="n">
        <v>45664.3709837963</v>
      </c>
      <c r="C5145" s="1" t="n">
        <v>45971</v>
      </c>
      <c r="D5145" t="inlineStr">
        <is>
          <t>VÄSTERBOTTENS LÄN</t>
        </is>
      </c>
      <c r="E5145" t="inlineStr">
        <is>
          <t>MALÅ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33241-2023</t>
        </is>
      </c>
      <c r="B5146" s="1" t="n">
        <v>45114</v>
      </c>
      <c r="C5146" s="1" t="n">
        <v>45971</v>
      </c>
      <c r="D5146" t="inlineStr">
        <is>
          <t>VÄSTERBOTTENS LÄN</t>
        </is>
      </c>
      <c r="E5146" t="inlineStr">
        <is>
          <t>ÅSELE</t>
        </is>
      </c>
      <c r="G5146" t="n">
        <v>22.8</v>
      </c>
      <c r="H5146" t="n">
        <v>0</v>
      </c>
      <c r="I5146" t="n">
        <v>0</v>
      </c>
      <c r="J5146" t="n">
        <v>0</v>
      </c>
      <c r="K5146" t="n">
        <v>0</v>
      </c>
      <c r="L5146" t="n">
        <v>0</v>
      </c>
      <c r="M5146" t="n">
        <v>0</v>
      </c>
      <c r="N5146" t="n">
        <v>0</v>
      </c>
      <c r="O5146" t="n">
        <v>0</v>
      </c>
      <c r="P5146" t="n">
        <v>0</v>
      </c>
      <c r="Q5146" t="n">
        <v>0</v>
      </c>
      <c r="R5146" s="2" t="inlineStr"/>
    </row>
    <row r="5147" ht="15" customHeight="1">
      <c r="A5147" t="inlineStr">
        <is>
          <t>A 51734-2021</t>
        </is>
      </c>
      <c r="B5147" s="1" t="n">
        <v>44461</v>
      </c>
      <c r="C5147" s="1" t="n">
        <v>45971</v>
      </c>
      <c r="D5147" t="inlineStr">
        <is>
          <t>VÄSTERBOTTENS LÄN</t>
        </is>
      </c>
      <c r="E5147" t="inlineStr">
        <is>
          <t>SKELLEFTEÅ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33274-2023</t>
        </is>
      </c>
      <c r="B5148" s="1" t="n">
        <v>45127.59840277778</v>
      </c>
      <c r="C5148" s="1" t="n">
        <v>45971</v>
      </c>
      <c r="D5148" t="inlineStr">
        <is>
          <t>VÄSTERBOTTENS LÄN</t>
        </is>
      </c>
      <c r="E5148" t="inlineStr">
        <is>
          <t>SKELLEFTEÅ</t>
        </is>
      </c>
      <c r="F5148" t="inlineStr">
        <is>
          <t>Holmen skog AB</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35950-2023</t>
        </is>
      </c>
      <c r="B5149" s="1" t="n">
        <v>45148</v>
      </c>
      <c r="C5149" s="1" t="n">
        <v>45971</v>
      </c>
      <c r="D5149" t="inlineStr">
        <is>
          <t>VÄSTERBOTTENS LÄN</t>
        </is>
      </c>
      <c r="E5149" t="inlineStr">
        <is>
          <t>ÅSELE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35952-2023</t>
        </is>
      </c>
      <c r="B5150" s="1" t="n">
        <v>45148</v>
      </c>
      <c r="C5150" s="1" t="n">
        <v>45971</v>
      </c>
      <c r="D5150" t="inlineStr">
        <is>
          <t>VÄSTERBOTTENS LÄN</t>
        </is>
      </c>
      <c r="E5150" t="inlineStr">
        <is>
          <t>SKELLEFTEÅ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52434-2023</t>
        </is>
      </c>
      <c r="B5151" s="1" t="n">
        <v>45225.33805555556</v>
      </c>
      <c r="C5151" s="1" t="n">
        <v>45971</v>
      </c>
      <c r="D5151" t="inlineStr">
        <is>
          <t>VÄSTERBOTTENS LÄN</t>
        </is>
      </c>
      <c r="E5151" t="inlineStr">
        <is>
          <t>ROBERTSFORS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17890-2024</t>
        </is>
      </c>
      <c r="B5152" s="1" t="n">
        <v>45419.47606481481</v>
      </c>
      <c r="C5152" s="1" t="n">
        <v>45971</v>
      </c>
      <c r="D5152" t="inlineStr">
        <is>
          <t>VÄSTERBOTTENS LÄN</t>
        </is>
      </c>
      <c r="E5152" t="inlineStr">
        <is>
          <t>NORDMALING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16292-2025</t>
        </is>
      </c>
      <c r="B5153" s="1" t="n">
        <v>45751.33399305555</v>
      </c>
      <c r="C5153" s="1" t="n">
        <v>45971</v>
      </c>
      <c r="D5153" t="inlineStr">
        <is>
          <t>VÄSTERBOTTENS LÄN</t>
        </is>
      </c>
      <c r="E5153" t="inlineStr">
        <is>
          <t>LYCKSELE</t>
        </is>
      </c>
      <c r="F5153" t="inlineStr">
        <is>
          <t>Holmen skog AB</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23270-2021</t>
        </is>
      </c>
      <c r="B5154" s="1" t="n">
        <v>44328</v>
      </c>
      <c r="C5154" s="1" t="n">
        <v>45971</v>
      </c>
      <c r="D5154" t="inlineStr">
        <is>
          <t>VÄSTERBOTTENS LÄN</t>
        </is>
      </c>
      <c r="E5154" t="inlineStr">
        <is>
          <t>VILHELMINA</t>
        </is>
      </c>
      <c r="F5154" t="inlineStr">
        <is>
          <t>Allmännings- och besparingsskogar</t>
        </is>
      </c>
      <c r="G5154" t="n">
        <v>14.7</v>
      </c>
      <c r="H5154" t="n">
        <v>0</v>
      </c>
      <c r="I5154" t="n">
        <v>0</v>
      </c>
      <c r="J5154" t="n">
        <v>0</v>
      </c>
      <c r="K5154" t="n">
        <v>0</v>
      </c>
      <c r="L5154" t="n">
        <v>0</v>
      </c>
      <c r="M5154" t="n">
        <v>0</v>
      </c>
      <c r="N5154" t="n">
        <v>0</v>
      </c>
      <c r="O5154" t="n">
        <v>0</v>
      </c>
      <c r="P5154" t="n">
        <v>0</v>
      </c>
      <c r="Q5154" t="n">
        <v>0</v>
      </c>
      <c r="R5154" s="2" t="inlineStr"/>
    </row>
    <row r="5155" ht="15" customHeight="1">
      <c r="A5155" t="inlineStr">
        <is>
          <t>A 48731-2023</t>
        </is>
      </c>
      <c r="B5155" s="1" t="n">
        <v>45203</v>
      </c>
      <c r="C5155" s="1" t="n">
        <v>45971</v>
      </c>
      <c r="D5155" t="inlineStr">
        <is>
          <t>VÄSTERBOTTENS LÄN</t>
        </is>
      </c>
      <c r="E5155" t="inlineStr">
        <is>
          <t>MALÅ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58961-2022</t>
        </is>
      </c>
      <c r="B5156" s="1" t="n">
        <v>44903</v>
      </c>
      <c r="C5156" s="1" t="n">
        <v>45971</v>
      </c>
      <c r="D5156" t="inlineStr">
        <is>
          <t>VÄSTERBOTTENS LÄN</t>
        </is>
      </c>
      <c r="E5156" t="inlineStr">
        <is>
          <t>LYCKSELE</t>
        </is>
      </c>
      <c r="F5156" t="inlineStr">
        <is>
          <t>Holmen skog AB</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42206-2024</t>
        </is>
      </c>
      <c r="B5157" s="1" t="n">
        <v>45562.52640046296</v>
      </c>
      <c r="C5157" s="1" t="n">
        <v>45971</v>
      </c>
      <c r="D5157" t="inlineStr">
        <is>
          <t>VÄSTERBOTTENS LÄN</t>
        </is>
      </c>
      <c r="E5157" t="inlineStr">
        <is>
          <t>ÅSELE</t>
        </is>
      </c>
      <c r="F5157" t="inlineStr">
        <is>
          <t>Holmen skog AB</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59833-2022</t>
        </is>
      </c>
      <c r="B5158" s="1" t="n">
        <v>44901</v>
      </c>
      <c r="C5158" s="1" t="n">
        <v>45971</v>
      </c>
      <c r="D5158" t="inlineStr">
        <is>
          <t>VÄSTERBOTTENS LÄN</t>
        </is>
      </c>
      <c r="E5158" t="inlineStr">
        <is>
          <t>ROBERTSFORS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47825-2025</t>
        </is>
      </c>
      <c r="B5159" s="1" t="n">
        <v>45932.34476851852</v>
      </c>
      <c r="C5159" s="1" t="n">
        <v>45971</v>
      </c>
      <c r="D5159" t="inlineStr">
        <is>
          <t>VÄSTERBOTTENS LÄN</t>
        </is>
      </c>
      <c r="E5159" t="inlineStr">
        <is>
          <t>ÅSELE</t>
        </is>
      </c>
      <c r="F5159" t="inlineStr">
        <is>
          <t>SCA</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47551-2025</t>
        </is>
      </c>
      <c r="B5160" s="1" t="n">
        <v>45931.37207175926</v>
      </c>
      <c r="C5160" s="1" t="n">
        <v>45971</v>
      </c>
      <c r="D5160" t="inlineStr">
        <is>
          <t>VÄSTERBOTTENS LÄN</t>
        </is>
      </c>
      <c r="E5160" t="inlineStr">
        <is>
          <t>BJURHOLM</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40485-2024</t>
        </is>
      </c>
      <c r="B5161" s="1" t="n">
        <v>45555.55734953703</v>
      </c>
      <c r="C5161" s="1" t="n">
        <v>45971</v>
      </c>
      <c r="D5161" t="inlineStr">
        <is>
          <t>VÄSTERBOTTENS LÄN</t>
        </is>
      </c>
      <c r="E5161" t="inlineStr">
        <is>
          <t>VINDELN</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40488-2024</t>
        </is>
      </c>
      <c r="B5162" s="1" t="n">
        <v>45555.55739583333</v>
      </c>
      <c r="C5162" s="1" t="n">
        <v>45971</v>
      </c>
      <c r="D5162" t="inlineStr">
        <is>
          <t>VÄSTERBOTTENS LÄN</t>
        </is>
      </c>
      <c r="E5162" t="inlineStr">
        <is>
          <t>LYCKSELE</t>
        </is>
      </c>
      <c r="F5162" t="inlineStr">
        <is>
          <t>Sveaskog</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42248-2024</t>
        </is>
      </c>
      <c r="B5163" s="1" t="n">
        <v>45562.57457175926</v>
      </c>
      <c r="C5163" s="1" t="n">
        <v>45971</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43134-2023</t>
        </is>
      </c>
      <c r="B5164" s="1" t="n">
        <v>45182</v>
      </c>
      <c r="C5164" s="1" t="n">
        <v>45971</v>
      </c>
      <c r="D5164" t="inlineStr">
        <is>
          <t>VÄSTERBOTTENS LÄN</t>
        </is>
      </c>
      <c r="E5164" t="inlineStr">
        <is>
          <t>LYCKSELE</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27372-2023</t>
        </is>
      </c>
      <c r="B5165" s="1" t="n">
        <v>45096.93851851852</v>
      </c>
      <c r="C5165" s="1" t="n">
        <v>45971</v>
      </c>
      <c r="D5165" t="inlineStr">
        <is>
          <t>VÄSTERBOTTENS LÄN</t>
        </is>
      </c>
      <c r="E5165" t="inlineStr">
        <is>
          <t>NORDMALING</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47863-2025</t>
        </is>
      </c>
      <c r="B5166" s="1" t="n">
        <v>45932.4290625</v>
      </c>
      <c r="C5166" s="1" t="n">
        <v>45971</v>
      </c>
      <c r="D5166" t="inlineStr">
        <is>
          <t>VÄSTERBOTTENS LÄN</t>
        </is>
      </c>
      <c r="E5166" t="inlineStr">
        <is>
          <t>UMEÅ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5475-2025</t>
        </is>
      </c>
      <c r="B5167" s="1" t="n">
        <v>45693.33069444444</v>
      </c>
      <c r="C5167" s="1" t="n">
        <v>45971</v>
      </c>
      <c r="D5167" t="inlineStr">
        <is>
          <t>VÄSTERBOTTENS LÄN</t>
        </is>
      </c>
      <c r="E5167" t="inlineStr">
        <is>
          <t>SKELLEFTEÅ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36070-2023</t>
        </is>
      </c>
      <c r="B5168" s="1" t="n">
        <v>45149</v>
      </c>
      <c r="C5168" s="1" t="n">
        <v>45971</v>
      </c>
      <c r="D5168" t="inlineStr">
        <is>
          <t>VÄSTERBOTTENS LÄN</t>
        </is>
      </c>
      <c r="E5168" t="inlineStr">
        <is>
          <t>ÅSELE</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29747-2023</t>
        </is>
      </c>
      <c r="B5169" s="1" t="n">
        <v>45107</v>
      </c>
      <c r="C5169" s="1" t="n">
        <v>45971</v>
      </c>
      <c r="D5169" t="inlineStr">
        <is>
          <t>VÄSTERBOTTENS LÄN</t>
        </is>
      </c>
      <c r="E5169" t="inlineStr">
        <is>
          <t>STORUMAN</t>
        </is>
      </c>
      <c r="F5169" t="inlineStr">
        <is>
          <t>Holmen skog AB</t>
        </is>
      </c>
      <c r="G5169" t="n">
        <v>13.3</v>
      </c>
      <c r="H5169" t="n">
        <v>0</v>
      </c>
      <c r="I5169" t="n">
        <v>0</v>
      </c>
      <c r="J5169" t="n">
        <v>0</v>
      </c>
      <c r="K5169" t="n">
        <v>0</v>
      </c>
      <c r="L5169" t="n">
        <v>0</v>
      </c>
      <c r="M5169" t="n">
        <v>0</v>
      </c>
      <c r="N5169" t="n">
        <v>0</v>
      </c>
      <c r="O5169" t="n">
        <v>0</v>
      </c>
      <c r="P5169" t="n">
        <v>0</v>
      </c>
      <c r="Q5169" t="n">
        <v>0</v>
      </c>
      <c r="R5169" s="2" t="inlineStr"/>
    </row>
    <row r="5170" ht="15" customHeight="1">
      <c r="A5170" t="inlineStr">
        <is>
          <t>A 39343-2025</t>
        </is>
      </c>
      <c r="B5170" s="1" t="n">
        <v>45889.53162037037</v>
      </c>
      <c r="C5170" s="1" t="n">
        <v>45971</v>
      </c>
      <c r="D5170" t="inlineStr">
        <is>
          <t>VÄSTERBOTTENS LÄN</t>
        </is>
      </c>
      <c r="E5170" t="inlineStr">
        <is>
          <t>DOROTEA</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39477-2025</t>
        </is>
      </c>
      <c r="B5171" s="1" t="n">
        <v>45890.34474537037</v>
      </c>
      <c r="C5171" s="1" t="n">
        <v>45971</v>
      </c>
      <c r="D5171" t="inlineStr">
        <is>
          <t>VÄSTERBOTTENS LÄN</t>
        </is>
      </c>
      <c r="E5171" t="inlineStr">
        <is>
          <t>SKELLEFTEÅ</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39491-2025</t>
        </is>
      </c>
      <c r="B5172" s="1" t="n">
        <v>45890.37449074074</v>
      </c>
      <c r="C5172" s="1" t="n">
        <v>45971</v>
      </c>
      <c r="D5172" t="inlineStr">
        <is>
          <t>VÄSTERBOTTENS LÄN</t>
        </is>
      </c>
      <c r="E5172" t="inlineStr">
        <is>
          <t>BJURHOLM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47739-2025</t>
        </is>
      </c>
      <c r="B5173" s="1" t="n">
        <v>45931.6430787037</v>
      </c>
      <c r="C5173" s="1" t="n">
        <v>45971</v>
      </c>
      <c r="D5173" t="inlineStr">
        <is>
          <t>VÄSTERBOTTENS LÄN</t>
        </is>
      </c>
      <c r="E5173" t="inlineStr">
        <is>
          <t>SKELLEFTEÅ</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47740-2025</t>
        </is>
      </c>
      <c r="B5174" s="1" t="n">
        <v>45931.6437962963</v>
      </c>
      <c r="C5174" s="1" t="n">
        <v>45971</v>
      </c>
      <c r="D5174" t="inlineStr">
        <is>
          <t>VÄSTERBOTTENS LÄN</t>
        </is>
      </c>
      <c r="E5174" t="inlineStr">
        <is>
          <t>SORSELE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34413-2023</t>
        </is>
      </c>
      <c r="B5175" s="1" t="n">
        <v>45139</v>
      </c>
      <c r="C5175" s="1" t="n">
        <v>45971</v>
      </c>
      <c r="D5175" t="inlineStr">
        <is>
          <t>VÄSTERBOTTENS LÄN</t>
        </is>
      </c>
      <c r="E5175" t="inlineStr">
        <is>
          <t>MALÅ</t>
        </is>
      </c>
      <c r="F5175" t="inlineStr">
        <is>
          <t>Sveaskog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1883-2025</t>
        </is>
      </c>
      <c r="B5176" s="1" t="n">
        <v>45671</v>
      </c>
      <c r="C5176" s="1" t="n">
        <v>45971</v>
      </c>
      <c r="D5176" t="inlineStr">
        <is>
          <t>VÄSTERBOTTENS LÄN</t>
        </is>
      </c>
      <c r="E5176" t="inlineStr">
        <is>
          <t>ROBERTSFORS</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56182-2023</t>
        </is>
      </c>
      <c r="B5177" s="1" t="n">
        <v>45240.63961805555</v>
      </c>
      <c r="C5177" s="1" t="n">
        <v>45971</v>
      </c>
      <c r="D5177" t="inlineStr">
        <is>
          <t>VÄSTERBOTTENS LÄN</t>
        </is>
      </c>
      <c r="E5177" t="inlineStr">
        <is>
          <t>VINDELN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48011-2025</t>
        </is>
      </c>
      <c r="B5178" s="1" t="n">
        <v>45932.64318287037</v>
      </c>
      <c r="C5178" s="1" t="n">
        <v>45971</v>
      </c>
      <c r="D5178" t="inlineStr">
        <is>
          <t>VÄSTERBOTTENS LÄN</t>
        </is>
      </c>
      <c r="E5178" t="inlineStr">
        <is>
          <t>UMEÅ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39222-2025</t>
        </is>
      </c>
      <c r="B5179" s="1" t="n">
        <v>45888.93484953704</v>
      </c>
      <c r="C5179" s="1" t="n">
        <v>45971</v>
      </c>
      <c r="D5179" t="inlineStr">
        <is>
          <t>VÄSTERBOTTENS LÄN</t>
        </is>
      </c>
      <c r="E5179" t="inlineStr">
        <is>
          <t>ROBERTSFORS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15332-2023</t>
        </is>
      </c>
      <c r="B5180" s="1" t="n">
        <v>45016</v>
      </c>
      <c r="C5180" s="1" t="n">
        <v>45971</v>
      </c>
      <c r="D5180" t="inlineStr">
        <is>
          <t>VÄSTERBOTTENS LÄN</t>
        </is>
      </c>
      <c r="E5180" t="inlineStr">
        <is>
          <t>SKELLEFTEÅ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52680-2021</t>
        </is>
      </c>
      <c r="B5181" s="1" t="n">
        <v>44466</v>
      </c>
      <c r="C5181" s="1" t="n">
        <v>45971</v>
      </c>
      <c r="D5181" t="inlineStr">
        <is>
          <t>VÄSTERBOTTENS LÄN</t>
        </is>
      </c>
      <c r="E5181" t="inlineStr">
        <is>
          <t>SORSELE</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16231-2025</t>
        </is>
      </c>
      <c r="B5182" s="1" t="n">
        <v>45750.65398148148</v>
      </c>
      <c r="C5182" s="1" t="n">
        <v>45971</v>
      </c>
      <c r="D5182" t="inlineStr">
        <is>
          <t>VÄSTERBOTTENS LÄN</t>
        </is>
      </c>
      <c r="E5182" t="inlineStr">
        <is>
          <t>NORSJÖ</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14276-2025</t>
        </is>
      </c>
      <c r="B5183" s="1" t="n">
        <v>45740.64665509259</v>
      </c>
      <c r="C5183" s="1" t="n">
        <v>45971</v>
      </c>
      <c r="D5183" t="inlineStr">
        <is>
          <t>VÄSTERBOTTENS LÄN</t>
        </is>
      </c>
      <c r="E5183" t="inlineStr">
        <is>
          <t>LYCKSELE</t>
        </is>
      </c>
      <c r="G5183" t="n">
        <v>34.9</v>
      </c>
      <c r="H5183" t="n">
        <v>0</v>
      </c>
      <c r="I5183" t="n">
        <v>0</v>
      </c>
      <c r="J5183" t="n">
        <v>0</v>
      </c>
      <c r="K5183" t="n">
        <v>0</v>
      </c>
      <c r="L5183" t="n">
        <v>0</v>
      </c>
      <c r="M5183" t="n">
        <v>0</v>
      </c>
      <c r="N5183" t="n">
        <v>0</v>
      </c>
      <c r="O5183" t="n">
        <v>0</v>
      </c>
      <c r="P5183" t="n">
        <v>0</v>
      </c>
      <c r="Q5183" t="n">
        <v>0</v>
      </c>
      <c r="R5183" s="2" t="inlineStr"/>
    </row>
    <row r="5184" ht="15" customHeight="1">
      <c r="A5184" t="inlineStr">
        <is>
          <t>A 54477-2023</t>
        </is>
      </c>
      <c r="B5184" s="1" t="n">
        <v>45226</v>
      </c>
      <c r="C5184" s="1" t="n">
        <v>45971</v>
      </c>
      <c r="D5184" t="inlineStr">
        <is>
          <t>VÄSTERBOTTENS LÄN</t>
        </is>
      </c>
      <c r="E5184" t="inlineStr">
        <is>
          <t>ROBERTSFORS</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39259-2025</t>
        </is>
      </c>
      <c r="B5185" s="1" t="n">
        <v>45889.37043981482</v>
      </c>
      <c r="C5185" s="1" t="n">
        <v>45971</v>
      </c>
      <c r="D5185" t="inlineStr">
        <is>
          <t>VÄSTERBOTTENS LÄN</t>
        </is>
      </c>
      <c r="E5185" t="inlineStr">
        <is>
          <t>SKELLEFTEÅ</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46232-2024</t>
        </is>
      </c>
      <c r="B5186" s="1" t="n">
        <v>45581.57825231482</v>
      </c>
      <c r="C5186" s="1" t="n">
        <v>45971</v>
      </c>
      <c r="D5186" t="inlineStr">
        <is>
          <t>VÄSTERBOTTENS LÄN</t>
        </is>
      </c>
      <c r="E5186" t="inlineStr">
        <is>
          <t>UMEÅ</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489-2024</t>
        </is>
      </c>
      <c r="B5187" s="1" t="n">
        <v>45298</v>
      </c>
      <c r="C5187" s="1" t="n">
        <v>45971</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39373-2025</t>
        </is>
      </c>
      <c r="B5188" s="1" t="n">
        <v>45889.58655092592</v>
      </c>
      <c r="C5188" s="1" t="n">
        <v>45971</v>
      </c>
      <c r="D5188" t="inlineStr">
        <is>
          <t>VÄSTERBOTTENS LÄN</t>
        </is>
      </c>
      <c r="E5188" t="inlineStr">
        <is>
          <t>UMEÅ</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54484-2023</t>
        </is>
      </c>
      <c r="B5189" s="1" t="n">
        <v>45233</v>
      </c>
      <c r="C5189" s="1" t="n">
        <v>45971</v>
      </c>
      <c r="D5189" t="inlineStr">
        <is>
          <t>VÄSTERBOTTENS LÄN</t>
        </is>
      </c>
      <c r="E5189" t="inlineStr">
        <is>
          <t>ROBERTSFORS</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41160-2024</t>
        </is>
      </c>
      <c r="B5190" s="1" t="n">
        <v>45559.47989583333</v>
      </c>
      <c r="C5190" s="1" t="n">
        <v>45971</v>
      </c>
      <c r="D5190" t="inlineStr">
        <is>
          <t>VÄSTERBOTTENS LÄN</t>
        </is>
      </c>
      <c r="E5190" t="inlineStr">
        <is>
          <t>ÅSELE</t>
        </is>
      </c>
      <c r="F5190" t="inlineStr">
        <is>
          <t>Sveaskog</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41626-2024</t>
        </is>
      </c>
      <c r="B5191" s="1" t="n">
        <v>45560.60815972222</v>
      </c>
      <c r="C5191" s="1" t="n">
        <v>45971</v>
      </c>
      <c r="D5191" t="inlineStr">
        <is>
          <t>VÄSTERBOTTENS LÄN</t>
        </is>
      </c>
      <c r="E5191" t="inlineStr">
        <is>
          <t>VINDELN</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12645-2025</t>
        </is>
      </c>
      <c r="B5192" s="1" t="n">
        <v>45733.39303240741</v>
      </c>
      <c r="C5192" s="1" t="n">
        <v>45971</v>
      </c>
      <c r="D5192" t="inlineStr">
        <is>
          <t>VÄSTERBOTTENS LÄN</t>
        </is>
      </c>
      <c r="E5192" t="inlineStr">
        <is>
          <t>SKELLEFTEÅ</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39321-2024</t>
        </is>
      </c>
      <c r="B5193" s="1" t="n">
        <v>45551.41628472223</v>
      </c>
      <c r="C5193" s="1" t="n">
        <v>45971</v>
      </c>
      <c r="D5193" t="inlineStr">
        <is>
          <t>VÄSTERBOTTENS LÄN</t>
        </is>
      </c>
      <c r="E5193" t="inlineStr">
        <is>
          <t>LYCKSELE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14661-2023</t>
        </is>
      </c>
      <c r="B5194" s="1" t="n">
        <v>45013</v>
      </c>
      <c r="C5194" s="1" t="n">
        <v>45971</v>
      </c>
      <c r="D5194" t="inlineStr">
        <is>
          <t>VÄSTERBOTTENS LÄN</t>
        </is>
      </c>
      <c r="E5194" t="inlineStr">
        <is>
          <t>STORUMAN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48654-2024</t>
        </is>
      </c>
      <c r="B5195" s="1" t="n">
        <v>45593</v>
      </c>
      <c r="C5195" s="1" t="n">
        <v>45971</v>
      </c>
      <c r="D5195" t="inlineStr">
        <is>
          <t>VÄSTERBOTTENS LÄN</t>
        </is>
      </c>
      <c r="E5195" t="inlineStr">
        <is>
          <t>STORUMAN</t>
        </is>
      </c>
      <c r="F5195" t="inlineStr">
        <is>
          <t>Allmännings- och besparingsskogar</t>
        </is>
      </c>
      <c r="G5195" t="n">
        <v>30.9</v>
      </c>
      <c r="H5195" t="n">
        <v>0</v>
      </c>
      <c r="I5195" t="n">
        <v>0</v>
      </c>
      <c r="J5195" t="n">
        <v>0</v>
      </c>
      <c r="K5195" t="n">
        <v>0</v>
      </c>
      <c r="L5195" t="n">
        <v>0</v>
      </c>
      <c r="M5195" t="n">
        <v>0</v>
      </c>
      <c r="N5195" t="n">
        <v>0</v>
      </c>
      <c r="O5195" t="n">
        <v>0</v>
      </c>
      <c r="P5195" t="n">
        <v>0</v>
      </c>
      <c r="Q5195" t="n">
        <v>0</v>
      </c>
      <c r="R5195" s="2" t="inlineStr"/>
    </row>
    <row r="5196" ht="15" customHeight="1">
      <c r="A5196" t="inlineStr">
        <is>
          <t>A 39242-2025</t>
        </is>
      </c>
      <c r="B5196" s="1" t="n">
        <v>45889.34109953704</v>
      </c>
      <c r="C5196" s="1" t="n">
        <v>45971</v>
      </c>
      <c r="D5196" t="inlineStr">
        <is>
          <t>VÄSTERBOTTENS LÄN</t>
        </is>
      </c>
      <c r="E5196" t="inlineStr">
        <is>
          <t>LYCKSELE</t>
        </is>
      </c>
      <c r="F5196" t="inlineStr">
        <is>
          <t>Sveaskog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39263-2025</t>
        </is>
      </c>
      <c r="B5197" s="1" t="n">
        <v>45889.37246527777</v>
      </c>
      <c r="C5197" s="1" t="n">
        <v>45971</v>
      </c>
      <c r="D5197" t="inlineStr">
        <is>
          <t>VÄSTERBOTTENS LÄN</t>
        </is>
      </c>
      <c r="E5197" t="inlineStr">
        <is>
          <t>BJURHOLM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39315-2025</t>
        </is>
      </c>
      <c r="B5198" s="1" t="n">
        <v>45889</v>
      </c>
      <c r="C5198" s="1" t="n">
        <v>45971</v>
      </c>
      <c r="D5198" t="inlineStr">
        <is>
          <t>VÄSTERBOTTENS LÄN</t>
        </is>
      </c>
      <c r="E5198" t="inlineStr">
        <is>
          <t>ROBERTSFORS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8092-2023</t>
        </is>
      </c>
      <c r="B5199" s="1" t="n">
        <v>44974.38387731482</v>
      </c>
      <c r="C5199" s="1" t="n">
        <v>45971</v>
      </c>
      <c r="D5199" t="inlineStr">
        <is>
          <t>VÄSTERBOTTENS LÄN</t>
        </is>
      </c>
      <c r="E5199" t="inlineStr">
        <is>
          <t>DOROTEA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40559-2024</t>
        </is>
      </c>
      <c r="B5200" s="1" t="n">
        <v>45555.6578125</v>
      </c>
      <c r="C5200" s="1" t="n">
        <v>45971</v>
      </c>
      <c r="D5200" t="inlineStr">
        <is>
          <t>VÄSTERBOTTENS LÄN</t>
        </is>
      </c>
      <c r="E5200" t="inlineStr">
        <is>
          <t>VINDELN</t>
        </is>
      </c>
      <c r="F5200" t="inlineStr">
        <is>
          <t>Naturvårdsverket</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39614-2025</t>
        </is>
      </c>
      <c r="B5201" s="1" t="n">
        <v>45890.56412037037</v>
      </c>
      <c r="C5201" s="1" t="n">
        <v>45971</v>
      </c>
      <c r="D5201" t="inlineStr">
        <is>
          <t>VÄSTERBOTTENS LÄN</t>
        </is>
      </c>
      <c r="E5201" t="inlineStr">
        <is>
          <t>MALÅ</t>
        </is>
      </c>
      <c r="F5201" t="inlineStr">
        <is>
          <t>Sveaskog</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61399-2024</t>
        </is>
      </c>
      <c r="B5202" s="1" t="n">
        <v>45646.42921296296</v>
      </c>
      <c r="C5202" s="1" t="n">
        <v>45971</v>
      </c>
      <c r="D5202" t="inlineStr">
        <is>
          <t>VÄSTERBOTTENS LÄN</t>
        </is>
      </c>
      <c r="E5202" t="inlineStr">
        <is>
          <t>ROBERTSFORS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51723-2023</t>
        </is>
      </c>
      <c r="B5203" s="1" t="n">
        <v>45222</v>
      </c>
      <c r="C5203" s="1" t="n">
        <v>45971</v>
      </c>
      <c r="D5203" t="inlineStr">
        <is>
          <t>VÄSTERBOTTENS LÄN</t>
        </is>
      </c>
      <c r="E5203" t="inlineStr">
        <is>
          <t>MALÅ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47981-2024</t>
        </is>
      </c>
      <c r="B5204" s="1" t="n">
        <v>45589</v>
      </c>
      <c r="C5204" s="1" t="n">
        <v>45971</v>
      </c>
      <c r="D5204" t="inlineStr">
        <is>
          <t>VÄSTERBOTTENS LÄN</t>
        </is>
      </c>
      <c r="E5204" t="inlineStr">
        <is>
          <t>SORSELE</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48945-2022</t>
        </is>
      </c>
      <c r="B5205" s="1" t="n">
        <v>44859.95755787037</v>
      </c>
      <c r="C5205" s="1" t="n">
        <v>45971</v>
      </c>
      <c r="D5205" t="inlineStr">
        <is>
          <t>VÄSTERBOTTENS LÄN</t>
        </is>
      </c>
      <c r="E5205" t="inlineStr">
        <is>
          <t>NORDMALING</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10058-2025</t>
        </is>
      </c>
      <c r="B5206" s="1" t="n">
        <v>45719.53226851852</v>
      </c>
      <c r="C5206" s="1" t="n">
        <v>45971</v>
      </c>
      <c r="D5206" t="inlineStr">
        <is>
          <t>VÄSTERBOTTENS LÄN</t>
        </is>
      </c>
      <c r="E5206" t="inlineStr">
        <is>
          <t>ROBERTSFORS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20234-2023</t>
        </is>
      </c>
      <c r="B5207" s="1" t="n">
        <v>45054</v>
      </c>
      <c r="C5207" s="1" t="n">
        <v>45971</v>
      </c>
      <c r="D5207" t="inlineStr">
        <is>
          <t>VÄSTERBOTTENS LÄN</t>
        </is>
      </c>
      <c r="E5207" t="inlineStr">
        <is>
          <t>MALÅ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957-2023</t>
        </is>
      </c>
      <c r="B5208" s="1" t="n">
        <v>44934.85548611111</v>
      </c>
      <c r="C5208" s="1" t="n">
        <v>45971</v>
      </c>
      <c r="D5208" t="inlineStr">
        <is>
          <t>VÄSTERBOTTENS LÄN</t>
        </is>
      </c>
      <c r="E5208" t="inlineStr">
        <is>
          <t>LYCKSELE</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10079-2025</t>
        </is>
      </c>
      <c r="B5209" s="1" t="n">
        <v>45719</v>
      </c>
      <c r="C5209" s="1" t="n">
        <v>45971</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2116-2023</t>
        </is>
      </c>
      <c r="B5210" s="1" t="n">
        <v>44939</v>
      </c>
      <c r="C5210" s="1" t="n">
        <v>45971</v>
      </c>
      <c r="D5210" t="inlineStr">
        <is>
          <t>VÄSTERBOTTENS LÄN</t>
        </is>
      </c>
      <c r="E5210" t="inlineStr">
        <is>
          <t>MALÅ</t>
        </is>
      </c>
      <c r="F5210" t="inlineStr">
        <is>
          <t>SCA</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15221-2025</t>
        </is>
      </c>
      <c r="B5211" s="1" t="n">
        <v>45744.58421296296</v>
      </c>
      <c r="C5211" s="1" t="n">
        <v>45971</v>
      </c>
      <c r="D5211" t="inlineStr">
        <is>
          <t>VÄSTERBOTTENS LÄN</t>
        </is>
      </c>
      <c r="E5211" t="inlineStr">
        <is>
          <t>LYCKSELE</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28158-2023</t>
        </is>
      </c>
      <c r="B5212" s="1" t="n">
        <v>45096</v>
      </c>
      <c r="C5212" s="1" t="n">
        <v>45971</v>
      </c>
      <c r="D5212" t="inlineStr">
        <is>
          <t>VÄSTERBOTTENS LÄN</t>
        </is>
      </c>
      <c r="E5212" t="inlineStr">
        <is>
          <t>SKELLEFTEÅ</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49835-2023</t>
        </is>
      </c>
      <c r="B5213" s="1" t="n">
        <v>45210</v>
      </c>
      <c r="C5213" s="1" t="n">
        <v>45971</v>
      </c>
      <c r="D5213" t="inlineStr">
        <is>
          <t>VÄSTERBOTTENS LÄN</t>
        </is>
      </c>
      <c r="E5213" t="inlineStr">
        <is>
          <t>MALÅ</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28192-2023</t>
        </is>
      </c>
      <c r="B5214" s="1" t="n">
        <v>45096</v>
      </c>
      <c r="C5214" s="1" t="n">
        <v>45971</v>
      </c>
      <c r="D5214" t="inlineStr">
        <is>
          <t>VÄSTERBOTTENS LÄN</t>
        </is>
      </c>
      <c r="E5214" t="inlineStr">
        <is>
          <t>SKELLEFTEÅ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14231-2025</t>
        </is>
      </c>
      <c r="B5215" s="1" t="n">
        <v>45740.6012962963</v>
      </c>
      <c r="C5215" s="1" t="n">
        <v>45971</v>
      </c>
      <c r="D5215" t="inlineStr">
        <is>
          <t>VÄSTERBOTTENS LÄN</t>
        </is>
      </c>
      <c r="E5215" t="inlineStr">
        <is>
          <t>VINDELN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28160-2023</t>
        </is>
      </c>
      <c r="B5216" s="1" t="n">
        <v>45099.49787037037</v>
      </c>
      <c r="C5216" s="1" t="n">
        <v>45971</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28171-2023</t>
        </is>
      </c>
      <c r="B5217" s="1" t="n">
        <v>45096</v>
      </c>
      <c r="C5217" s="1" t="n">
        <v>45971</v>
      </c>
      <c r="D5217" t="inlineStr">
        <is>
          <t>VÄSTERBOTTENS LÄN</t>
        </is>
      </c>
      <c r="E5217" t="inlineStr">
        <is>
          <t>SKELLEFTEÅ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50338-2023</t>
        </is>
      </c>
      <c r="B5218" s="1" t="n">
        <v>45216</v>
      </c>
      <c r="C5218" s="1" t="n">
        <v>45971</v>
      </c>
      <c r="D5218" t="inlineStr">
        <is>
          <t>VÄSTERBOTTENS LÄN</t>
        </is>
      </c>
      <c r="E5218" t="inlineStr">
        <is>
          <t>SKELLEFTEÅ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2485-2023</t>
        </is>
      </c>
      <c r="B5219" s="1" t="n">
        <v>44943.50074074074</v>
      </c>
      <c r="C5219" s="1" t="n">
        <v>45971</v>
      </c>
      <c r="D5219" t="inlineStr">
        <is>
          <t>VÄSTERBOTTENS LÄN</t>
        </is>
      </c>
      <c r="E5219" t="inlineStr">
        <is>
          <t>ÅSELE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42791-2024</t>
        </is>
      </c>
      <c r="B5220" s="1" t="n">
        <v>45566</v>
      </c>
      <c r="C5220" s="1" t="n">
        <v>45971</v>
      </c>
      <c r="D5220" t="inlineStr">
        <is>
          <t>VÄSTERBOTTENS LÄN</t>
        </is>
      </c>
      <c r="E5220" t="inlineStr">
        <is>
          <t>SKELLEFTEÅ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24352-2024</t>
        </is>
      </c>
      <c r="B5221" s="1" t="n">
        <v>45457.59247685185</v>
      </c>
      <c r="C5221" s="1" t="n">
        <v>45971</v>
      </c>
      <c r="D5221" t="inlineStr">
        <is>
          <t>VÄSTERBOTTENS LÄN</t>
        </is>
      </c>
      <c r="E5221" t="inlineStr">
        <is>
          <t>SKELLEFTEÅ</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55173-2023</t>
        </is>
      </c>
      <c r="B5222" s="1" t="n">
        <v>45237</v>
      </c>
      <c r="C5222" s="1" t="n">
        <v>45971</v>
      </c>
      <c r="D5222" t="inlineStr">
        <is>
          <t>VÄSTERBOTTENS LÄN</t>
        </is>
      </c>
      <c r="E5222" t="inlineStr">
        <is>
          <t>VÄNNÄS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14294-2025</t>
        </is>
      </c>
      <c r="B5223" s="1" t="n">
        <v>45740.67822916667</v>
      </c>
      <c r="C5223" s="1" t="n">
        <v>45971</v>
      </c>
      <c r="D5223" t="inlineStr">
        <is>
          <t>VÄSTERBOTTENS LÄN</t>
        </is>
      </c>
      <c r="E5223" t="inlineStr">
        <is>
          <t>DOROTEA</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14003-2021</t>
        </is>
      </c>
      <c r="B5224" s="1" t="n">
        <v>44277</v>
      </c>
      <c r="C5224" s="1" t="n">
        <v>45971</v>
      </c>
      <c r="D5224" t="inlineStr">
        <is>
          <t>VÄSTERBOTTENS LÄN</t>
        </is>
      </c>
      <c r="E5224" t="inlineStr">
        <is>
          <t>SORSELE</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27631-2022</t>
        </is>
      </c>
      <c r="B5225" s="1" t="n">
        <v>44743</v>
      </c>
      <c r="C5225" s="1" t="n">
        <v>45971</v>
      </c>
      <c r="D5225" t="inlineStr">
        <is>
          <t>VÄSTERBOTTENS LÄN</t>
        </is>
      </c>
      <c r="E5225" t="inlineStr">
        <is>
          <t>SKELLEFTEÅ</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34242-2024</t>
        </is>
      </c>
      <c r="B5226" s="1" t="n">
        <v>45524.58086805556</v>
      </c>
      <c r="C5226" s="1" t="n">
        <v>45971</v>
      </c>
      <c r="D5226" t="inlineStr">
        <is>
          <t>VÄSTERBOTTENS LÄN</t>
        </is>
      </c>
      <c r="E5226" t="inlineStr">
        <is>
          <t>SKELLEFTEÅ</t>
        </is>
      </c>
      <c r="F5226" t="inlineStr">
        <is>
          <t>Sveaskog</t>
        </is>
      </c>
      <c r="G5226" t="n">
        <v>19.8</v>
      </c>
      <c r="H5226" t="n">
        <v>0</v>
      </c>
      <c r="I5226" t="n">
        <v>0</v>
      </c>
      <c r="J5226" t="n">
        <v>0</v>
      </c>
      <c r="K5226" t="n">
        <v>0</v>
      </c>
      <c r="L5226" t="n">
        <v>0</v>
      </c>
      <c r="M5226" t="n">
        <v>0</v>
      </c>
      <c r="N5226" t="n">
        <v>0</v>
      </c>
      <c r="O5226" t="n">
        <v>0</v>
      </c>
      <c r="P5226" t="n">
        <v>0</v>
      </c>
      <c r="Q5226" t="n">
        <v>0</v>
      </c>
      <c r="R5226" s="2" t="inlineStr"/>
    </row>
    <row r="5227" ht="15" customHeight="1">
      <c r="A5227" t="inlineStr">
        <is>
          <t>A 1406-2021</t>
        </is>
      </c>
      <c r="B5227" s="1" t="n">
        <v>44208</v>
      </c>
      <c r="C5227" s="1" t="n">
        <v>45971</v>
      </c>
      <c r="D5227" t="inlineStr">
        <is>
          <t>VÄSTERBOTTENS LÄN</t>
        </is>
      </c>
      <c r="E5227" t="inlineStr">
        <is>
          <t>NORDMALING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60758-2022</t>
        </is>
      </c>
      <c r="B5228" s="1" t="n">
        <v>44907</v>
      </c>
      <c r="C5228" s="1" t="n">
        <v>45971</v>
      </c>
      <c r="D5228" t="inlineStr">
        <is>
          <t>VÄSTERBOTTENS LÄN</t>
        </is>
      </c>
      <c r="E5228" t="inlineStr">
        <is>
          <t>SORSELE</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4366-2025</t>
        </is>
      </c>
      <c r="B5229" s="1" t="n">
        <v>45686</v>
      </c>
      <c r="C5229" s="1" t="n">
        <v>45971</v>
      </c>
      <c r="D5229" t="inlineStr">
        <is>
          <t>VÄSTERBOTTENS LÄN</t>
        </is>
      </c>
      <c r="E5229" t="inlineStr">
        <is>
          <t>VINDELN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59160-2021</t>
        </is>
      </c>
      <c r="B5230" s="1" t="n">
        <v>44490</v>
      </c>
      <c r="C5230" s="1" t="n">
        <v>45971</v>
      </c>
      <c r="D5230" t="inlineStr">
        <is>
          <t>VÄSTERBOTTENS LÄN</t>
        </is>
      </c>
      <c r="E5230" t="inlineStr">
        <is>
          <t>VINDELN</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39665-2025</t>
        </is>
      </c>
      <c r="B5231" s="1" t="n">
        <v>45890.63614583333</v>
      </c>
      <c r="C5231" s="1" t="n">
        <v>45971</v>
      </c>
      <c r="D5231" t="inlineStr">
        <is>
          <t>VÄSTERBOTTENS LÄN</t>
        </is>
      </c>
      <c r="E5231" t="inlineStr">
        <is>
          <t>DOROTEA</t>
        </is>
      </c>
      <c r="F5231" t="inlineStr">
        <is>
          <t>SCA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43783-2024</t>
        </is>
      </c>
      <c r="B5232" s="1" t="n">
        <v>45570</v>
      </c>
      <c r="C5232" s="1" t="n">
        <v>45971</v>
      </c>
      <c r="D5232" t="inlineStr">
        <is>
          <t>VÄSTERBOTTENS LÄN</t>
        </is>
      </c>
      <c r="E5232" t="inlineStr">
        <is>
          <t>NORDMALING</t>
        </is>
      </c>
      <c r="F5232" t="inlineStr">
        <is>
          <t>SCA</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55889-2022</t>
        </is>
      </c>
      <c r="B5233" s="1" t="n">
        <v>44888</v>
      </c>
      <c r="C5233" s="1" t="n">
        <v>45971</v>
      </c>
      <c r="D5233" t="inlineStr">
        <is>
          <t>VÄSTERBOTTENS LÄN</t>
        </is>
      </c>
      <c r="E5233" t="inlineStr">
        <is>
          <t>DOROTEA</t>
        </is>
      </c>
      <c r="G5233" t="n">
        <v>15.8</v>
      </c>
      <c r="H5233" t="n">
        <v>0</v>
      </c>
      <c r="I5233" t="n">
        <v>0</v>
      </c>
      <c r="J5233" t="n">
        <v>0</v>
      </c>
      <c r="K5233" t="n">
        <v>0</v>
      </c>
      <c r="L5233" t="n">
        <v>0</v>
      </c>
      <c r="M5233" t="n">
        <v>0</v>
      </c>
      <c r="N5233" t="n">
        <v>0</v>
      </c>
      <c r="O5233" t="n">
        <v>0</v>
      </c>
      <c r="P5233" t="n">
        <v>0</v>
      </c>
      <c r="Q5233" t="n">
        <v>0</v>
      </c>
      <c r="R5233" s="2" t="inlineStr"/>
    </row>
    <row r="5234" ht="15" customHeight="1">
      <c r="A5234" t="inlineStr">
        <is>
          <t>A 18587-2023</t>
        </is>
      </c>
      <c r="B5234" s="1" t="n">
        <v>45041</v>
      </c>
      <c r="C5234" s="1" t="n">
        <v>45971</v>
      </c>
      <c r="D5234" t="inlineStr">
        <is>
          <t>VÄSTERBOTTENS LÄN</t>
        </is>
      </c>
      <c r="E5234" t="inlineStr">
        <is>
          <t>LYCKSELE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2024-2024</t>
        </is>
      </c>
      <c r="B5235" s="1" t="n">
        <v>45308</v>
      </c>
      <c r="C5235" s="1" t="n">
        <v>45971</v>
      </c>
      <c r="D5235" t="inlineStr">
        <is>
          <t>VÄSTERBOTTENS LÄN</t>
        </is>
      </c>
      <c r="E5235" t="inlineStr">
        <is>
          <t>STORUMAN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68823-2020</t>
        </is>
      </c>
      <c r="B5236" s="1" t="n">
        <v>44186</v>
      </c>
      <c r="C5236" s="1" t="n">
        <v>45971</v>
      </c>
      <c r="D5236" t="inlineStr">
        <is>
          <t>VÄSTERBOTTENS LÄN</t>
        </is>
      </c>
      <c r="E5236" t="inlineStr">
        <is>
          <t>UMEÅ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47834-2025</t>
        </is>
      </c>
      <c r="B5237" s="1" t="n">
        <v>45932.36518518518</v>
      </c>
      <c r="C5237" s="1" t="n">
        <v>45971</v>
      </c>
      <c r="D5237" t="inlineStr">
        <is>
          <t>VÄSTERBOTTENS LÄN</t>
        </is>
      </c>
      <c r="E5237" t="inlineStr">
        <is>
          <t>NORDMALING</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2091-2024</t>
        </is>
      </c>
      <c r="B5238" s="1" t="n">
        <v>45309</v>
      </c>
      <c r="C5238" s="1" t="n">
        <v>45971</v>
      </c>
      <c r="D5238" t="inlineStr">
        <is>
          <t>VÄSTERBOTTENS LÄN</t>
        </is>
      </c>
      <c r="E5238" t="inlineStr">
        <is>
          <t>ÅSELE</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55739-2023</t>
        </is>
      </c>
      <c r="B5239" s="1" t="n">
        <v>45239</v>
      </c>
      <c r="C5239" s="1" t="n">
        <v>45971</v>
      </c>
      <c r="D5239" t="inlineStr">
        <is>
          <t>VÄSTERBOTTENS LÄN</t>
        </is>
      </c>
      <c r="E5239" t="inlineStr">
        <is>
          <t>SKELLEFTEÅ</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55744-2023</t>
        </is>
      </c>
      <c r="B5240" s="1" t="n">
        <v>45239.4444212963</v>
      </c>
      <c r="C5240" s="1" t="n">
        <v>45971</v>
      </c>
      <c r="D5240" t="inlineStr">
        <is>
          <t>VÄSTERBOTTENS LÄN</t>
        </is>
      </c>
      <c r="E5240" t="inlineStr">
        <is>
          <t>SKELLEFTEÅ</t>
        </is>
      </c>
      <c r="G5240" t="n">
        <v>12.4</v>
      </c>
      <c r="H5240" t="n">
        <v>0</v>
      </c>
      <c r="I5240" t="n">
        <v>0</v>
      </c>
      <c r="J5240" t="n">
        <v>0</v>
      </c>
      <c r="K5240" t="n">
        <v>0</v>
      </c>
      <c r="L5240" t="n">
        <v>0</v>
      </c>
      <c r="M5240" t="n">
        <v>0</v>
      </c>
      <c r="N5240" t="n">
        <v>0</v>
      </c>
      <c r="O5240" t="n">
        <v>0</v>
      </c>
      <c r="P5240" t="n">
        <v>0</v>
      </c>
      <c r="Q5240" t="n">
        <v>0</v>
      </c>
      <c r="R5240" s="2" t="inlineStr"/>
    </row>
    <row r="5241" ht="15" customHeight="1">
      <c r="A5241" t="inlineStr">
        <is>
          <t>A 58572-2022</t>
        </is>
      </c>
      <c r="B5241" s="1" t="n">
        <v>44902</v>
      </c>
      <c r="C5241" s="1" t="n">
        <v>45971</v>
      </c>
      <c r="D5241" t="inlineStr">
        <is>
          <t>VÄSTERBOTTENS LÄN</t>
        </is>
      </c>
      <c r="E5241" t="inlineStr">
        <is>
          <t>SKELLEFTEÅ</t>
        </is>
      </c>
      <c r="F5241" t="inlineStr">
        <is>
          <t>Sveaskog</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48031-2025</t>
        </is>
      </c>
      <c r="B5242" s="1" t="n">
        <v>45932.65422453704</v>
      </c>
      <c r="C5242" s="1" t="n">
        <v>45971</v>
      </c>
      <c r="D5242" t="inlineStr">
        <is>
          <t>VÄSTERBOTTENS LÄN</t>
        </is>
      </c>
      <c r="E5242" t="inlineStr">
        <is>
          <t>SKELLEFTEÅ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48034-2025</t>
        </is>
      </c>
      <c r="B5243" s="1" t="n">
        <v>45932.65673611111</v>
      </c>
      <c r="C5243" s="1" t="n">
        <v>45971</v>
      </c>
      <c r="D5243" t="inlineStr">
        <is>
          <t>VÄSTERBOTTENS LÄN</t>
        </is>
      </c>
      <c r="E5243" t="inlineStr">
        <is>
          <t>MALÅ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29006-2023</t>
        </is>
      </c>
      <c r="B5244" s="1" t="n">
        <v>45104.65298611111</v>
      </c>
      <c r="C5244" s="1" t="n">
        <v>45971</v>
      </c>
      <c r="D5244" t="inlineStr">
        <is>
          <t>VÄSTERBOTTENS LÄN</t>
        </is>
      </c>
      <c r="E5244" t="inlineStr">
        <is>
          <t>BJURHOLM</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39534-2025</t>
        </is>
      </c>
      <c r="B5245" s="1" t="n">
        <v>45890.44875</v>
      </c>
      <c r="C5245" s="1" t="n">
        <v>45971</v>
      </c>
      <c r="D5245" t="inlineStr">
        <is>
          <t>VÄSTERBOTTENS LÄN</t>
        </is>
      </c>
      <c r="E5245" t="inlineStr">
        <is>
          <t>VILHELMINA</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61697-2022</t>
        </is>
      </c>
      <c r="B5246" s="1" t="n">
        <v>44911</v>
      </c>
      <c r="C5246" s="1" t="n">
        <v>45971</v>
      </c>
      <c r="D5246" t="inlineStr">
        <is>
          <t>VÄSTERBOTTENS LÄN</t>
        </is>
      </c>
      <c r="E5246" t="inlineStr">
        <is>
          <t>SKELLEFTEÅ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58790-2022</t>
        </is>
      </c>
      <c r="B5247" s="1" t="n">
        <v>44895</v>
      </c>
      <c r="C5247" s="1" t="n">
        <v>45971</v>
      </c>
      <c r="D5247" t="inlineStr">
        <is>
          <t>VÄSTERBOTTENS LÄN</t>
        </is>
      </c>
      <c r="E5247" t="inlineStr">
        <is>
          <t>ROBERTSFORS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43987-2024</t>
        </is>
      </c>
      <c r="B5248" s="1" t="n">
        <v>45572.51092592593</v>
      </c>
      <c r="C5248" s="1" t="n">
        <v>45971</v>
      </c>
      <c r="D5248" t="inlineStr">
        <is>
          <t>VÄSTERBOTTENS LÄN</t>
        </is>
      </c>
      <c r="E5248" t="inlineStr">
        <is>
          <t>VILHELMINA</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51361-2022</t>
        </is>
      </c>
      <c r="B5249" s="1" t="n">
        <v>44866</v>
      </c>
      <c r="C5249" s="1" t="n">
        <v>45971</v>
      </c>
      <c r="D5249" t="inlineStr">
        <is>
          <t>VÄSTERBOTTENS LÄN</t>
        </is>
      </c>
      <c r="E5249" t="inlineStr">
        <is>
          <t>SORSELE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7048-2023</t>
        </is>
      </c>
      <c r="B5250" s="1" t="n">
        <v>44968</v>
      </c>
      <c r="C5250" s="1" t="n">
        <v>45971</v>
      </c>
      <c r="D5250" t="inlineStr">
        <is>
          <t>VÄSTERBOTTENS LÄN</t>
        </is>
      </c>
      <c r="E5250" t="inlineStr">
        <is>
          <t>NORDMALING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16539-2025</t>
        </is>
      </c>
      <c r="B5251" s="1" t="n">
        <v>45751.66283564815</v>
      </c>
      <c r="C5251" s="1" t="n">
        <v>45971</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67678-2020</t>
        </is>
      </c>
      <c r="B5252" s="1" t="n">
        <v>44182</v>
      </c>
      <c r="C5252" s="1" t="n">
        <v>45971</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39557-2025</t>
        </is>
      </c>
      <c r="B5253" s="1" t="n">
        <v>45890</v>
      </c>
      <c r="C5253" s="1" t="n">
        <v>45971</v>
      </c>
      <c r="D5253" t="inlineStr">
        <is>
          <t>VÄSTERBOTTENS LÄN</t>
        </is>
      </c>
      <c r="E5253" t="inlineStr">
        <is>
          <t>ÅSELE</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39613-2025</t>
        </is>
      </c>
      <c r="B5254" s="1" t="n">
        <v>45890.56368055556</v>
      </c>
      <c r="C5254" s="1" t="n">
        <v>45971</v>
      </c>
      <c r="D5254" t="inlineStr">
        <is>
          <t>VÄSTERBOTTENS LÄN</t>
        </is>
      </c>
      <c r="E5254" t="inlineStr">
        <is>
          <t>SKELLEFTEÅ</t>
        </is>
      </c>
      <c r="F5254" t="inlineStr">
        <is>
          <t>Holmen skog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19731-2024</t>
        </is>
      </c>
      <c r="B5255" s="1" t="n">
        <v>45432.60155092592</v>
      </c>
      <c r="C5255" s="1" t="n">
        <v>45971</v>
      </c>
      <c r="D5255" t="inlineStr">
        <is>
          <t>VÄSTERBOTTENS LÄN</t>
        </is>
      </c>
      <c r="E5255" t="inlineStr">
        <is>
          <t>NORSJÖ</t>
        </is>
      </c>
      <c r="F5255" t="inlineStr">
        <is>
          <t>Holmen skog AB</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47891-2025</t>
        </is>
      </c>
      <c r="B5256" s="1" t="n">
        <v>45932.47138888889</v>
      </c>
      <c r="C5256" s="1" t="n">
        <v>45971</v>
      </c>
      <c r="D5256" t="inlineStr">
        <is>
          <t>VÄSTERBOTTENS LÄN</t>
        </is>
      </c>
      <c r="E5256" t="inlineStr">
        <is>
          <t>SKELLEFTEÅ</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26738-2024</t>
        </is>
      </c>
      <c r="B5257" s="1" t="n">
        <v>45470.44721064815</v>
      </c>
      <c r="C5257" s="1" t="n">
        <v>45971</v>
      </c>
      <c r="D5257" t="inlineStr">
        <is>
          <t>VÄSTERBOTTENS LÄN</t>
        </is>
      </c>
      <c r="E5257" t="inlineStr">
        <is>
          <t>UMEÅ</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19744-2024</t>
        </is>
      </c>
      <c r="B5258" s="1" t="n">
        <v>45432.65126157407</v>
      </c>
      <c r="C5258" s="1" t="n">
        <v>45971</v>
      </c>
      <c r="D5258" t="inlineStr">
        <is>
          <t>VÄSTERBOTTENS LÄN</t>
        </is>
      </c>
      <c r="E5258" t="inlineStr">
        <is>
          <t>NORSJÖ</t>
        </is>
      </c>
      <c r="F5258" t="inlineStr">
        <is>
          <t>Holmen skog AB</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27457-2024</t>
        </is>
      </c>
      <c r="B5259" s="1" t="n">
        <v>45474.43996527778</v>
      </c>
      <c r="C5259" s="1" t="n">
        <v>45971</v>
      </c>
      <c r="D5259" t="inlineStr">
        <is>
          <t>VÄSTERBOTTENS LÄN</t>
        </is>
      </c>
      <c r="E5259" t="inlineStr">
        <is>
          <t>NORSJÖ</t>
        </is>
      </c>
      <c r="F5259" t="inlineStr">
        <is>
          <t>Holmen skog AB</t>
        </is>
      </c>
      <c r="G5259" t="n">
        <v>20.6</v>
      </c>
      <c r="H5259" t="n">
        <v>0</v>
      </c>
      <c r="I5259" t="n">
        <v>0</v>
      </c>
      <c r="J5259" t="n">
        <v>0</v>
      </c>
      <c r="K5259" t="n">
        <v>0</v>
      </c>
      <c r="L5259" t="n">
        <v>0</v>
      </c>
      <c r="M5259" t="n">
        <v>0</v>
      </c>
      <c r="N5259" t="n">
        <v>0</v>
      </c>
      <c r="O5259" t="n">
        <v>0</v>
      </c>
      <c r="P5259" t="n">
        <v>0</v>
      </c>
      <c r="Q5259" t="n">
        <v>0</v>
      </c>
      <c r="R5259" s="2" t="inlineStr"/>
    </row>
    <row r="5260" ht="15" customHeight="1">
      <c r="A5260" t="inlineStr">
        <is>
          <t>A 27530-2024</t>
        </is>
      </c>
      <c r="B5260" s="1" t="n">
        <v>45474.56820601852</v>
      </c>
      <c r="C5260" s="1" t="n">
        <v>45971</v>
      </c>
      <c r="D5260" t="inlineStr">
        <is>
          <t>VÄSTERBOTTENS LÄN</t>
        </is>
      </c>
      <c r="E5260" t="inlineStr">
        <is>
          <t>VÄNNÄS</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41847-2024</t>
        </is>
      </c>
      <c r="B5261" s="1" t="n">
        <v>45561.43010416667</v>
      </c>
      <c r="C5261" s="1" t="n">
        <v>45971</v>
      </c>
      <c r="D5261" t="inlineStr">
        <is>
          <t>VÄSTERBOTTENS LÄN</t>
        </is>
      </c>
      <c r="E5261" t="inlineStr">
        <is>
          <t>STORUMAN</t>
        </is>
      </c>
      <c r="F5261" t="inlineStr">
        <is>
          <t>Sveaskog</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2177-2023</t>
        </is>
      </c>
      <c r="B5262" s="1" t="n">
        <v>44942.29836805556</v>
      </c>
      <c r="C5262" s="1" t="n">
        <v>45971</v>
      </c>
      <c r="D5262" t="inlineStr">
        <is>
          <t>VÄSTERBOTTENS LÄN</t>
        </is>
      </c>
      <c r="E5262" t="inlineStr">
        <is>
          <t>SKELLEFTEÅ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47706-2025</t>
        </is>
      </c>
      <c r="B5263" s="1" t="n">
        <v>45931.61092592592</v>
      </c>
      <c r="C5263" s="1" t="n">
        <v>45971</v>
      </c>
      <c r="D5263" t="inlineStr">
        <is>
          <t>VÄSTERBOTTENS LÄN</t>
        </is>
      </c>
      <c r="E5263" t="inlineStr">
        <is>
          <t>ÅSELE</t>
        </is>
      </c>
      <c r="F5263" t="inlineStr">
        <is>
          <t>Naturvårdsverket</t>
        </is>
      </c>
      <c r="G5263" t="n">
        <v>21.5</v>
      </c>
      <c r="H5263" t="n">
        <v>0</v>
      </c>
      <c r="I5263" t="n">
        <v>0</v>
      </c>
      <c r="J5263" t="n">
        <v>0</v>
      </c>
      <c r="K5263" t="n">
        <v>0</v>
      </c>
      <c r="L5263" t="n">
        <v>0</v>
      </c>
      <c r="M5263" t="n">
        <v>0</v>
      </c>
      <c r="N5263" t="n">
        <v>0</v>
      </c>
      <c r="O5263" t="n">
        <v>0</v>
      </c>
      <c r="P5263" t="n">
        <v>0</v>
      </c>
      <c r="Q5263" t="n">
        <v>0</v>
      </c>
      <c r="R5263" s="2" t="inlineStr"/>
    </row>
    <row r="5264" ht="15" customHeight="1">
      <c r="A5264" t="inlineStr">
        <is>
          <t>A 31384-2024</t>
        </is>
      </c>
      <c r="B5264" s="1" t="n">
        <v>45505</v>
      </c>
      <c r="C5264" s="1" t="n">
        <v>45971</v>
      </c>
      <c r="D5264" t="inlineStr">
        <is>
          <t>VÄSTERBOTTENS LÄN</t>
        </is>
      </c>
      <c r="E5264" t="inlineStr">
        <is>
          <t>SKELLEFTEÅ</t>
        </is>
      </c>
      <c r="G5264" t="n">
        <v>19.9</v>
      </c>
      <c r="H5264" t="n">
        <v>0</v>
      </c>
      <c r="I5264" t="n">
        <v>0</v>
      </c>
      <c r="J5264" t="n">
        <v>0</v>
      </c>
      <c r="K5264" t="n">
        <v>0</v>
      </c>
      <c r="L5264" t="n">
        <v>0</v>
      </c>
      <c r="M5264" t="n">
        <v>0</v>
      </c>
      <c r="N5264" t="n">
        <v>0</v>
      </c>
      <c r="O5264" t="n">
        <v>0</v>
      </c>
      <c r="P5264" t="n">
        <v>0</v>
      </c>
      <c r="Q5264" t="n">
        <v>0</v>
      </c>
      <c r="R5264" s="2" t="inlineStr"/>
    </row>
    <row r="5265" ht="15" customHeight="1">
      <c r="A5265" t="inlineStr">
        <is>
          <t>A 31441-2024</t>
        </is>
      </c>
      <c r="B5265" s="1" t="n">
        <v>45505</v>
      </c>
      <c r="C5265" s="1" t="n">
        <v>45971</v>
      </c>
      <c r="D5265" t="inlineStr">
        <is>
          <t>VÄSTERBOTTENS LÄN</t>
        </is>
      </c>
      <c r="E5265" t="inlineStr">
        <is>
          <t>UMEÅ</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27627-2024</t>
        </is>
      </c>
      <c r="B5266" s="1" t="n">
        <v>45474.9281712963</v>
      </c>
      <c r="C5266" s="1" t="n">
        <v>45971</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63779-2023</t>
        </is>
      </c>
      <c r="B5267" s="1" t="n">
        <v>45275</v>
      </c>
      <c r="C5267" s="1" t="n">
        <v>45971</v>
      </c>
      <c r="D5267" t="inlineStr">
        <is>
          <t>VÄSTERBOTTENS LÄN</t>
        </is>
      </c>
      <c r="E5267" t="inlineStr">
        <is>
          <t>NORDMALING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39648-2025</t>
        </is>
      </c>
      <c r="B5268" s="1" t="n">
        <v>45890.61520833334</v>
      </c>
      <c r="C5268" s="1" t="n">
        <v>45971</v>
      </c>
      <c r="D5268" t="inlineStr">
        <is>
          <t>VÄSTERBOTTENS LÄN</t>
        </is>
      </c>
      <c r="E5268" t="inlineStr">
        <is>
          <t>LYCKSELE</t>
        </is>
      </c>
      <c r="F5268" t="inlineStr">
        <is>
          <t>SCA</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39677-2025</t>
        </is>
      </c>
      <c r="B5269" s="1" t="n">
        <v>45890.65048611111</v>
      </c>
      <c r="C5269" s="1" t="n">
        <v>45971</v>
      </c>
      <c r="D5269" t="inlineStr">
        <is>
          <t>VÄSTERBOTTENS LÄN</t>
        </is>
      </c>
      <c r="E5269" t="inlineStr">
        <is>
          <t>ROBERTSFORS</t>
        </is>
      </c>
      <c r="F5269" t="inlineStr">
        <is>
          <t>Holmen skog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44742-2024</t>
        </is>
      </c>
      <c r="B5270" s="1" t="n">
        <v>45574.59653935185</v>
      </c>
      <c r="C5270" s="1" t="n">
        <v>45971</v>
      </c>
      <c r="D5270" t="inlineStr">
        <is>
          <t>VÄSTERBOTTENS LÄN</t>
        </is>
      </c>
      <c r="E5270" t="inlineStr">
        <is>
          <t>ÅSELE</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3632-2024</t>
        </is>
      </c>
      <c r="B5271" s="1" t="n">
        <v>45320</v>
      </c>
      <c r="C5271" s="1" t="n">
        <v>45971</v>
      </c>
      <c r="D5271" t="inlineStr">
        <is>
          <t>VÄSTERBOTTENS LÄN</t>
        </is>
      </c>
      <c r="E5271" t="inlineStr">
        <is>
          <t>LYCKSELE</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6682-2024</t>
        </is>
      </c>
      <c r="B5272" s="1" t="n">
        <v>45341.92533564815</v>
      </c>
      <c r="C5272" s="1" t="n">
        <v>45971</v>
      </c>
      <c r="D5272" t="inlineStr">
        <is>
          <t>VÄSTERBOTTENS LÄN</t>
        </is>
      </c>
      <c r="E5272" t="inlineStr">
        <is>
          <t>ÅSELE</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40510-2024</t>
        </is>
      </c>
      <c r="B5273" s="1" t="n">
        <v>45555.58457175926</v>
      </c>
      <c r="C5273" s="1" t="n">
        <v>45971</v>
      </c>
      <c r="D5273" t="inlineStr">
        <is>
          <t>VÄSTERBOTTENS LÄN</t>
        </is>
      </c>
      <c r="E5273" t="inlineStr">
        <is>
          <t>VINDELN</t>
        </is>
      </c>
      <c r="F5273" t="inlineStr">
        <is>
          <t>Naturvårdsverket</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41267-2022</t>
        </is>
      </c>
      <c r="B5274" s="1" t="n">
        <v>44825</v>
      </c>
      <c r="C5274" s="1" t="n">
        <v>45971</v>
      </c>
      <c r="D5274" t="inlineStr">
        <is>
          <t>VÄSTERBOTTENS LÄN</t>
        </is>
      </c>
      <c r="E5274" t="inlineStr">
        <is>
          <t>UMEÅ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13026-2025</t>
        </is>
      </c>
      <c r="B5275" s="1" t="n">
        <v>45734.5574537037</v>
      </c>
      <c r="C5275" s="1" t="n">
        <v>45971</v>
      </c>
      <c r="D5275" t="inlineStr">
        <is>
          <t>VÄSTERBOTTENS LÄN</t>
        </is>
      </c>
      <c r="E5275" t="inlineStr">
        <is>
          <t>ROBERTSFORS</t>
        </is>
      </c>
      <c r="G5275" t="n">
        <v>24.4</v>
      </c>
      <c r="H5275" t="n">
        <v>0</v>
      </c>
      <c r="I5275" t="n">
        <v>0</v>
      </c>
      <c r="J5275" t="n">
        <v>0</v>
      </c>
      <c r="K5275" t="n">
        <v>0</v>
      </c>
      <c r="L5275" t="n">
        <v>0</v>
      </c>
      <c r="M5275" t="n">
        <v>0</v>
      </c>
      <c r="N5275" t="n">
        <v>0</v>
      </c>
      <c r="O5275" t="n">
        <v>0</v>
      </c>
      <c r="P5275" t="n">
        <v>0</v>
      </c>
      <c r="Q5275" t="n">
        <v>0</v>
      </c>
      <c r="R5275" s="2" t="inlineStr"/>
    </row>
    <row r="5276" ht="15" customHeight="1">
      <c r="A5276" t="inlineStr">
        <is>
          <t>A 53875-2024</t>
        </is>
      </c>
      <c r="B5276" s="1" t="n">
        <v>45615</v>
      </c>
      <c r="C5276" s="1" t="n">
        <v>45971</v>
      </c>
      <c r="D5276" t="inlineStr">
        <is>
          <t>VÄSTERBOTTENS LÄN</t>
        </is>
      </c>
      <c r="E5276" t="inlineStr">
        <is>
          <t>LYCKSELE</t>
        </is>
      </c>
      <c r="F5276" t="inlineStr">
        <is>
          <t>SCA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50505-2023</t>
        </is>
      </c>
      <c r="B5277" s="1" t="n">
        <v>45216.95800925926</v>
      </c>
      <c r="C5277" s="1" t="n">
        <v>45971</v>
      </c>
      <c r="D5277" t="inlineStr">
        <is>
          <t>VÄSTERBOTTENS LÄN</t>
        </is>
      </c>
      <c r="E5277" t="inlineStr">
        <is>
          <t>VILHELMINA</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6369-2024</t>
        </is>
      </c>
      <c r="B5278" s="1" t="n">
        <v>45338</v>
      </c>
      <c r="C5278" s="1" t="n">
        <v>45971</v>
      </c>
      <c r="D5278" t="inlineStr">
        <is>
          <t>VÄSTERBOTTENS LÄN</t>
        </is>
      </c>
      <c r="E5278" t="inlineStr">
        <is>
          <t>VILHELMINA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71412-2021</t>
        </is>
      </c>
      <c r="B5279" s="1" t="n">
        <v>44540.39224537037</v>
      </c>
      <c r="C5279" s="1" t="n">
        <v>45971</v>
      </c>
      <c r="D5279" t="inlineStr">
        <is>
          <t>VÄSTERBOTTENS LÄN</t>
        </is>
      </c>
      <c r="E5279" t="inlineStr">
        <is>
          <t>LYCKSELE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39655-2025</t>
        </is>
      </c>
      <c r="B5280" s="1" t="n">
        <v>45890.62754629629</v>
      </c>
      <c r="C5280" s="1" t="n">
        <v>45971</v>
      </c>
      <c r="D5280" t="inlineStr">
        <is>
          <t>VÄSTERBOTTENS LÄN</t>
        </is>
      </c>
      <c r="E5280" t="inlineStr">
        <is>
          <t>ROBERTSFORS</t>
        </is>
      </c>
      <c r="F5280" t="inlineStr">
        <is>
          <t>Holmen skog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14235-2025</t>
        </is>
      </c>
      <c r="B5281" s="1" t="n">
        <v>45740.60420138889</v>
      </c>
      <c r="C5281" s="1" t="n">
        <v>45971</v>
      </c>
      <c r="D5281" t="inlineStr">
        <is>
          <t>VÄSTERBOTTENS LÄN</t>
        </is>
      </c>
      <c r="E5281" t="inlineStr">
        <is>
          <t>VINDELN</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9086-2023</t>
        </is>
      </c>
      <c r="B5282" s="1" t="n">
        <v>44979</v>
      </c>
      <c r="C5282" s="1" t="n">
        <v>45971</v>
      </c>
      <c r="D5282" t="inlineStr">
        <is>
          <t>VÄSTERBOTTENS LÄN</t>
        </is>
      </c>
      <c r="E5282" t="inlineStr">
        <is>
          <t>VÄNNÄS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43124-2024</t>
        </is>
      </c>
      <c r="B5283" s="1" t="n">
        <v>45567</v>
      </c>
      <c r="C5283" s="1" t="n">
        <v>45971</v>
      </c>
      <c r="D5283" t="inlineStr">
        <is>
          <t>VÄSTERBOTTENS LÄN</t>
        </is>
      </c>
      <c r="E5283" t="inlineStr">
        <is>
          <t>UMEÅ</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664-2022</t>
        </is>
      </c>
      <c r="B5284" s="1" t="n">
        <v>44568</v>
      </c>
      <c r="C5284" s="1" t="n">
        <v>45971</v>
      </c>
      <c r="D5284" t="inlineStr">
        <is>
          <t>VÄSTERBOTTENS LÄN</t>
        </is>
      </c>
      <c r="E5284" t="inlineStr">
        <is>
          <t>VILHELMINA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38318-2024</t>
        </is>
      </c>
      <c r="B5285" s="1" t="n">
        <v>45545.66155092593</v>
      </c>
      <c r="C5285" s="1" t="n">
        <v>45971</v>
      </c>
      <c r="D5285" t="inlineStr">
        <is>
          <t>VÄSTERBOTTENS LÄN</t>
        </is>
      </c>
      <c r="E5285" t="inlineStr">
        <is>
          <t>NORSJÖ</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39527-2025</t>
        </is>
      </c>
      <c r="B5286" s="1" t="n">
        <v>45890</v>
      </c>
      <c r="C5286" s="1" t="n">
        <v>45971</v>
      </c>
      <c r="D5286" t="inlineStr">
        <is>
          <t>VÄSTERBOTTENS LÄN</t>
        </is>
      </c>
      <c r="E5286" t="inlineStr">
        <is>
          <t>LYCKSELE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39342-2025</t>
        </is>
      </c>
      <c r="B5287" s="1" t="n">
        <v>45889.52583333333</v>
      </c>
      <c r="C5287" s="1" t="n">
        <v>45971</v>
      </c>
      <c r="D5287" t="inlineStr">
        <is>
          <t>VÄSTERBOTTENS LÄN</t>
        </is>
      </c>
      <c r="E5287" t="inlineStr">
        <is>
          <t>LYCKSELE</t>
        </is>
      </c>
      <c r="F5287" t="inlineStr">
        <is>
          <t>Sveaskog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38398-2024</t>
        </is>
      </c>
      <c r="B5288" s="1" t="n">
        <v>45546.33550925926</v>
      </c>
      <c r="C5288" s="1" t="n">
        <v>45971</v>
      </c>
      <c r="D5288" t="inlineStr">
        <is>
          <t>VÄSTERBOTTENS LÄN</t>
        </is>
      </c>
      <c r="E5288" t="inlineStr">
        <is>
          <t>SKELLEFTEÅ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36150-2024</t>
        </is>
      </c>
      <c r="B5289" s="1" t="n">
        <v>45534.36832175926</v>
      </c>
      <c r="C5289" s="1" t="n">
        <v>45971</v>
      </c>
      <c r="D5289" t="inlineStr">
        <is>
          <t>VÄSTERBOTTENS LÄN</t>
        </is>
      </c>
      <c r="E5289" t="inlineStr">
        <is>
          <t>LYCKSELE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39552-2025</t>
        </is>
      </c>
      <c r="B5290" s="1" t="n">
        <v>45890.46518518519</v>
      </c>
      <c r="C5290" s="1" t="n">
        <v>45971</v>
      </c>
      <c r="D5290" t="inlineStr">
        <is>
          <t>VÄSTERBOTTENS LÄN</t>
        </is>
      </c>
      <c r="E5290" t="inlineStr">
        <is>
          <t>LYCKSELE</t>
        </is>
      </c>
      <c r="F5290" t="inlineStr">
        <is>
          <t>Sveaskog</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39558-2025</t>
        </is>
      </c>
      <c r="B5291" s="1" t="n">
        <v>45890.46978009259</v>
      </c>
      <c r="C5291" s="1" t="n">
        <v>45971</v>
      </c>
      <c r="D5291" t="inlineStr">
        <is>
          <t>VÄSTERBOTTENS LÄN</t>
        </is>
      </c>
      <c r="E5291" t="inlineStr">
        <is>
          <t>VILHELMINA</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39681-2025</t>
        </is>
      </c>
      <c r="B5292" s="1" t="n">
        <v>45890.65736111111</v>
      </c>
      <c r="C5292" s="1" t="n">
        <v>45971</v>
      </c>
      <c r="D5292" t="inlineStr">
        <is>
          <t>VÄSTERBOTTENS LÄN</t>
        </is>
      </c>
      <c r="E5292" t="inlineStr">
        <is>
          <t>SKELLEFTEÅ</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3445-2024</t>
        </is>
      </c>
      <c r="B5293" s="1" t="n">
        <v>45320</v>
      </c>
      <c r="C5293" s="1" t="n">
        <v>45971</v>
      </c>
      <c r="D5293" t="inlineStr">
        <is>
          <t>VÄSTERBOTTENS LÄN</t>
        </is>
      </c>
      <c r="E5293" t="inlineStr">
        <is>
          <t>SKELLEFTEÅ</t>
        </is>
      </c>
      <c r="G5293" t="n">
        <v>19.1</v>
      </c>
      <c r="H5293" t="n">
        <v>0</v>
      </c>
      <c r="I5293" t="n">
        <v>0</v>
      </c>
      <c r="J5293" t="n">
        <v>0</v>
      </c>
      <c r="K5293" t="n">
        <v>0</v>
      </c>
      <c r="L5293" t="n">
        <v>0</v>
      </c>
      <c r="M5293" t="n">
        <v>0</v>
      </c>
      <c r="N5293" t="n">
        <v>0</v>
      </c>
      <c r="O5293" t="n">
        <v>0</v>
      </c>
      <c r="P5293" t="n">
        <v>0</v>
      </c>
      <c r="Q5293" t="n">
        <v>0</v>
      </c>
      <c r="R5293" s="2" t="inlineStr"/>
    </row>
    <row r="5294" ht="15" customHeight="1">
      <c r="A5294" t="inlineStr">
        <is>
          <t>A 3453-2024</t>
        </is>
      </c>
      <c r="B5294" s="1" t="n">
        <v>45320.39112268519</v>
      </c>
      <c r="C5294" s="1" t="n">
        <v>45971</v>
      </c>
      <c r="D5294" t="inlineStr">
        <is>
          <t>VÄSTERBOTTENS LÄN</t>
        </is>
      </c>
      <c r="E5294" t="inlineStr">
        <is>
          <t>SKELLEFTEÅ</t>
        </is>
      </c>
      <c r="G5294" t="n">
        <v>11.3</v>
      </c>
      <c r="H5294" t="n">
        <v>0</v>
      </c>
      <c r="I5294" t="n">
        <v>0</v>
      </c>
      <c r="J5294" t="n">
        <v>0</v>
      </c>
      <c r="K5294" t="n">
        <v>0</v>
      </c>
      <c r="L5294" t="n">
        <v>0</v>
      </c>
      <c r="M5294" t="n">
        <v>0</v>
      </c>
      <c r="N5294" t="n">
        <v>0</v>
      </c>
      <c r="O5294" t="n">
        <v>0</v>
      </c>
      <c r="P5294" t="n">
        <v>0</v>
      </c>
      <c r="Q5294" t="n">
        <v>0</v>
      </c>
      <c r="R5294" s="2" t="inlineStr"/>
    </row>
    <row r="5295" ht="15" customHeight="1">
      <c r="A5295" t="inlineStr">
        <is>
          <t>A 39221-2025</t>
        </is>
      </c>
      <c r="B5295" s="1" t="n">
        <v>45888.93040509259</v>
      </c>
      <c r="C5295" s="1" t="n">
        <v>45971</v>
      </c>
      <c r="D5295" t="inlineStr">
        <is>
          <t>VÄSTERBOTTENS LÄN</t>
        </is>
      </c>
      <c r="E5295" t="inlineStr">
        <is>
          <t>ROBERTSFORS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8173-2022</t>
        </is>
      </c>
      <c r="B5296" s="1" t="n">
        <v>44609.64921296296</v>
      </c>
      <c r="C5296" s="1" t="n">
        <v>45971</v>
      </c>
      <c r="D5296" t="inlineStr">
        <is>
          <t>VÄSTERBOTTENS LÄN</t>
        </is>
      </c>
      <c r="E5296" t="inlineStr">
        <is>
          <t>NORDMALING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39431-2025</t>
        </is>
      </c>
      <c r="B5297" s="1" t="n">
        <v>45889</v>
      </c>
      <c r="C5297" s="1" t="n">
        <v>45971</v>
      </c>
      <c r="D5297" t="inlineStr">
        <is>
          <t>VÄSTERBOTTENS LÄN</t>
        </is>
      </c>
      <c r="E5297" t="inlineStr">
        <is>
          <t>ÅSELE</t>
        </is>
      </c>
      <c r="F5297" t="inlineStr">
        <is>
          <t>SCA</t>
        </is>
      </c>
      <c r="G5297" t="n">
        <v>14.4</v>
      </c>
      <c r="H5297" t="n">
        <v>0</v>
      </c>
      <c r="I5297" t="n">
        <v>0</v>
      </c>
      <c r="J5297" t="n">
        <v>0</v>
      </c>
      <c r="K5297" t="n">
        <v>0</v>
      </c>
      <c r="L5297" t="n">
        <v>0</v>
      </c>
      <c r="M5297" t="n">
        <v>0</v>
      </c>
      <c r="N5297" t="n">
        <v>0</v>
      </c>
      <c r="O5297" t="n">
        <v>0</v>
      </c>
      <c r="P5297" t="n">
        <v>0</v>
      </c>
      <c r="Q5297" t="n">
        <v>0</v>
      </c>
      <c r="R5297" s="2" t="inlineStr"/>
    </row>
    <row r="5298" ht="15" customHeight="1">
      <c r="A5298" t="inlineStr">
        <is>
          <t>A 39437-2025</t>
        </is>
      </c>
      <c r="B5298" s="1" t="n">
        <v>45889.67877314815</v>
      </c>
      <c r="C5298" s="1" t="n">
        <v>45971</v>
      </c>
      <c r="D5298" t="inlineStr">
        <is>
          <t>VÄSTERBOTTENS LÄN</t>
        </is>
      </c>
      <c r="E5298" t="inlineStr">
        <is>
          <t>ÅSELE</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39482-2025</t>
        </is>
      </c>
      <c r="B5299" s="1" t="n">
        <v>45890.35861111111</v>
      </c>
      <c r="C5299" s="1" t="n">
        <v>45971</v>
      </c>
      <c r="D5299" t="inlineStr">
        <is>
          <t>VÄSTERBOTTENS LÄN</t>
        </is>
      </c>
      <c r="E5299" t="inlineStr">
        <is>
          <t>LYCKSELE</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32570-2024</t>
        </is>
      </c>
      <c r="B5300" s="1" t="n">
        <v>45513.56297453704</v>
      </c>
      <c r="C5300" s="1" t="n">
        <v>45971</v>
      </c>
      <c r="D5300" t="inlineStr">
        <is>
          <t>VÄSTERBOTTENS LÄN</t>
        </is>
      </c>
      <c r="E5300" t="inlineStr">
        <is>
          <t>VINDELN</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67685-2021</t>
        </is>
      </c>
      <c r="B5301" s="1" t="n">
        <v>44524</v>
      </c>
      <c r="C5301" s="1" t="n">
        <v>45971</v>
      </c>
      <c r="D5301" t="inlineStr">
        <is>
          <t>VÄSTERBOTTENS LÄN</t>
        </is>
      </c>
      <c r="E5301" t="inlineStr">
        <is>
          <t>ÅSELE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47667-2025</t>
        </is>
      </c>
      <c r="B5302" s="1" t="n">
        <v>45931</v>
      </c>
      <c r="C5302" s="1" t="n">
        <v>45971</v>
      </c>
      <c r="D5302" t="inlineStr">
        <is>
          <t>VÄSTERBOTTENS LÄN</t>
        </is>
      </c>
      <c r="E5302" t="inlineStr">
        <is>
          <t>SKELLEFTEÅ</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43749-2024</t>
        </is>
      </c>
      <c r="B5303" s="1" t="n">
        <v>45569.66871527778</v>
      </c>
      <c r="C5303" s="1" t="n">
        <v>45971</v>
      </c>
      <c r="D5303" t="inlineStr">
        <is>
          <t>VÄSTERBOTTENS LÄN</t>
        </is>
      </c>
      <c r="E5303" t="inlineStr">
        <is>
          <t>SKELLEFTEÅ</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39556-2025</t>
        </is>
      </c>
      <c r="B5304" s="1" t="n">
        <v>45890</v>
      </c>
      <c r="C5304" s="1" t="n">
        <v>45971</v>
      </c>
      <c r="D5304" t="inlineStr">
        <is>
          <t>VÄSTERBOTTENS LÄN</t>
        </is>
      </c>
      <c r="E5304" t="inlineStr">
        <is>
          <t>ÅSELE</t>
        </is>
      </c>
      <c r="F5304" t="inlineStr">
        <is>
          <t>SCA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48028-2025</t>
        </is>
      </c>
      <c r="B5305" s="1" t="n">
        <v>45932.6515625</v>
      </c>
      <c r="C5305" s="1" t="n">
        <v>45971</v>
      </c>
      <c r="D5305" t="inlineStr">
        <is>
          <t>VÄSTERBOTTENS LÄN</t>
        </is>
      </c>
      <c r="E5305" t="inlineStr">
        <is>
          <t>UMEÅ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39647-2025</t>
        </is>
      </c>
      <c r="B5306" s="1" t="n">
        <v>45890</v>
      </c>
      <c r="C5306" s="1" t="n">
        <v>45971</v>
      </c>
      <c r="D5306" t="inlineStr">
        <is>
          <t>VÄSTERBOTTENS LÄN</t>
        </is>
      </c>
      <c r="E5306" t="inlineStr">
        <is>
          <t>ÅSELE</t>
        </is>
      </c>
      <c r="F5306" t="inlineStr">
        <is>
          <t>SCA</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15903-2023</t>
        </is>
      </c>
      <c r="B5307" s="1" t="n">
        <v>45021</v>
      </c>
      <c r="C5307" s="1" t="n">
        <v>45971</v>
      </c>
      <c r="D5307" t="inlineStr">
        <is>
          <t>VÄSTERBOTTENS LÄN</t>
        </is>
      </c>
      <c r="E5307" t="inlineStr">
        <is>
          <t>SKELLEFTEÅ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11527-2024</t>
        </is>
      </c>
      <c r="B5308" s="1" t="n">
        <v>45372</v>
      </c>
      <c r="C5308" s="1" t="n">
        <v>45971</v>
      </c>
      <c r="D5308" t="inlineStr">
        <is>
          <t>VÄSTERBOTTENS LÄN</t>
        </is>
      </c>
      <c r="E5308" t="inlineStr">
        <is>
          <t>SKELLEFTEÅ</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11538-2024</t>
        </is>
      </c>
      <c r="B5309" s="1" t="n">
        <v>45372</v>
      </c>
      <c r="C5309" s="1" t="n">
        <v>45971</v>
      </c>
      <c r="D5309" t="inlineStr">
        <is>
          <t>VÄSTERBOTTENS LÄN</t>
        </is>
      </c>
      <c r="E5309" t="inlineStr">
        <is>
          <t>VILHELMINA</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59913-2022</t>
        </is>
      </c>
      <c r="B5310" s="1" t="n">
        <v>44908.95995370371</v>
      </c>
      <c r="C5310" s="1" t="n">
        <v>45971</v>
      </c>
      <c r="D5310" t="inlineStr">
        <is>
          <t>VÄSTERBOTTENS LÄN</t>
        </is>
      </c>
      <c r="E5310" t="inlineStr">
        <is>
          <t>NORDMALING</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55907-2023</t>
        </is>
      </c>
      <c r="B5311" s="1" t="n">
        <v>45239</v>
      </c>
      <c r="C5311" s="1" t="n">
        <v>45971</v>
      </c>
      <c r="D5311" t="inlineStr">
        <is>
          <t>VÄSTERBOTTENS LÄN</t>
        </is>
      </c>
      <c r="E5311" t="inlineStr">
        <is>
          <t>SKELLEFTEÅ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52462-2021</t>
        </is>
      </c>
      <c r="B5312" s="1" t="n">
        <v>44463</v>
      </c>
      <c r="C5312" s="1" t="n">
        <v>45971</v>
      </c>
      <c r="D5312" t="inlineStr">
        <is>
          <t>VÄSTERBOTTENS LÄN</t>
        </is>
      </c>
      <c r="E5312" t="inlineStr">
        <is>
          <t>SKELLEFTEÅ</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36115-2024</t>
        </is>
      </c>
      <c r="B5313" s="1" t="n">
        <v>45534.30681712963</v>
      </c>
      <c r="C5313" s="1" t="n">
        <v>45971</v>
      </c>
      <c r="D5313" t="inlineStr">
        <is>
          <t>VÄSTERBOTTENS LÄN</t>
        </is>
      </c>
      <c r="E5313" t="inlineStr">
        <is>
          <t>ÅSELE</t>
        </is>
      </c>
      <c r="F5313" t="inlineStr">
        <is>
          <t>Sveaskog</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22511-2023</t>
        </is>
      </c>
      <c r="B5314" s="1" t="n">
        <v>45069</v>
      </c>
      <c r="C5314" s="1" t="n">
        <v>45971</v>
      </c>
      <c r="D5314" t="inlineStr">
        <is>
          <t>VÄSTERBOTTENS LÄN</t>
        </is>
      </c>
      <c r="E5314" t="inlineStr">
        <is>
          <t>VINDELN</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24819-2023</t>
        </is>
      </c>
      <c r="B5315" s="1" t="n">
        <v>45084</v>
      </c>
      <c r="C5315" s="1" t="n">
        <v>45971</v>
      </c>
      <c r="D5315" t="inlineStr">
        <is>
          <t>VÄSTERBOTTENS LÄN</t>
        </is>
      </c>
      <c r="E5315" t="inlineStr">
        <is>
          <t>NORSJÖ</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10892-2024</t>
        </is>
      </c>
      <c r="B5316" s="1" t="n">
        <v>45370.34435185185</v>
      </c>
      <c r="C5316" s="1" t="n">
        <v>45971</v>
      </c>
      <c r="D5316" t="inlineStr">
        <is>
          <t>VÄSTERBOTTENS LÄN</t>
        </is>
      </c>
      <c r="E5316" t="inlineStr">
        <is>
          <t>SKELLEFTEÅ</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59117-2022</t>
        </is>
      </c>
      <c r="B5317" s="1" t="n">
        <v>44904.43054398148</v>
      </c>
      <c r="C5317" s="1" t="n">
        <v>45971</v>
      </c>
      <c r="D5317" t="inlineStr">
        <is>
          <t>VÄSTERBOTTENS LÄN</t>
        </is>
      </c>
      <c r="E5317" t="inlineStr">
        <is>
          <t>VINDELN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37817-2024</t>
        </is>
      </c>
      <c r="B5318" s="1" t="n">
        <v>45544</v>
      </c>
      <c r="C5318" s="1" t="n">
        <v>45971</v>
      </c>
      <c r="D5318" t="inlineStr">
        <is>
          <t>VÄSTERBOTTENS LÄN</t>
        </is>
      </c>
      <c r="E5318" t="inlineStr">
        <is>
          <t>LYCKSELE</t>
        </is>
      </c>
      <c r="G5318" t="n">
        <v>12.3</v>
      </c>
      <c r="H5318" t="n">
        <v>0</v>
      </c>
      <c r="I5318" t="n">
        <v>0</v>
      </c>
      <c r="J5318" t="n">
        <v>0</v>
      </c>
      <c r="K5318" t="n">
        <v>0</v>
      </c>
      <c r="L5318" t="n">
        <v>0</v>
      </c>
      <c r="M5318" t="n">
        <v>0</v>
      </c>
      <c r="N5318" t="n">
        <v>0</v>
      </c>
      <c r="O5318" t="n">
        <v>0</v>
      </c>
      <c r="P5318" t="n">
        <v>0</v>
      </c>
      <c r="Q5318" t="n">
        <v>0</v>
      </c>
      <c r="R5318" s="2" t="inlineStr"/>
    </row>
    <row r="5319" ht="15" customHeight="1">
      <c r="A5319" t="inlineStr">
        <is>
          <t>A 39649-2025</t>
        </is>
      </c>
      <c r="B5319" s="1" t="n">
        <v>45890.61537037037</v>
      </c>
      <c r="C5319" s="1" t="n">
        <v>45971</v>
      </c>
      <c r="D5319" t="inlineStr">
        <is>
          <t>VÄSTERBOTTENS LÄN</t>
        </is>
      </c>
      <c r="E5319" t="inlineStr">
        <is>
          <t>NORDMALING</t>
        </is>
      </c>
      <c r="F5319" t="inlineStr">
        <is>
          <t>SCA</t>
        </is>
      </c>
      <c r="G5319" t="n">
        <v>19.5</v>
      </c>
      <c r="H5319" t="n">
        <v>0</v>
      </c>
      <c r="I5319" t="n">
        <v>0</v>
      </c>
      <c r="J5319" t="n">
        <v>0</v>
      </c>
      <c r="K5319" t="n">
        <v>0</v>
      </c>
      <c r="L5319" t="n">
        <v>0</v>
      </c>
      <c r="M5319" t="n">
        <v>0</v>
      </c>
      <c r="N5319" t="n">
        <v>0</v>
      </c>
      <c r="O5319" t="n">
        <v>0</v>
      </c>
      <c r="P5319" t="n">
        <v>0</v>
      </c>
      <c r="Q5319" t="n">
        <v>0</v>
      </c>
      <c r="R5319" s="2" t="inlineStr"/>
    </row>
    <row r="5320" ht="15" customHeight="1">
      <c r="A5320" t="inlineStr">
        <is>
          <t>A 39530-2025</t>
        </is>
      </c>
      <c r="B5320" s="1" t="n">
        <v>45890.44736111111</v>
      </c>
      <c r="C5320" s="1" t="n">
        <v>45971</v>
      </c>
      <c r="D5320" t="inlineStr">
        <is>
          <t>VÄSTERBOTTENS LÄN</t>
        </is>
      </c>
      <c r="E5320" t="inlineStr">
        <is>
          <t>SKELLEFTEÅ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40969-2024</t>
        </is>
      </c>
      <c r="B5321" s="1" t="n">
        <v>45558</v>
      </c>
      <c r="C5321" s="1" t="n">
        <v>45971</v>
      </c>
      <c r="D5321" t="inlineStr">
        <is>
          <t>VÄSTERBOTTENS LÄN</t>
        </is>
      </c>
      <c r="E5321" t="inlineStr">
        <is>
          <t>ÅSELE</t>
        </is>
      </c>
      <c r="F5321" t="inlineStr">
        <is>
          <t>Sveaskog</t>
        </is>
      </c>
      <c r="G5321" t="n">
        <v>14.2</v>
      </c>
      <c r="H5321" t="n">
        <v>0</v>
      </c>
      <c r="I5321" t="n">
        <v>0</v>
      </c>
      <c r="J5321" t="n">
        <v>0</v>
      </c>
      <c r="K5321" t="n">
        <v>0</v>
      </c>
      <c r="L5321" t="n">
        <v>0</v>
      </c>
      <c r="M5321" t="n">
        <v>0</v>
      </c>
      <c r="N5321" t="n">
        <v>0</v>
      </c>
      <c r="O5321" t="n">
        <v>0</v>
      </c>
      <c r="P5321" t="n">
        <v>0</v>
      </c>
      <c r="Q5321" t="n">
        <v>0</v>
      </c>
      <c r="R5321" s="2" t="inlineStr"/>
    </row>
    <row r="5322" ht="15" customHeight="1">
      <c r="A5322" t="inlineStr">
        <is>
          <t>A 30791-2025</t>
        </is>
      </c>
      <c r="B5322" s="1" t="n">
        <v>45831.63576388889</v>
      </c>
      <c r="C5322" s="1" t="n">
        <v>45971</v>
      </c>
      <c r="D5322" t="inlineStr">
        <is>
          <t>VÄSTERBOTTENS LÄN</t>
        </is>
      </c>
      <c r="E5322" t="inlineStr">
        <is>
          <t>SKELLEFTEÅ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48021-2025</t>
        </is>
      </c>
      <c r="B5323" s="1" t="n">
        <v>45932.64856481482</v>
      </c>
      <c r="C5323" s="1" t="n">
        <v>45971</v>
      </c>
      <c r="D5323" t="inlineStr">
        <is>
          <t>VÄSTERBOTTENS LÄN</t>
        </is>
      </c>
      <c r="E5323" t="inlineStr">
        <is>
          <t>SKELLEFTEÅ</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16653-2023</t>
        </is>
      </c>
      <c r="B5324" s="1" t="n">
        <v>45030.5209375</v>
      </c>
      <c r="C5324" s="1" t="n">
        <v>45971</v>
      </c>
      <c r="D5324" t="inlineStr">
        <is>
          <t>VÄSTERBOTTENS LÄN</t>
        </is>
      </c>
      <c r="E5324" t="inlineStr">
        <is>
          <t>ROBERTSFORS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47585-2025</t>
        </is>
      </c>
      <c r="B5325" s="1" t="n">
        <v>45931.43363425926</v>
      </c>
      <c r="C5325" s="1" t="n">
        <v>45971</v>
      </c>
      <c r="D5325" t="inlineStr">
        <is>
          <t>VÄSTERBOTTENS LÄN</t>
        </is>
      </c>
      <c r="E5325" t="inlineStr">
        <is>
          <t>NORSJÖ</t>
        </is>
      </c>
      <c r="G5325" t="n">
        <v>21.6</v>
      </c>
      <c r="H5325" t="n">
        <v>0</v>
      </c>
      <c r="I5325" t="n">
        <v>0</v>
      </c>
      <c r="J5325" t="n">
        <v>0</v>
      </c>
      <c r="K5325" t="n">
        <v>0</v>
      </c>
      <c r="L5325" t="n">
        <v>0</v>
      </c>
      <c r="M5325" t="n">
        <v>0</v>
      </c>
      <c r="N5325" t="n">
        <v>0</v>
      </c>
      <c r="O5325" t="n">
        <v>0</v>
      </c>
      <c r="P5325" t="n">
        <v>0</v>
      </c>
      <c r="Q5325" t="n">
        <v>0</v>
      </c>
      <c r="R5325" s="2" t="inlineStr"/>
    </row>
    <row r="5326" ht="15" customHeight="1">
      <c r="A5326" t="inlineStr">
        <is>
          <t>A 10331-2023</t>
        </is>
      </c>
      <c r="B5326" s="1" t="n">
        <v>44980</v>
      </c>
      <c r="C5326" s="1" t="n">
        <v>45971</v>
      </c>
      <c r="D5326" t="inlineStr">
        <is>
          <t>VÄSTERBOTTENS LÄN</t>
        </is>
      </c>
      <c r="E5326" t="inlineStr">
        <is>
          <t>LYCKSELE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39257-2025</t>
        </is>
      </c>
      <c r="B5327" s="1" t="n">
        <v>45889.36733796296</v>
      </c>
      <c r="C5327" s="1" t="n">
        <v>45971</v>
      </c>
      <c r="D5327" t="inlineStr">
        <is>
          <t>VÄSTERBOTTENS LÄN</t>
        </is>
      </c>
      <c r="E5327" t="inlineStr">
        <is>
          <t>BJURHOLM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55695-2024</t>
        </is>
      </c>
      <c r="B5328" s="1" t="n">
        <v>45622</v>
      </c>
      <c r="C5328" s="1" t="n">
        <v>45971</v>
      </c>
      <c r="D5328" t="inlineStr">
        <is>
          <t>VÄSTERBOTTENS LÄN</t>
        </is>
      </c>
      <c r="E5328" t="inlineStr">
        <is>
          <t>VILHELMINA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24850-2023</t>
        </is>
      </c>
      <c r="B5329" s="1" t="n">
        <v>45078</v>
      </c>
      <c r="C5329" s="1" t="n">
        <v>45971</v>
      </c>
      <c r="D5329" t="inlineStr">
        <is>
          <t>VÄSTERBOTTENS LÄN</t>
        </is>
      </c>
      <c r="E5329" t="inlineStr">
        <is>
          <t>NORDMALING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38590-2021</t>
        </is>
      </c>
      <c r="B5330" s="1" t="n">
        <v>44407</v>
      </c>
      <c r="C5330" s="1" t="n">
        <v>45971</v>
      </c>
      <c r="D5330" t="inlineStr">
        <is>
          <t>VÄSTERBOTTENS LÄN</t>
        </is>
      </c>
      <c r="E5330" t="inlineStr">
        <is>
          <t>ÅSELE</t>
        </is>
      </c>
      <c r="F5330" t="inlineStr">
        <is>
          <t>SCA</t>
        </is>
      </c>
      <c r="G5330" t="n">
        <v>107.3</v>
      </c>
      <c r="H5330" t="n">
        <v>0</v>
      </c>
      <c r="I5330" t="n">
        <v>0</v>
      </c>
      <c r="J5330" t="n">
        <v>0</v>
      </c>
      <c r="K5330" t="n">
        <v>0</v>
      </c>
      <c r="L5330" t="n">
        <v>0</v>
      </c>
      <c r="M5330" t="n">
        <v>0</v>
      </c>
      <c r="N5330" t="n">
        <v>0</v>
      </c>
      <c r="O5330" t="n">
        <v>0</v>
      </c>
      <c r="P5330" t="n">
        <v>0</v>
      </c>
      <c r="Q5330" t="n">
        <v>0</v>
      </c>
      <c r="R5330" s="2" t="inlineStr"/>
    </row>
    <row r="5331" ht="15" customHeight="1">
      <c r="A5331" t="inlineStr">
        <is>
          <t>A 40203-2025</t>
        </is>
      </c>
      <c r="B5331" s="1" t="n">
        <v>45894.67332175926</v>
      </c>
      <c r="C5331" s="1" t="n">
        <v>45971</v>
      </c>
      <c r="D5331" t="inlineStr">
        <is>
          <t>VÄSTERBOTTENS LÄN</t>
        </is>
      </c>
      <c r="E5331" t="inlineStr">
        <is>
          <t>ROBERTSFORS</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40233-2025</t>
        </is>
      </c>
      <c r="B5332" s="1" t="n">
        <v>45894.71912037037</v>
      </c>
      <c r="C5332" s="1" t="n">
        <v>45971</v>
      </c>
      <c r="D5332" t="inlineStr">
        <is>
          <t>VÄSTERBOTTENS LÄN</t>
        </is>
      </c>
      <c r="E5332" t="inlineStr">
        <is>
          <t>DOROTEA</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40238-2025</t>
        </is>
      </c>
      <c r="B5333" s="1" t="n">
        <v>45894</v>
      </c>
      <c r="C5333" s="1" t="n">
        <v>45971</v>
      </c>
      <c r="D5333" t="inlineStr">
        <is>
          <t>VÄSTERBOTTENS LÄN</t>
        </is>
      </c>
      <c r="E5333" t="inlineStr">
        <is>
          <t>LYCKSELE</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40124-2025</t>
        </is>
      </c>
      <c r="B5334" s="1" t="n">
        <v>45894.53172453704</v>
      </c>
      <c r="C5334" s="1" t="n">
        <v>45971</v>
      </c>
      <c r="D5334" t="inlineStr">
        <is>
          <t>VÄSTERBOTTENS LÄN</t>
        </is>
      </c>
      <c r="E5334" t="inlineStr">
        <is>
          <t>ÅSELE</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48659-2025</t>
        </is>
      </c>
      <c r="B5335" s="1" t="n">
        <v>45936.56694444444</v>
      </c>
      <c r="C5335" s="1" t="n">
        <v>45971</v>
      </c>
      <c r="D5335" t="inlineStr">
        <is>
          <t>VÄSTERBOTTENS LÄN</t>
        </is>
      </c>
      <c r="E5335" t="inlineStr">
        <is>
          <t>VINDELN</t>
        </is>
      </c>
      <c r="F5335" t="inlineStr">
        <is>
          <t>Sveaskog</t>
        </is>
      </c>
      <c r="G5335" t="n">
        <v>31.9</v>
      </c>
      <c r="H5335" t="n">
        <v>0</v>
      </c>
      <c r="I5335" t="n">
        <v>0</v>
      </c>
      <c r="J5335" t="n">
        <v>0</v>
      </c>
      <c r="K5335" t="n">
        <v>0</v>
      </c>
      <c r="L5335" t="n">
        <v>0</v>
      </c>
      <c r="M5335" t="n">
        <v>0</v>
      </c>
      <c r="N5335" t="n">
        <v>0</v>
      </c>
      <c r="O5335" t="n">
        <v>0</v>
      </c>
      <c r="P5335" t="n">
        <v>0</v>
      </c>
      <c r="Q5335" t="n">
        <v>0</v>
      </c>
      <c r="R5335" s="2" t="inlineStr"/>
    </row>
    <row r="5336" ht="15" customHeight="1">
      <c r="A5336" t="inlineStr">
        <is>
          <t>A 45447-2024</t>
        </is>
      </c>
      <c r="B5336" s="1" t="n">
        <v>45576.64849537037</v>
      </c>
      <c r="C5336" s="1" t="n">
        <v>45971</v>
      </c>
      <c r="D5336" t="inlineStr">
        <is>
          <t>VÄSTERBOTTENS LÄN</t>
        </is>
      </c>
      <c r="E5336" t="inlineStr">
        <is>
          <t>LYCKSELE</t>
        </is>
      </c>
      <c r="F5336" t="inlineStr">
        <is>
          <t>Naturvårdsverket</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66366-2020</t>
        </is>
      </c>
      <c r="B5337" s="1" t="n">
        <v>44176</v>
      </c>
      <c r="C5337" s="1" t="n">
        <v>45971</v>
      </c>
      <c r="D5337" t="inlineStr">
        <is>
          <t>VÄSTERBOTTENS LÄN</t>
        </is>
      </c>
      <c r="E5337" t="inlineStr">
        <is>
          <t>SKELLEFTEÅ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44817-2021</t>
        </is>
      </c>
      <c r="B5338" s="1" t="n">
        <v>44438</v>
      </c>
      <c r="C5338" s="1" t="n">
        <v>45971</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56974-2024</t>
        </is>
      </c>
      <c r="B5339" s="1" t="n">
        <v>45628.67204861111</v>
      </c>
      <c r="C5339" s="1" t="n">
        <v>45971</v>
      </c>
      <c r="D5339" t="inlineStr">
        <is>
          <t>VÄSTERBOTTENS LÄN</t>
        </is>
      </c>
      <c r="E5339" t="inlineStr">
        <is>
          <t>SKELLEFTEÅ</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55988-2023</t>
        </is>
      </c>
      <c r="B5340" s="1" t="n">
        <v>45240</v>
      </c>
      <c r="C5340" s="1" t="n">
        <v>45971</v>
      </c>
      <c r="D5340" t="inlineStr">
        <is>
          <t>VÄSTERBOTTENS LÄN</t>
        </is>
      </c>
      <c r="E5340" t="inlineStr">
        <is>
          <t>VINDELN</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7431-2024</t>
        </is>
      </c>
      <c r="B5341" s="1" t="n">
        <v>45345</v>
      </c>
      <c r="C5341" s="1" t="n">
        <v>45971</v>
      </c>
      <c r="D5341" t="inlineStr">
        <is>
          <t>VÄSTERBOTTENS LÄN</t>
        </is>
      </c>
      <c r="E5341" t="inlineStr">
        <is>
          <t>BJURHOLM</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47317-2024</t>
        </is>
      </c>
      <c r="B5342" s="1" t="n">
        <v>45587.37518518518</v>
      </c>
      <c r="C5342" s="1" t="n">
        <v>45971</v>
      </c>
      <c r="D5342" t="inlineStr">
        <is>
          <t>VÄSTERBOTTENS LÄN</t>
        </is>
      </c>
      <c r="E5342" t="inlineStr">
        <is>
          <t>NORSJÖ</t>
        </is>
      </c>
      <c r="F5342" t="inlineStr">
        <is>
          <t>Sveaskog</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48208-2025</t>
        </is>
      </c>
      <c r="B5343" s="1" t="n">
        <v>45933.48914351852</v>
      </c>
      <c r="C5343" s="1" t="n">
        <v>45971</v>
      </c>
      <c r="D5343" t="inlineStr">
        <is>
          <t>VÄSTERBOTTENS LÄN</t>
        </is>
      </c>
      <c r="E5343" t="inlineStr">
        <is>
          <t>LYCKSELE</t>
        </is>
      </c>
      <c r="F5343" t="inlineStr">
        <is>
          <t>Holmen skog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11349-2025</t>
        </is>
      </c>
      <c r="B5344" s="1" t="n">
        <v>45726.51075231482</v>
      </c>
      <c r="C5344" s="1" t="n">
        <v>45971</v>
      </c>
      <c r="D5344" t="inlineStr">
        <is>
          <t>VÄSTERBOTTENS LÄN</t>
        </is>
      </c>
      <c r="E5344" t="inlineStr">
        <is>
          <t>DOROTEA</t>
        </is>
      </c>
      <c r="F5344" t="inlineStr">
        <is>
          <t>SCA</t>
        </is>
      </c>
      <c r="G5344" t="n">
        <v>12.4</v>
      </c>
      <c r="H5344" t="n">
        <v>0</v>
      </c>
      <c r="I5344" t="n">
        <v>0</v>
      </c>
      <c r="J5344" t="n">
        <v>0</v>
      </c>
      <c r="K5344" t="n">
        <v>0</v>
      </c>
      <c r="L5344" t="n">
        <v>0</v>
      </c>
      <c r="M5344" t="n">
        <v>0</v>
      </c>
      <c r="N5344" t="n">
        <v>0</v>
      </c>
      <c r="O5344" t="n">
        <v>0</v>
      </c>
      <c r="P5344" t="n">
        <v>0</v>
      </c>
      <c r="Q5344" t="n">
        <v>0</v>
      </c>
      <c r="R5344" s="2" t="inlineStr"/>
    </row>
    <row r="5345" ht="15" customHeight="1">
      <c r="A5345" t="inlineStr">
        <is>
          <t>A 58954-2024</t>
        </is>
      </c>
      <c r="B5345" s="1" t="n">
        <v>45636.57275462963</v>
      </c>
      <c r="C5345" s="1" t="n">
        <v>45971</v>
      </c>
      <c r="D5345" t="inlineStr">
        <is>
          <t>VÄSTERBOTTENS LÄN</t>
        </is>
      </c>
      <c r="E5345" t="inlineStr">
        <is>
          <t>UMEÅ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54931-2023</t>
        </is>
      </c>
      <c r="B5346" s="1" t="n">
        <v>45229</v>
      </c>
      <c r="C5346" s="1" t="n">
        <v>45971</v>
      </c>
      <c r="D5346" t="inlineStr">
        <is>
          <t>VÄSTERBOTTENS LÄN</t>
        </is>
      </c>
      <c r="E5346" t="inlineStr">
        <is>
          <t>VILHELMINA</t>
        </is>
      </c>
      <c r="G5346" t="n">
        <v>14.5</v>
      </c>
      <c r="H5346" t="n">
        <v>0</v>
      </c>
      <c r="I5346" t="n">
        <v>0</v>
      </c>
      <c r="J5346" t="n">
        <v>0</v>
      </c>
      <c r="K5346" t="n">
        <v>0</v>
      </c>
      <c r="L5346" t="n">
        <v>0</v>
      </c>
      <c r="M5346" t="n">
        <v>0</v>
      </c>
      <c r="N5346" t="n">
        <v>0</v>
      </c>
      <c r="O5346" t="n">
        <v>0</v>
      </c>
      <c r="P5346" t="n">
        <v>0</v>
      </c>
      <c r="Q5346" t="n">
        <v>0</v>
      </c>
      <c r="R5346" s="2" t="inlineStr"/>
    </row>
    <row r="5347" ht="15" customHeight="1">
      <c r="A5347" t="inlineStr">
        <is>
          <t>A 48267-2025</t>
        </is>
      </c>
      <c r="B5347" s="1" t="n">
        <v>45933.57060185185</v>
      </c>
      <c r="C5347" s="1" t="n">
        <v>45971</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38219-2024</t>
        </is>
      </c>
      <c r="B5348" s="1" t="n">
        <v>45545.53160879629</v>
      </c>
      <c r="C5348" s="1" t="n">
        <v>45971</v>
      </c>
      <c r="D5348" t="inlineStr">
        <is>
          <t>VÄSTERBOTTENS LÄN</t>
        </is>
      </c>
      <c r="E5348" t="inlineStr">
        <is>
          <t>SORSELE</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17284-2025</t>
        </is>
      </c>
      <c r="B5349" s="1" t="n">
        <v>45756.57346064815</v>
      </c>
      <c r="C5349" s="1" t="n">
        <v>45971</v>
      </c>
      <c r="D5349" t="inlineStr">
        <is>
          <t>VÄSTERBOTTENS LÄN</t>
        </is>
      </c>
      <c r="E5349" t="inlineStr">
        <is>
          <t>ÅSELE</t>
        </is>
      </c>
      <c r="F5349" t="inlineStr">
        <is>
          <t>SCA</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11954-2024</t>
        </is>
      </c>
      <c r="B5350" s="1" t="n">
        <v>45376</v>
      </c>
      <c r="C5350" s="1" t="n">
        <v>45971</v>
      </c>
      <c r="D5350" t="inlineStr">
        <is>
          <t>VÄSTERBOTTENS LÄN</t>
        </is>
      </c>
      <c r="E5350" t="inlineStr">
        <is>
          <t>UMEÅ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39890-2025</t>
        </is>
      </c>
      <c r="B5351" s="1" t="n">
        <v>45891.62754629629</v>
      </c>
      <c r="C5351" s="1" t="n">
        <v>45971</v>
      </c>
      <c r="D5351" t="inlineStr">
        <is>
          <t>VÄSTERBOTTENS LÄN</t>
        </is>
      </c>
      <c r="E5351" t="inlineStr">
        <is>
          <t>SKELLEFTEÅ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39900-2025</t>
        </is>
      </c>
      <c r="B5352" s="1" t="n">
        <v>45891.63541666666</v>
      </c>
      <c r="C5352" s="1" t="n">
        <v>45971</v>
      </c>
      <c r="D5352" t="inlineStr">
        <is>
          <t>VÄSTERBOTTENS LÄN</t>
        </is>
      </c>
      <c r="E5352" t="inlineStr">
        <is>
          <t>BJURHOLM</t>
        </is>
      </c>
      <c r="F5352" t="inlineStr">
        <is>
          <t>Holmen skog AB</t>
        </is>
      </c>
      <c r="G5352" t="n">
        <v>18.1</v>
      </c>
      <c r="H5352" t="n">
        <v>0</v>
      </c>
      <c r="I5352" t="n">
        <v>0</v>
      </c>
      <c r="J5352" t="n">
        <v>0</v>
      </c>
      <c r="K5352" t="n">
        <v>0</v>
      </c>
      <c r="L5352" t="n">
        <v>0</v>
      </c>
      <c r="M5352" t="n">
        <v>0</v>
      </c>
      <c r="N5352" t="n">
        <v>0</v>
      </c>
      <c r="O5352" t="n">
        <v>0</v>
      </c>
      <c r="P5352" t="n">
        <v>0</v>
      </c>
      <c r="Q5352" t="n">
        <v>0</v>
      </c>
      <c r="R5352" s="2" t="inlineStr"/>
    </row>
    <row r="5353" ht="15" customHeight="1">
      <c r="A5353" t="inlineStr">
        <is>
          <t>A 959-2025</t>
        </is>
      </c>
      <c r="B5353" s="1" t="n">
        <v>45666</v>
      </c>
      <c r="C5353" s="1" t="n">
        <v>45971</v>
      </c>
      <c r="D5353" t="inlineStr">
        <is>
          <t>VÄSTERBOTTENS LÄN</t>
        </is>
      </c>
      <c r="E5353" t="inlineStr">
        <is>
          <t>VINDELN</t>
        </is>
      </c>
      <c r="F5353" t="inlineStr">
        <is>
          <t>Sveaskog</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48832-2024</t>
        </is>
      </c>
      <c r="B5354" s="1" t="n">
        <v>45593.719375</v>
      </c>
      <c r="C5354" s="1" t="n">
        <v>45971</v>
      </c>
      <c r="D5354" t="inlineStr">
        <is>
          <t>VÄSTERBOTTENS LÄN</t>
        </is>
      </c>
      <c r="E5354" t="inlineStr">
        <is>
          <t>LYCKSELE</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29776-2023</t>
        </is>
      </c>
      <c r="B5355" s="1" t="n">
        <v>45107</v>
      </c>
      <c r="C5355" s="1" t="n">
        <v>45971</v>
      </c>
      <c r="D5355" t="inlineStr">
        <is>
          <t>VÄSTERBOTTENS LÄN</t>
        </is>
      </c>
      <c r="E5355" t="inlineStr">
        <is>
          <t>NORSJÖ</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46841-2024</t>
        </is>
      </c>
      <c r="B5356" s="1" t="n">
        <v>45583</v>
      </c>
      <c r="C5356" s="1" t="n">
        <v>45971</v>
      </c>
      <c r="D5356" t="inlineStr">
        <is>
          <t>VÄSTERBOTTENS LÄN</t>
        </is>
      </c>
      <c r="E5356" t="inlineStr">
        <is>
          <t>SKELLEFTEÅ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40471-2024</t>
        </is>
      </c>
      <c r="B5357" s="1" t="n">
        <v>45555</v>
      </c>
      <c r="C5357" s="1" t="n">
        <v>45971</v>
      </c>
      <c r="D5357" t="inlineStr">
        <is>
          <t>VÄSTERBOTTENS LÄN</t>
        </is>
      </c>
      <c r="E5357" t="inlineStr">
        <is>
          <t>SORSELE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27508-2023</t>
        </is>
      </c>
      <c r="B5358" s="1" t="n">
        <v>45097</v>
      </c>
      <c r="C5358" s="1" t="n">
        <v>45971</v>
      </c>
      <c r="D5358" t="inlineStr">
        <is>
          <t>VÄSTERBOTTENS LÄN</t>
        </is>
      </c>
      <c r="E5358" t="inlineStr">
        <is>
          <t>SKELLEFTEÅ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13601-2025</t>
        </is>
      </c>
      <c r="B5359" s="1" t="n">
        <v>45736</v>
      </c>
      <c r="C5359" s="1" t="n">
        <v>45971</v>
      </c>
      <c r="D5359" t="inlineStr">
        <is>
          <t>VÄSTERBOTTENS LÄN</t>
        </is>
      </c>
      <c r="E5359" t="inlineStr">
        <is>
          <t>BJURHOLM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49230-2024</t>
        </is>
      </c>
      <c r="B5360" s="1" t="n">
        <v>45595</v>
      </c>
      <c r="C5360" s="1" t="n">
        <v>45971</v>
      </c>
      <c r="D5360" t="inlineStr">
        <is>
          <t>VÄSTERBOTTENS LÄN</t>
        </is>
      </c>
      <c r="E5360" t="inlineStr">
        <is>
          <t>LYCKSELE</t>
        </is>
      </c>
      <c r="F5360" t="inlineStr">
        <is>
          <t>SCA</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48749-2025</t>
        </is>
      </c>
      <c r="B5361" s="1" t="n">
        <v>45936.67924768518</v>
      </c>
      <c r="C5361" s="1" t="n">
        <v>45971</v>
      </c>
      <c r="D5361" t="inlineStr">
        <is>
          <t>VÄSTERBOTTENS LÄN</t>
        </is>
      </c>
      <c r="E5361" t="inlineStr">
        <is>
          <t>ROBERTSFORS</t>
        </is>
      </c>
      <c r="G5361" t="n">
        <v>24.4</v>
      </c>
      <c r="H5361" t="n">
        <v>0</v>
      </c>
      <c r="I5361" t="n">
        <v>0</v>
      </c>
      <c r="J5361" t="n">
        <v>0</v>
      </c>
      <c r="K5361" t="n">
        <v>0</v>
      </c>
      <c r="L5361" t="n">
        <v>0</v>
      </c>
      <c r="M5361" t="n">
        <v>0</v>
      </c>
      <c r="N5361" t="n">
        <v>0</v>
      </c>
      <c r="O5361" t="n">
        <v>0</v>
      </c>
      <c r="P5361" t="n">
        <v>0</v>
      </c>
      <c r="Q5361" t="n">
        <v>0</v>
      </c>
      <c r="R5361" s="2" t="inlineStr"/>
    </row>
    <row r="5362" ht="15" customHeight="1">
      <c r="A5362" t="inlineStr">
        <is>
          <t>A 45622-2023</t>
        </is>
      </c>
      <c r="B5362" s="1" t="n">
        <v>45194.66240740741</v>
      </c>
      <c r="C5362" s="1" t="n">
        <v>45971</v>
      </c>
      <c r="D5362" t="inlineStr">
        <is>
          <t>VÄSTERBOTTENS LÄN</t>
        </is>
      </c>
      <c r="E5362" t="inlineStr">
        <is>
          <t>ÅSELE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4626-2025</t>
        </is>
      </c>
      <c r="B5363" s="1" t="n">
        <v>45687.62158564815</v>
      </c>
      <c r="C5363" s="1" t="n">
        <v>45971</v>
      </c>
      <c r="D5363" t="inlineStr">
        <is>
          <t>VÄSTERBOTTENS LÄN</t>
        </is>
      </c>
      <c r="E5363" t="inlineStr">
        <is>
          <t>SKELLEFTEÅ</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40035-2025</t>
        </is>
      </c>
      <c r="B5364" s="1" t="n">
        <v>45894.38201388889</v>
      </c>
      <c r="C5364" s="1" t="n">
        <v>45971</v>
      </c>
      <c r="D5364" t="inlineStr">
        <is>
          <t>VÄSTERBOTTENS LÄN</t>
        </is>
      </c>
      <c r="E5364" t="inlineStr">
        <is>
          <t>ÅSELE</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40036-2025</t>
        </is>
      </c>
      <c r="B5365" s="1" t="n">
        <v>45894</v>
      </c>
      <c r="C5365" s="1" t="n">
        <v>45971</v>
      </c>
      <c r="D5365" t="inlineStr">
        <is>
          <t>VÄSTERBOTTENS LÄN</t>
        </is>
      </c>
      <c r="E5365" t="inlineStr">
        <is>
          <t>SKELLEFTEÅ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39820-2025</t>
        </is>
      </c>
      <c r="B5366" s="1" t="n">
        <v>45891.53517361111</v>
      </c>
      <c r="C5366" s="1" t="n">
        <v>45971</v>
      </c>
      <c r="D5366" t="inlineStr">
        <is>
          <t>VÄSTERBOTTENS LÄN</t>
        </is>
      </c>
      <c r="E5366" t="inlineStr">
        <is>
          <t>UMEÅ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60982-2024</t>
        </is>
      </c>
      <c r="B5367" s="1" t="n">
        <v>45645</v>
      </c>
      <c r="C5367" s="1" t="n">
        <v>45971</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42399-2024</t>
        </is>
      </c>
      <c r="B5368" s="1" t="n">
        <v>45565.33832175926</v>
      </c>
      <c r="C5368" s="1" t="n">
        <v>45971</v>
      </c>
      <c r="D5368" t="inlineStr">
        <is>
          <t>VÄSTERBOTTENS LÄN</t>
        </is>
      </c>
      <c r="E5368" t="inlineStr">
        <is>
          <t>ÅSELE</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34411-2024</t>
        </is>
      </c>
      <c r="B5369" s="1" t="n">
        <v>45525.48208333334</v>
      </c>
      <c r="C5369" s="1" t="n">
        <v>45971</v>
      </c>
      <c r="D5369" t="inlineStr">
        <is>
          <t>VÄSTERBOTTENS LÄN</t>
        </is>
      </c>
      <c r="E5369" t="inlineStr">
        <is>
          <t>UMEÅ</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40191-2025</t>
        </is>
      </c>
      <c r="B5370" s="1" t="n">
        <v>45894.65684027778</v>
      </c>
      <c r="C5370" s="1" t="n">
        <v>45971</v>
      </c>
      <c r="D5370" t="inlineStr">
        <is>
          <t>VÄSTERBOTTENS LÄN</t>
        </is>
      </c>
      <c r="E5370" t="inlineStr">
        <is>
          <t>BJURHOLM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55507-2024</t>
        </is>
      </c>
      <c r="B5371" s="1" t="n">
        <v>45622.46129629629</v>
      </c>
      <c r="C5371" s="1" t="n">
        <v>45971</v>
      </c>
      <c r="D5371" t="inlineStr">
        <is>
          <t>VÄSTERBOTTENS LÄN</t>
        </is>
      </c>
      <c r="E5371" t="inlineStr">
        <is>
          <t>MALÅ</t>
        </is>
      </c>
      <c r="F5371" t="inlineStr">
        <is>
          <t>Sveaskog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19648-2021</t>
        </is>
      </c>
      <c r="B5372" s="1" t="n">
        <v>44312</v>
      </c>
      <c r="C5372" s="1" t="n">
        <v>45971</v>
      </c>
      <c r="D5372" t="inlineStr">
        <is>
          <t>VÄSTERBOTTENS LÄN</t>
        </is>
      </c>
      <c r="E5372" t="inlineStr">
        <is>
          <t>STORUMAN</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42484-2024</t>
        </is>
      </c>
      <c r="B5373" s="1" t="n">
        <v>45565.49291666667</v>
      </c>
      <c r="C5373" s="1" t="n">
        <v>45971</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4629-2022</t>
        </is>
      </c>
      <c r="B5374" s="1" t="n">
        <v>44592.40050925926</v>
      </c>
      <c r="C5374" s="1" t="n">
        <v>45971</v>
      </c>
      <c r="D5374" t="inlineStr">
        <is>
          <t>VÄSTERBOTTENS LÄN</t>
        </is>
      </c>
      <c r="E5374" t="inlineStr">
        <is>
          <t>UMEÅ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14161-2023</t>
        </is>
      </c>
      <c r="B5375" s="1" t="n">
        <v>45008</v>
      </c>
      <c r="C5375" s="1" t="n">
        <v>45971</v>
      </c>
      <c r="D5375" t="inlineStr">
        <is>
          <t>VÄSTERBOTTENS LÄN</t>
        </is>
      </c>
      <c r="E5375" t="inlineStr">
        <is>
          <t>SORSELE</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42976-2024</t>
        </is>
      </c>
      <c r="B5376" s="1" t="n">
        <v>45567.37387731481</v>
      </c>
      <c r="C5376" s="1" t="n">
        <v>45971</v>
      </c>
      <c r="D5376" t="inlineStr">
        <is>
          <t>VÄSTERBOTTENS LÄN</t>
        </is>
      </c>
      <c r="E5376" t="inlineStr">
        <is>
          <t>VILHELMINA</t>
        </is>
      </c>
      <c r="F5376" t="inlineStr">
        <is>
          <t>SCA</t>
        </is>
      </c>
      <c r="G5376" t="n">
        <v>20.6</v>
      </c>
      <c r="H5376" t="n">
        <v>0</v>
      </c>
      <c r="I5376" t="n">
        <v>0</v>
      </c>
      <c r="J5376" t="n">
        <v>0</v>
      </c>
      <c r="K5376" t="n">
        <v>0</v>
      </c>
      <c r="L5376" t="n">
        <v>0</v>
      </c>
      <c r="M5376" t="n">
        <v>0</v>
      </c>
      <c r="N5376" t="n">
        <v>0</v>
      </c>
      <c r="O5376" t="n">
        <v>0</v>
      </c>
      <c r="P5376" t="n">
        <v>0</v>
      </c>
      <c r="Q5376" t="n">
        <v>0</v>
      </c>
      <c r="R5376" s="2" t="inlineStr"/>
    </row>
    <row r="5377" ht="15" customHeight="1">
      <c r="A5377" t="inlineStr">
        <is>
          <t>A 54220-2023</t>
        </is>
      </c>
      <c r="B5377" s="1" t="n">
        <v>45232</v>
      </c>
      <c r="C5377" s="1" t="n">
        <v>45971</v>
      </c>
      <c r="D5377" t="inlineStr">
        <is>
          <t>VÄSTERBOTTENS LÄN</t>
        </is>
      </c>
      <c r="E5377" t="inlineStr">
        <is>
          <t>VINDELN</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21238-2023</t>
        </is>
      </c>
      <c r="B5378" s="1" t="n">
        <v>45058</v>
      </c>
      <c r="C5378" s="1" t="n">
        <v>45971</v>
      </c>
      <c r="D5378" t="inlineStr">
        <is>
          <t>VÄSTERBOTTENS LÄN</t>
        </is>
      </c>
      <c r="E5378" t="inlineStr">
        <is>
          <t>SKELLEFTEÅ</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46743-2023</t>
        </is>
      </c>
      <c r="B5379" s="1" t="n">
        <v>45195</v>
      </c>
      <c r="C5379" s="1" t="n">
        <v>45971</v>
      </c>
      <c r="D5379" t="inlineStr">
        <is>
          <t>VÄSTERBOTTENS LÄN</t>
        </is>
      </c>
      <c r="E5379" t="inlineStr">
        <is>
          <t>BJURHOLM</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59051-2024</t>
        </is>
      </c>
      <c r="B5380" s="1" t="n">
        <v>45636.78251157407</v>
      </c>
      <c r="C5380" s="1" t="n">
        <v>45971</v>
      </c>
      <c r="D5380" t="inlineStr">
        <is>
          <t>VÄSTERBOTTENS LÄN</t>
        </is>
      </c>
      <c r="E5380" t="inlineStr">
        <is>
          <t>ROBERTSFORS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35409-2024</t>
        </is>
      </c>
      <c r="B5381" s="1" t="n">
        <v>45531</v>
      </c>
      <c r="C5381" s="1" t="n">
        <v>45971</v>
      </c>
      <c r="D5381" t="inlineStr">
        <is>
          <t>VÄSTERBOTTENS LÄN</t>
        </is>
      </c>
      <c r="E5381" t="inlineStr">
        <is>
          <t>VILHELMINA</t>
        </is>
      </c>
      <c r="F5381" t="inlineStr">
        <is>
          <t>SCA</t>
        </is>
      </c>
      <c r="G5381" t="n">
        <v>13.1</v>
      </c>
      <c r="H5381" t="n">
        <v>0</v>
      </c>
      <c r="I5381" t="n">
        <v>0</v>
      </c>
      <c r="J5381" t="n">
        <v>0</v>
      </c>
      <c r="K5381" t="n">
        <v>0</v>
      </c>
      <c r="L5381" t="n">
        <v>0</v>
      </c>
      <c r="M5381" t="n">
        <v>0</v>
      </c>
      <c r="N5381" t="n">
        <v>0</v>
      </c>
      <c r="O5381" t="n">
        <v>0</v>
      </c>
      <c r="P5381" t="n">
        <v>0</v>
      </c>
      <c r="Q5381" t="n">
        <v>0</v>
      </c>
      <c r="R5381" s="2" t="inlineStr"/>
    </row>
    <row r="5382" ht="15" customHeight="1">
      <c r="A5382" t="inlineStr">
        <is>
          <t>A 52126-2022</t>
        </is>
      </c>
      <c r="B5382" s="1" t="n">
        <v>44873.43465277777</v>
      </c>
      <c r="C5382" s="1" t="n">
        <v>45971</v>
      </c>
      <c r="D5382" t="inlineStr">
        <is>
          <t>VÄSTERBOTTENS LÄN</t>
        </is>
      </c>
      <c r="E5382" t="inlineStr">
        <is>
          <t>UMEÅ</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52129-2022</t>
        </is>
      </c>
      <c r="B5383" s="1" t="n">
        <v>44868</v>
      </c>
      <c r="C5383" s="1" t="n">
        <v>45971</v>
      </c>
      <c r="D5383" t="inlineStr">
        <is>
          <t>VÄSTERBOTTENS LÄN</t>
        </is>
      </c>
      <c r="E5383" t="inlineStr">
        <is>
          <t>SKELLEFTEÅ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42689-2024</t>
        </is>
      </c>
      <c r="B5384" s="1" t="n">
        <v>45566.40032407407</v>
      </c>
      <c r="C5384" s="1" t="n">
        <v>45971</v>
      </c>
      <c r="D5384" t="inlineStr">
        <is>
          <t>VÄSTERBOTTENS LÄN</t>
        </is>
      </c>
      <c r="E5384" t="inlineStr">
        <is>
          <t>ÅSELE</t>
        </is>
      </c>
      <c r="F5384" t="inlineStr">
        <is>
          <t>Holmen skog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61895-2024</t>
        </is>
      </c>
      <c r="B5385" s="1" t="n">
        <v>45652.74261574074</v>
      </c>
      <c r="C5385" s="1" t="n">
        <v>45971</v>
      </c>
      <c r="D5385" t="inlineStr">
        <is>
          <t>VÄSTERBOTTENS LÄN</t>
        </is>
      </c>
      <c r="E5385" t="inlineStr">
        <is>
          <t>LYCKSELE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58441-2020</t>
        </is>
      </c>
      <c r="B5386" s="1" t="n">
        <v>44144</v>
      </c>
      <c r="C5386" s="1" t="n">
        <v>45971</v>
      </c>
      <c r="D5386" t="inlineStr">
        <is>
          <t>VÄSTERBOTTENS LÄN</t>
        </is>
      </c>
      <c r="E5386" t="inlineStr">
        <is>
          <t>NORDMALING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18819-2023</t>
        </is>
      </c>
      <c r="B5387" s="1" t="n">
        <v>45044</v>
      </c>
      <c r="C5387" s="1" t="n">
        <v>45971</v>
      </c>
      <c r="D5387" t="inlineStr">
        <is>
          <t>VÄSTERBOTTENS LÄN</t>
        </is>
      </c>
      <c r="E5387" t="inlineStr">
        <is>
          <t>SKELLEFTEÅ</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58526-2023</t>
        </is>
      </c>
      <c r="B5388" s="1" t="n">
        <v>45251.38590277778</v>
      </c>
      <c r="C5388" s="1" t="n">
        <v>45971</v>
      </c>
      <c r="D5388" t="inlineStr">
        <is>
          <t>VÄSTERBOTTENS LÄN</t>
        </is>
      </c>
      <c r="E5388" t="inlineStr">
        <is>
          <t>ROBERTSFORS</t>
        </is>
      </c>
      <c r="F5388" t="inlineStr">
        <is>
          <t>Holmen skog AB</t>
        </is>
      </c>
      <c r="G5388" t="n">
        <v>13.9</v>
      </c>
      <c r="H5388" t="n">
        <v>0</v>
      </c>
      <c r="I5388" t="n">
        <v>0</v>
      </c>
      <c r="J5388" t="n">
        <v>0</v>
      </c>
      <c r="K5388" t="n">
        <v>0</v>
      </c>
      <c r="L5388" t="n">
        <v>0</v>
      </c>
      <c r="M5388" t="n">
        <v>0</v>
      </c>
      <c r="N5388" t="n">
        <v>0</v>
      </c>
      <c r="O5388" t="n">
        <v>0</v>
      </c>
      <c r="P5388" t="n">
        <v>0</v>
      </c>
      <c r="Q5388" t="n">
        <v>0</v>
      </c>
      <c r="R5388" s="2" t="inlineStr"/>
    </row>
    <row r="5389" ht="15" customHeight="1">
      <c r="A5389" t="inlineStr">
        <is>
          <t>A 18907-2023</t>
        </is>
      </c>
      <c r="B5389" s="1" t="n">
        <v>45043</v>
      </c>
      <c r="C5389" s="1" t="n">
        <v>45971</v>
      </c>
      <c r="D5389" t="inlineStr">
        <is>
          <t>VÄSTERBOTTENS LÄN</t>
        </is>
      </c>
      <c r="E5389" t="inlineStr">
        <is>
          <t>UMEÅ</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48510-2025</t>
        </is>
      </c>
      <c r="B5390" s="1" t="n">
        <v>45936.3863425926</v>
      </c>
      <c r="C5390" s="1" t="n">
        <v>45971</v>
      </c>
      <c r="D5390" t="inlineStr">
        <is>
          <t>VÄSTERBOTTENS LÄN</t>
        </is>
      </c>
      <c r="E5390" t="inlineStr">
        <is>
          <t>DOROTEA</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59660-2024</t>
        </is>
      </c>
      <c r="B5391" s="1" t="n">
        <v>45639.35697916667</v>
      </c>
      <c r="C5391" s="1" t="n">
        <v>45971</v>
      </c>
      <c r="D5391" t="inlineStr">
        <is>
          <t>VÄSTERBOTTENS LÄN</t>
        </is>
      </c>
      <c r="E5391" t="inlineStr">
        <is>
          <t>SKELLEFTEÅ</t>
        </is>
      </c>
      <c r="F5391" t="inlineStr">
        <is>
          <t>Sveaskog</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39778-2025</t>
        </is>
      </c>
      <c r="B5392" s="1" t="n">
        <v>45891.46913194445</v>
      </c>
      <c r="C5392" s="1" t="n">
        <v>45971</v>
      </c>
      <c r="D5392" t="inlineStr">
        <is>
          <t>VÄSTERBOTTENS LÄN</t>
        </is>
      </c>
      <c r="E5392" t="inlineStr">
        <is>
          <t>DOROTEA</t>
        </is>
      </c>
      <c r="F5392" t="inlineStr">
        <is>
          <t>SCA</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17591-2025</t>
        </is>
      </c>
      <c r="B5393" s="1" t="n">
        <v>45757.69819444444</v>
      </c>
      <c r="C5393" s="1" t="n">
        <v>45971</v>
      </c>
      <c r="D5393" t="inlineStr">
        <is>
          <t>VÄSTERBOTTENS LÄN</t>
        </is>
      </c>
      <c r="E5393" t="inlineStr">
        <is>
          <t>DOROTEA</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44366-2024</t>
        </is>
      </c>
      <c r="B5394" s="1" t="n">
        <v>45573.64682870371</v>
      </c>
      <c r="C5394" s="1" t="n">
        <v>45971</v>
      </c>
      <c r="D5394" t="inlineStr">
        <is>
          <t>VÄSTERBOTTENS LÄN</t>
        </is>
      </c>
      <c r="E5394" t="inlineStr">
        <is>
          <t>NORSJÖ</t>
        </is>
      </c>
      <c r="F5394" t="inlineStr">
        <is>
          <t>Holmen skog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28628-2023</t>
        </is>
      </c>
      <c r="B5395" s="1" t="n">
        <v>45103</v>
      </c>
      <c r="C5395" s="1" t="n">
        <v>45971</v>
      </c>
      <c r="D5395" t="inlineStr">
        <is>
          <t>VÄSTERBOTTENS LÄN</t>
        </is>
      </c>
      <c r="E5395" t="inlineStr">
        <is>
          <t>UMEÅ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40062-2025</t>
        </is>
      </c>
      <c r="B5396" s="1" t="n">
        <v>45894.42775462963</v>
      </c>
      <c r="C5396" s="1" t="n">
        <v>45971</v>
      </c>
      <c r="D5396" t="inlineStr">
        <is>
          <t>VÄSTERBOTTENS LÄN</t>
        </is>
      </c>
      <c r="E5396" t="inlineStr">
        <is>
          <t>NORDMALING</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40196-2025</t>
        </is>
      </c>
      <c r="B5397" s="1" t="n">
        <v>45894.65951388889</v>
      </c>
      <c r="C5397" s="1" t="n">
        <v>45971</v>
      </c>
      <c r="D5397" t="inlineStr">
        <is>
          <t>VÄSTERBOTTENS LÄN</t>
        </is>
      </c>
      <c r="E5397" t="inlineStr">
        <is>
          <t>VILHELMINA</t>
        </is>
      </c>
      <c r="G5397" t="n">
        <v>23.3</v>
      </c>
      <c r="H5397" t="n">
        <v>0</v>
      </c>
      <c r="I5397" t="n">
        <v>0</v>
      </c>
      <c r="J5397" t="n">
        <v>0</v>
      </c>
      <c r="K5397" t="n">
        <v>0</v>
      </c>
      <c r="L5397" t="n">
        <v>0</v>
      </c>
      <c r="M5397" t="n">
        <v>0</v>
      </c>
      <c r="N5397" t="n">
        <v>0</v>
      </c>
      <c r="O5397" t="n">
        <v>0</v>
      </c>
      <c r="P5397" t="n">
        <v>0</v>
      </c>
      <c r="Q5397" t="n">
        <v>0</v>
      </c>
      <c r="R5397" s="2" t="inlineStr"/>
    </row>
    <row r="5398" ht="15" customHeight="1">
      <c r="A5398" t="inlineStr">
        <is>
          <t>A 40197-2025</t>
        </is>
      </c>
      <c r="B5398" s="1" t="n">
        <v>45894.66121527777</v>
      </c>
      <c r="C5398" s="1" t="n">
        <v>45971</v>
      </c>
      <c r="D5398" t="inlineStr">
        <is>
          <t>VÄSTERBOTTENS LÄN</t>
        </is>
      </c>
      <c r="E5398" t="inlineStr">
        <is>
          <t>BJURHOLM</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31689-2023</t>
        </is>
      </c>
      <c r="B5399" s="1" t="n">
        <v>45117</v>
      </c>
      <c r="C5399" s="1" t="n">
        <v>45971</v>
      </c>
      <c r="D5399" t="inlineStr">
        <is>
          <t>VÄSTERBOTTENS LÄN</t>
        </is>
      </c>
      <c r="E5399" t="inlineStr">
        <is>
          <t>LYCKSELE</t>
        </is>
      </c>
      <c r="F5399" t="inlineStr">
        <is>
          <t>Holmen skog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57849-2022</t>
        </is>
      </c>
      <c r="B5400" s="1" t="n">
        <v>44898.00163194445</v>
      </c>
      <c r="C5400" s="1" t="n">
        <v>45971</v>
      </c>
      <c r="D5400" t="inlineStr">
        <is>
          <t>VÄSTERBOTTENS LÄN</t>
        </is>
      </c>
      <c r="E5400" t="inlineStr">
        <is>
          <t>SKELLEFTEÅ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7706-2025</t>
        </is>
      </c>
      <c r="B5401" s="1" t="n">
        <v>45706</v>
      </c>
      <c r="C5401" s="1" t="n">
        <v>45971</v>
      </c>
      <c r="D5401" t="inlineStr">
        <is>
          <t>VÄSTERBOTTENS LÄN</t>
        </is>
      </c>
      <c r="E5401" t="inlineStr">
        <is>
          <t>ÅSELE</t>
        </is>
      </c>
      <c r="F5401" t="inlineStr">
        <is>
          <t>Sveaskog</t>
        </is>
      </c>
      <c r="G5401" t="n">
        <v>24.8</v>
      </c>
      <c r="H5401" t="n">
        <v>0</v>
      </c>
      <c r="I5401" t="n">
        <v>0</v>
      </c>
      <c r="J5401" t="n">
        <v>0</v>
      </c>
      <c r="K5401" t="n">
        <v>0</v>
      </c>
      <c r="L5401" t="n">
        <v>0</v>
      </c>
      <c r="M5401" t="n">
        <v>0</v>
      </c>
      <c r="N5401" t="n">
        <v>0</v>
      </c>
      <c r="O5401" t="n">
        <v>0</v>
      </c>
      <c r="P5401" t="n">
        <v>0</v>
      </c>
      <c r="Q5401" t="n">
        <v>0</v>
      </c>
      <c r="R5401" s="2" t="inlineStr"/>
    </row>
    <row r="5402" ht="15" customHeight="1">
      <c r="A5402" t="inlineStr">
        <is>
          <t>A 34638-2023</t>
        </is>
      </c>
      <c r="B5402" s="1" t="n">
        <v>45140.65803240741</v>
      </c>
      <c r="C5402" s="1" t="n">
        <v>45971</v>
      </c>
      <c r="D5402" t="inlineStr">
        <is>
          <t>VÄSTERBOTTENS LÄN</t>
        </is>
      </c>
      <c r="E5402" t="inlineStr">
        <is>
          <t>SKELLEFTEÅ</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58934-2024</t>
        </is>
      </c>
      <c r="B5403" s="1" t="n">
        <v>45636</v>
      </c>
      <c r="C5403" s="1" t="n">
        <v>45971</v>
      </c>
      <c r="D5403" t="inlineStr">
        <is>
          <t>VÄSTERBOTTENS LÄN</t>
        </is>
      </c>
      <c r="E5403" t="inlineStr">
        <is>
          <t>VILHELMINA</t>
        </is>
      </c>
      <c r="F5403" t="inlineStr">
        <is>
          <t>Allmännings- och besparingsskogar</t>
        </is>
      </c>
      <c r="G5403" t="n">
        <v>45.6</v>
      </c>
      <c r="H5403" t="n">
        <v>0</v>
      </c>
      <c r="I5403" t="n">
        <v>0</v>
      </c>
      <c r="J5403" t="n">
        <v>0</v>
      </c>
      <c r="K5403" t="n">
        <v>0</v>
      </c>
      <c r="L5403" t="n">
        <v>0</v>
      </c>
      <c r="M5403" t="n">
        <v>0</v>
      </c>
      <c r="N5403" t="n">
        <v>0</v>
      </c>
      <c r="O5403" t="n">
        <v>0</v>
      </c>
      <c r="P5403" t="n">
        <v>0</v>
      </c>
      <c r="Q5403" t="n">
        <v>0</v>
      </c>
      <c r="R5403" s="2" t="inlineStr"/>
    </row>
    <row r="5404" ht="15" customHeight="1">
      <c r="A5404" t="inlineStr">
        <is>
          <t>A 38125-2024</t>
        </is>
      </c>
      <c r="B5404" s="1" t="n">
        <v>45545.40717592592</v>
      </c>
      <c r="C5404" s="1" t="n">
        <v>45971</v>
      </c>
      <c r="D5404" t="inlineStr">
        <is>
          <t>VÄSTERBOTTENS LÄN</t>
        </is>
      </c>
      <c r="E5404" t="inlineStr">
        <is>
          <t>VILHELMINA</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61497-2022</t>
        </is>
      </c>
      <c r="B5405" s="1" t="n">
        <v>44910</v>
      </c>
      <c r="C5405" s="1" t="n">
        <v>45971</v>
      </c>
      <c r="D5405" t="inlineStr">
        <is>
          <t>VÄSTERBOTTENS LÄN</t>
        </is>
      </c>
      <c r="E5405" t="inlineStr">
        <is>
          <t>VINDELN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25505-2023</t>
        </is>
      </c>
      <c r="B5406" s="1" t="n">
        <v>45089.49538194444</v>
      </c>
      <c r="C5406" s="1" t="n">
        <v>45971</v>
      </c>
      <c r="D5406" t="inlineStr">
        <is>
          <t>VÄSTERBOTTENS LÄN</t>
        </is>
      </c>
      <c r="E5406" t="inlineStr">
        <is>
          <t>UMEÅ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12589-2024</t>
        </is>
      </c>
      <c r="B5407" s="1" t="n">
        <v>45379.93677083333</v>
      </c>
      <c r="C5407" s="1" t="n">
        <v>45971</v>
      </c>
      <c r="D5407" t="inlineStr">
        <is>
          <t>VÄSTERBOTTENS LÄN</t>
        </is>
      </c>
      <c r="E5407" t="inlineStr">
        <is>
          <t>ÅSELE</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38126-2024</t>
        </is>
      </c>
      <c r="B5408" s="1" t="n">
        <v>45545</v>
      </c>
      <c r="C5408" s="1" t="n">
        <v>45971</v>
      </c>
      <c r="D5408" t="inlineStr">
        <is>
          <t>VÄSTERBOTTENS LÄN</t>
        </is>
      </c>
      <c r="E5408" t="inlineStr">
        <is>
          <t>VILHELMINA</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38130-2024</t>
        </is>
      </c>
      <c r="B5409" s="1" t="n">
        <v>45545</v>
      </c>
      <c r="C5409" s="1" t="n">
        <v>45971</v>
      </c>
      <c r="D5409" t="inlineStr">
        <is>
          <t>VÄSTERBOTTENS LÄN</t>
        </is>
      </c>
      <c r="E5409" t="inlineStr">
        <is>
          <t>VILHELMINA</t>
        </is>
      </c>
      <c r="F5409" t="inlineStr">
        <is>
          <t>SCA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43860-2024</t>
        </is>
      </c>
      <c r="B5410" s="1" t="n">
        <v>45572.36284722222</v>
      </c>
      <c r="C5410" s="1" t="n">
        <v>45971</v>
      </c>
      <c r="D5410" t="inlineStr">
        <is>
          <t>VÄSTERBOTTENS LÄN</t>
        </is>
      </c>
      <c r="E5410" t="inlineStr">
        <is>
          <t>MALÅ</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32510-2025</t>
        </is>
      </c>
      <c r="B5411" s="1" t="n">
        <v>45838.47287037037</v>
      </c>
      <c r="C5411" s="1" t="n">
        <v>45971</v>
      </c>
      <c r="D5411" t="inlineStr">
        <is>
          <t>VÄSTERBOTTENS LÄN</t>
        </is>
      </c>
      <c r="E5411" t="inlineStr">
        <is>
          <t>UMEÅ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41408-2024</t>
        </is>
      </c>
      <c r="B5412" s="1" t="n">
        <v>45560.34202546296</v>
      </c>
      <c r="C5412" s="1" t="n">
        <v>45971</v>
      </c>
      <c r="D5412" t="inlineStr">
        <is>
          <t>VÄSTERBOTTENS LÄN</t>
        </is>
      </c>
      <c r="E5412" t="inlineStr">
        <is>
          <t>ÅSELE</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5937-2025</t>
        </is>
      </c>
      <c r="B5413" s="1" t="n">
        <v>45695.45655092593</v>
      </c>
      <c r="C5413" s="1" t="n">
        <v>45971</v>
      </c>
      <c r="D5413" t="inlineStr">
        <is>
          <t>VÄSTERBOTTENS LÄN</t>
        </is>
      </c>
      <c r="E5413" t="inlineStr">
        <is>
          <t>ROBERTSFORS</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30215-2025</t>
        </is>
      </c>
      <c r="B5414" s="1" t="n">
        <v>45827.36939814815</v>
      </c>
      <c r="C5414" s="1" t="n">
        <v>45971</v>
      </c>
      <c r="D5414" t="inlineStr">
        <is>
          <t>VÄSTERBOTTENS LÄN</t>
        </is>
      </c>
      <c r="E5414" t="inlineStr">
        <is>
          <t>UMEÅ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40220-2025</t>
        </is>
      </c>
      <c r="B5415" s="1" t="n">
        <v>45894</v>
      </c>
      <c r="C5415" s="1" t="n">
        <v>45971</v>
      </c>
      <c r="D5415" t="inlineStr">
        <is>
          <t>VÄSTERBOTTENS LÄN</t>
        </is>
      </c>
      <c r="E5415" t="inlineStr">
        <is>
          <t>VILHELMINA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40223-2025</t>
        </is>
      </c>
      <c r="B5416" s="1" t="n">
        <v>45894.69829861111</v>
      </c>
      <c r="C5416" s="1" t="n">
        <v>45971</v>
      </c>
      <c r="D5416" t="inlineStr">
        <is>
          <t>VÄSTERBOTTENS LÄN</t>
        </is>
      </c>
      <c r="E5416" t="inlineStr">
        <is>
          <t>ÅSELE</t>
        </is>
      </c>
      <c r="F5416" t="inlineStr">
        <is>
          <t>SCA</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48092-2025</t>
        </is>
      </c>
      <c r="B5417" s="1" t="n">
        <v>45933.2931712963</v>
      </c>
      <c r="C5417" s="1" t="n">
        <v>45971</v>
      </c>
      <c r="D5417" t="inlineStr">
        <is>
          <t>VÄSTERBOTTENS LÄN</t>
        </is>
      </c>
      <c r="E5417" t="inlineStr">
        <is>
          <t>SKELLEFTEÅ</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48110-2025</t>
        </is>
      </c>
      <c r="B5418" s="1" t="n">
        <v>45933.34513888889</v>
      </c>
      <c r="C5418" s="1" t="n">
        <v>45971</v>
      </c>
      <c r="D5418" t="inlineStr">
        <is>
          <t>VÄSTERBOTTENS LÄN</t>
        </is>
      </c>
      <c r="E5418" t="inlineStr">
        <is>
          <t>ROBERTSFORS</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51437-2023</t>
        </is>
      </c>
      <c r="B5419" s="1" t="n">
        <v>45219.96467592593</v>
      </c>
      <c r="C5419" s="1" t="n">
        <v>45971</v>
      </c>
      <c r="D5419" t="inlineStr">
        <is>
          <t>VÄSTERBOTTENS LÄN</t>
        </is>
      </c>
      <c r="E5419" t="inlineStr">
        <is>
          <t>SORSELE</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17787-2023</t>
        </is>
      </c>
      <c r="B5420" s="1" t="n">
        <v>45036</v>
      </c>
      <c r="C5420" s="1" t="n">
        <v>45971</v>
      </c>
      <c r="D5420" t="inlineStr">
        <is>
          <t>VÄSTERBOTTENS LÄN</t>
        </is>
      </c>
      <c r="E5420" t="inlineStr">
        <is>
          <t>DOROTEA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41064-2024</t>
        </is>
      </c>
      <c r="B5421" s="1" t="n">
        <v>45559.38644675926</v>
      </c>
      <c r="C5421" s="1" t="n">
        <v>45971</v>
      </c>
      <c r="D5421" t="inlineStr">
        <is>
          <t>VÄSTERBOTTENS LÄN</t>
        </is>
      </c>
      <c r="E5421" t="inlineStr">
        <is>
          <t>SKELLEFTEÅ</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55170-2022</t>
        </is>
      </c>
      <c r="B5422" s="1" t="n">
        <v>44886</v>
      </c>
      <c r="C5422" s="1" t="n">
        <v>45971</v>
      </c>
      <c r="D5422" t="inlineStr">
        <is>
          <t>VÄSTERBOTTENS LÄN</t>
        </is>
      </c>
      <c r="E5422" t="inlineStr">
        <is>
          <t>LYCKSELE</t>
        </is>
      </c>
      <c r="F5422" t="inlineStr">
        <is>
          <t>Holmen skog AB</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41498-2024</t>
        </is>
      </c>
      <c r="B5423" s="1" t="n">
        <v>45560.46020833333</v>
      </c>
      <c r="C5423" s="1" t="n">
        <v>45971</v>
      </c>
      <c r="D5423" t="inlineStr">
        <is>
          <t>VÄSTERBOTTENS LÄN</t>
        </is>
      </c>
      <c r="E5423" t="inlineStr">
        <is>
          <t>VINDELN</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54138-2023</t>
        </is>
      </c>
      <c r="B5424" s="1" t="n">
        <v>45232</v>
      </c>
      <c r="C5424" s="1" t="n">
        <v>45971</v>
      </c>
      <c r="D5424" t="inlineStr">
        <is>
          <t>VÄSTERBOTTENS LÄN</t>
        </is>
      </c>
      <c r="E5424" t="inlineStr">
        <is>
          <t>NORDMALING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48131-2025</t>
        </is>
      </c>
      <c r="B5425" s="1" t="n">
        <v>45933.36880787037</v>
      </c>
      <c r="C5425" s="1" t="n">
        <v>45971</v>
      </c>
      <c r="D5425" t="inlineStr">
        <is>
          <t>VÄSTERBOTTENS LÄN</t>
        </is>
      </c>
      <c r="E5425" t="inlineStr">
        <is>
          <t>SKELLEFTEÅ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7440-2025</t>
        </is>
      </c>
      <c r="B5426" s="1" t="n">
        <v>45705</v>
      </c>
      <c r="C5426" s="1" t="n">
        <v>45971</v>
      </c>
      <c r="D5426" t="inlineStr">
        <is>
          <t>VÄSTERBOTTENS LÄN</t>
        </is>
      </c>
      <c r="E5426" t="inlineStr">
        <is>
          <t>BJURHOLM</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7446-2025</t>
        </is>
      </c>
      <c r="B5427" s="1" t="n">
        <v>45705</v>
      </c>
      <c r="C5427" s="1" t="n">
        <v>45971</v>
      </c>
      <c r="D5427" t="inlineStr">
        <is>
          <t>VÄSTERBOTTENS LÄN</t>
        </is>
      </c>
      <c r="E5427" t="inlineStr">
        <is>
          <t>STORUMAN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7498-2025</t>
        </is>
      </c>
      <c r="B5428" s="1" t="n">
        <v>45705</v>
      </c>
      <c r="C5428" s="1" t="n">
        <v>45971</v>
      </c>
      <c r="D5428" t="inlineStr">
        <is>
          <t>VÄSTERBOTTENS LÄN</t>
        </is>
      </c>
      <c r="E5428" t="inlineStr">
        <is>
          <t>ÅSELE</t>
        </is>
      </c>
      <c r="F5428" t="inlineStr">
        <is>
          <t>Holmen skog AB</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7499-2025</t>
        </is>
      </c>
      <c r="B5429" s="1" t="n">
        <v>45705.49078703704</v>
      </c>
      <c r="C5429" s="1" t="n">
        <v>45971</v>
      </c>
      <c r="D5429" t="inlineStr">
        <is>
          <t>VÄSTERBOTTENS LÄN</t>
        </is>
      </c>
      <c r="E5429" t="inlineStr">
        <is>
          <t>LYCKSELE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29640-2023</t>
        </is>
      </c>
      <c r="B5430" s="1" t="n">
        <v>45106</v>
      </c>
      <c r="C5430" s="1" t="n">
        <v>45971</v>
      </c>
      <c r="D5430" t="inlineStr">
        <is>
          <t>VÄSTERBOTTENS LÄN</t>
        </is>
      </c>
      <c r="E5430" t="inlineStr">
        <is>
          <t>UMEÅ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42286-2024</t>
        </is>
      </c>
      <c r="B5431" s="1" t="n">
        <v>45562</v>
      </c>
      <c r="C5431" s="1" t="n">
        <v>45971</v>
      </c>
      <c r="D5431" t="inlineStr">
        <is>
          <t>VÄSTERBOTTENS LÄN</t>
        </is>
      </c>
      <c r="E5431" t="inlineStr">
        <is>
          <t>ÅSELE</t>
        </is>
      </c>
      <c r="F5431" t="inlineStr">
        <is>
          <t>Holmen skog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1853-2023</t>
        </is>
      </c>
      <c r="B5432" s="1" t="n">
        <v>44938.90767361111</v>
      </c>
      <c r="C5432" s="1" t="n">
        <v>45971</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14341-2023</t>
        </is>
      </c>
      <c r="B5433" s="1" t="n">
        <v>45009</v>
      </c>
      <c r="C5433" s="1" t="n">
        <v>45971</v>
      </c>
      <c r="D5433" t="inlineStr">
        <is>
          <t>VÄSTERBOTTENS LÄN</t>
        </is>
      </c>
      <c r="E5433" t="inlineStr">
        <is>
          <t>SKELLEFTEÅ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35338-2023</t>
        </is>
      </c>
      <c r="B5434" s="1" t="n">
        <v>45145</v>
      </c>
      <c r="C5434" s="1" t="n">
        <v>45971</v>
      </c>
      <c r="D5434" t="inlineStr">
        <is>
          <t>VÄSTERBOTTENS LÄN</t>
        </is>
      </c>
      <c r="E5434" t="inlineStr">
        <is>
          <t>SKELLEFTEÅ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35497-2023</t>
        </is>
      </c>
      <c r="B5435" s="1" t="n">
        <v>45146</v>
      </c>
      <c r="C5435" s="1" t="n">
        <v>45971</v>
      </c>
      <c r="D5435" t="inlineStr">
        <is>
          <t>VÄSTERBOTTENS LÄN</t>
        </is>
      </c>
      <c r="E5435" t="inlineStr">
        <is>
          <t>ROBERTSFORS</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16132-2025</t>
        </is>
      </c>
      <c r="B5436" s="1" t="n">
        <v>45750.43831018519</v>
      </c>
      <c r="C5436" s="1" t="n">
        <v>45971</v>
      </c>
      <c r="D5436" t="inlineStr">
        <is>
          <t>VÄSTERBOTTENS LÄN</t>
        </is>
      </c>
      <c r="E5436" t="inlineStr">
        <is>
          <t>VINDELN</t>
        </is>
      </c>
      <c r="F5436" t="inlineStr">
        <is>
          <t>Holmen skog AB</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60601-2023</t>
        </is>
      </c>
      <c r="B5437" s="1" t="n">
        <v>45260</v>
      </c>
      <c r="C5437" s="1" t="n">
        <v>45971</v>
      </c>
      <c r="D5437" t="inlineStr">
        <is>
          <t>VÄSTERBOTTENS LÄN</t>
        </is>
      </c>
      <c r="E5437" t="inlineStr">
        <is>
          <t>SKELLEFTEÅ</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10188-2023</t>
        </is>
      </c>
      <c r="B5438" s="1" t="n">
        <v>44980</v>
      </c>
      <c r="C5438" s="1" t="n">
        <v>45971</v>
      </c>
      <c r="D5438" t="inlineStr">
        <is>
          <t>VÄSTERBOTTENS LÄN</t>
        </is>
      </c>
      <c r="E5438" t="inlineStr">
        <is>
          <t>ROBERTSFORS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35520-2023</t>
        </is>
      </c>
      <c r="B5439" s="1" t="n">
        <v>45147.32908564815</v>
      </c>
      <c r="C5439" s="1" t="n">
        <v>45971</v>
      </c>
      <c r="D5439" t="inlineStr">
        <is>
          <t>VÄSTERBOTTENS LÄN</t>
        </is>
      </c>
      <c r="E5439" t="inlineStr">
        <is>
          <t>ÅSELE</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41606-2024</t>
        </is>
      </c>
      <c r="B5440" s="1" t="n">
        <v>45560.58483796296</v>
      </c>
      <c r="C5440" s="1" t="n">
        <v>45971</v>
      </c>
      <c r="D5440" t="inlineStr">
        <is>
          <t>VÄSTERBOTTENS LÄN</t>
        </is>
      </c>
      <c r="E5440" t="inlineStr">
        <is>
          <t>NORDMALING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29932-2025</t>
        </is>
      </c>
      <c r="B5441" s="1" t="n">
        <v>45826.43984953704</v>
      </c>
      <c r="C5441" s="1" t="n">
        <v>45971</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16208-2025</t>
        </is>
      </c>
      <c r="B5442" s="1" t="n">
        <v>45750.62423611111</v>
      </c>
      <c r="C5442" s="1" t="n">
        <v>45971</v>
      </c>
      <c r="D5442" t="inlineStr">
        <is>
          <t>VÄSTERBOTTENS LÄN</t>
        </is>
      </c>
      <c r="E5442" t="inlineStr">
        <is>
          <t>MALÅ</t>
        </is>
      </c>
      <c r="G5442" t="n">
        <v>11.1</v>
      </c>
      <c r="H5442" t="n">
        <v>0</v>
      </c>
      <c r="I5442" t="n">
        <v>0</v>
      </c>
      <c r="J5442" t="n">
        <v>0</v>
      </c>
      <c r="K5442" t="n">
        <v>0</v>
      </c>
      <c r="L5442" t="n">
        <v>0</v>
      </c>
      <c r="M5442" t="n">
        <v>0</v>
      </c>
      <c r="N5442" t="n">
        <v>0</v>
      </c>
      <c r="O5442" t="n">
        <v>0</v>
      </c>
      <c r="P5442" t="n">
        <v>0</v>
      </c>
      <c r="Q5442" t="n">
        <v>0</v>
      </c>
      <c r="R5442" s="2" t="inlineStr"/>
    </row>
    <row r="5443" ht="15" customHeight="1">
      <c r="A5443" t="inlineStr">
        <is>
          <t>A 52144-2023</t>
        </is>
      </c>
      <c r="B5443" s="1" t="n">
        <v>45223.96712962963</v>
      </c>
      <c r="C5443" s="1" t="n">
        <v>45971</v>
      </c>
      <c r="D5443" t="inlineStr">
        <is>
          <t>VÄSTERBOTTENS LÄN</t>
        </is>
      </c>
      <c r="E5443" t="inlineStr">
        <is>
          <t>DOROTEA</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53068-2023</t>
        </is>
      </c>
      <c r="B5444" s="1" t="n">
        <v>45227</v>
      </c>
      <c r="C5444" s="1" t="n">
        <v>45971</v>
      </c>
      <c r="D5444" t="inlineStr">
        <is>
          <t>VÄSTERBOTTENS LÄN</t>
        </is>
      </c>
      <c r="E5444" t="inlineStr">
        <is>
          <t>MALÅ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39670-2024</t>
        </is>
      </c>
      <c r="B5445" s="1" t="n">
        <v>45552.5315162037</v>
      </c>
      <c r="C5445" s="1" t="n">
        <v>45971</v>
      </c>
      <c r="D5445" t="inlineStr">
        <is>
          <t>VÄSTERBOTTENS LÄN</t>
        </is>
      </c>
      <c r="E5445" t="inlineStr">
        <is>
          <t>VILHELMINA</t>
        </is>
      </c>
      <c r="F5445" t="inlineStr">
        <is>
          <t>SCA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46492-2023</t>
        </is>
      </c>
      <c r="B5446" s="1" t="n">
        <v>45194</v>
      </c>
      <c r="C5446" s="1" t="n">
        <v>45971</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39721-2024</t>
        </is>
      </c>
      <c r="B5447" s="1" t="n">
        <v>45552</v>
      </c>
      <c r="C5447" s="1" t="n">
        <v>45971</v>
      </c>
      <c r="D5447" t="inlineStr">
        <is>
          <t>VÄSTERBOTTENS LÄN</t>
        </is>
      </c>
      <c r="E5447" t="inlineStr">
        <is>
          <t>DOROTEA</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24003-2025</t>
        </is>
      </c>
      <c r="B5448" s="1" t="n">
        <v>45796</v>
      </c>
      <c r="C5448" s="1" t="n">
        <v>45971</v>
      </c>
      <c r="D5448" t="inlineStr">
        <is>
          <t>VÄSTERBOTTENS LÄN</t>
        </is>
      </c>
      <c r="E5448" t="inlineStr">
        <is>
          <t>DOROTEA</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7982-2025</t>
        </is>
      </c>
      <c r="B5449" s="1" t="n">
        <v>45707.46905092592</v>
      </c>
      <c r="C5449" s="1" t="n">
        <v>45971</v>
      </c>
      <c r="D5449" t="inlineStr">
        <is>
          <t>VÄSTERBOTTENS LÄN</t>
        </is>
      </c>
      <c r="E5449" t="inlineStr">
        <is>
          <t>VILHELMINA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17700-2023</t>
        </is>
      </c>
      <c r="B5450" s="1" t="n">
        <v>45037.35241898148</v>
      </c>
      <c r="C5450" s="1" t="n">
        <v>45971</v>
      </c>
      <c r="D5450" t="inlineStr">
        <is>
          <t>VÄSTERBOTTENS LÄN</t>
        </is>
      </c>
      <c r="E5450" t="inlineStr">
        <is>
          <t>NORSJÖ</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51390-2024</t>
        </is>
      </c>
      <c r="B5451" s="1" t="n">
        <v>45604.40876157407</v>
      </c>
      <c r="C5451" s="1" t="n">
        <v>45971</v>
      </c>
      <c r="D5451" t="inlineStr">
        <is>
          <t>VÄSTERBOTTENS LÄN</t>
        </is>
      </c>
      <c r="E5451" t="inlineStr">
        <is>
          <t>UMEÅ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29344-2023</t>
        </is>
      </c>
      <c r="B5452" s="1" t="n">
        <v>45105.94471064815</v>
      </c>
      <c r="C5452" s="1" t="n">
        <v>45971</v>
      </c>
      <c r="D5452" t="inlineStr">
        <is>
          <t>VÄSTERBOTTENS LÄN</t>
        </is>
      </c>
      <c r="E5452" t="inlineStr">
        <is>
          <t>NORDMALING</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1891-2021</t>
        </is>
      </c>
      <c r="B5453" s="1" t="n">
        <v>44210</v>
      </c>
      <c r="C5453" s="1" t="n">
        <v>45971</v>
      </c>
      <c r="D5453" t="inlineStr">
        <is>
          <t>VÄSTERBOTTENS LÄN</t>
        </is>
      </c>
      <c r="E5453" t="inlineStr">
        <is>
          <t>SKELLEFTEÅ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64598-2023</t>
        </is>
      </c>
      <c r="B5454" s="1" t="n">
        <v>45281</v>
      </c>
      <c r="C5454" s="1" t="n">
        <v>45971</v>
      </c>
      <c r="D5454" t="inlineStr">
        <is>
          <t>VÄSTERBOTTENS LÄN</t>
        </is>
      </c>
      <c r="E5454" t="inlineStr">
        <is>
          <t>SKELLEFTEÅ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22430-2021</t>
        </is>
      </c>
      <c r="B5455" s="1" t="n">
        <v>44326</v>
      </c>
      <c r="C5455" s="1" t="n">
        <v>45971</v>
      </c>
      <c r="D5455" t="inlineStr">
        <is>
          <t>VÄSTERBOTTENS LÄN</t>
        </is>
      </c>
      <c r="E5455" t="inlineStr">
        <is>
          <t>SORSELE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53000-2024</t>
        </is>
      </c>
      <c r="B5456" s="1" t="n">
        <v>45611.38673611111</v>
      </c>
      <c r="C5456" s="1" t="n">
        <v>45971</v>
      </c>
      <c r="D5456" t="inlineStr">
        <is>
          <t>VÄSTERBOTTENS LÄN</t>
        </is>
      </c>
      <c r="E5456" t="inlineStr">
        <is>
          <t>SKELLEFTEÅ</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10208-2024</t>
        </is>
      </c>
      <c r="B5457" s="1" t="n">
        <v>45364</v>
      </c>
      <c r="C5457" s="1" t="n">
        <v>45971</v>
      </c>
      <c r="D5457" t="inlineStr">
        <is>
          <t>VÄSTERBOTTENS LÄN</t>
        </is>
      </c>
      <c r="E5457" t="inlineStr">
        <is>
          <t>LYCKSELE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30439-2024</t>
        </is>
      </c>
      <c r="B5458" s="1" t="n">
        <v>45491.74201388889</v>
      </c>
      <c r="C5458" s="1" t="n">
        <v>45971</v>
      </c>
      <c r="D5458" t="inlineStr">
        <is>
          <t>VÄSTERBOTTENS LÄN</t>
        </is>
      </c>
      <c r="E5458" t="inlineStr">
        <is>
          <t>NORDMALING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62874-2023</t>
        </is>
      </c>
      <c r="B5459" s="1" t="n">
        <v>45271</v>
      </c>
      <c r="C5459" s="1" t="n">
        <v>45971</v>
      </c>
      <c r="D5459" t="inlineStr">
        <is>
          <t>VÄSTERBOTTENS LÄN</t>
        </is>
      </c>
      <c r="E5459" t="inlineStr">
        <is>
          <t>LYCKSELE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41977-2024</t>
        </is>
      </c>
      <c r="B5460" s="1" t="n">
        <v>45561.62664351852</v>
      </c>
      <c r="C5460" s="1" t="n">
        <v>45971</v>
      </c>
      <c r="D5460" t="inlineStr">
        <is>
          <t>VÄSTERBOTTENS LÄN</t>
        </is>
      </c>
      <c r="E5460" t="inlineStr">
        <is>
          <t>LYCKSELE</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41982-2024</t>
        </is>
      </c>
      <c r="B5461" s="1" t="n">
        <v>45561.63295138889</v>
      </c>
      <c r="C5461" s="1" t="n">
        <v>45971</v>
      </c>
      <c r="D5461" t="inlineStr">
        <is>
          <t>VÄSTERBOTTENS LÄN</t>
        </is>
      </c>
      <c r="E5461" t="inlineStr">
        <is>
          <t>LYCKSELE</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793-2024</t>
        </is>
      </c>
      <c r="B5462" s="1" t="n">
        <v>45300</v>
      </c>
      <c r="C5462" s="1" t="n">
        <v>45971</v>
      </c>
      <c r="D5462" t="inlineStr">
        <is>
          <t>VÄSTERBOTTENS LÄN</t>
        </is>
      </c>
      <c r="E5462" t="inlineStr">
        <is>
          <t>NORSJÖ</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21002-2024</t>
        </is>
      </c>
      <c r="B5463" s="1" t="n">
        <v>45439</v>
      </c>
      <c r="C5463" s="1" t="n">
        <v>45971</v>
      </c>
      <c r="D5463" t="inlineStr">
        <is>
          <t>VÄSTERBOTTENS LÄN</t>
        </is>
      </c>
      <c r="E5463" t="inlineStr">
        <is>
          <t>NORSJÖ</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19053-2023</t>
        </is>
      </c>
      <c r="B5464" s="1" t="n">
        <v>45047</v>
      </c>
      <c r="C5464" s="1" t="n">
        <v>45971</v>
      </c>
      <c r="D5464" t="inlineStr">
        <is>
          <t>VÄSTERBOTTENS LÄN</t>
        </is>
      </c>
      <c r="E5464" t="inlineStr">
        <is>
          <t>UMEÅ</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35808-2022</t>
        </is>
      </c>
      <c r="B5465" s="1" t="n">
        <v>44802.31871527778</v>
      </c>
      <c r="C5465" s="1" t="n">
        <v>45971</v>
      </c>
      <c r="D5465" t="inlineStr">
        <is>
          <t>VÄSTERBOTTENS LÄN</t>
        </is>
      </c>
      <c r="E5465" t="inlineStr">
        <is>
          <t>UMEÅ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35021-2021</t>
        </is>
      </c>
      <c r="B5466" s="1" t="n">
        <v>44383</v>
      </c>
      <c r="C5466" s="1" t="n">
        <v>45971</v>
      </c>
      <c r="D5466" t="inlineStr">
        <is>
          <t>VÄSTERBOTTENS LÄN</t>
        </is>
      </c>
      <c r="E5466" t="inlineStr">
        <is>
          <t>LYCKSELE</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18489-2025</t>
        </is>
      </c>
      <c r="B5467" s="1" t="n">
        <v>45763.33773148148</v>
      </c>
      <c r="C5467" s="1" t="n">
        <v>45971</v>
      </c>
      <c r="D5467" t="inlineStr">
        <is>
          <t>VÄSTERBOTTENS LÄN</t>
        </is>
      </c>
      <c r="E5467" t="inlineStr">
        <is>
          <t>VINDELN</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41562-2024</t>
        </is>
      </c>
      <c r="B5468" s="1" t="n">
        <v>45560.53184027778</v>
      </c>
      <c r="C5468" s="1" t="n">
        <v>45971</v>
      </c>
      <c r="D5468" t="inlineStr">
        <is>
          <t>VÄSTERBOTTENS LÄN</t>
        </is>
      </c>
      <c r="E5468" t="inlineStr">
        <is>
          <t>DOROTEA</t>
        </is>
      </c>
      <c r="F5468" t="inlineStr">
        <is>
          <t>SCA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28408-2023</t>
        </is>
      </c>
      <c r="B5469" s="1" t="n">
        <v>45101</v>
      </c>
      <c r="C5469" s="1" t="n">
        <v>45971</v>
      </c>
      <c r="D5469" t="inlineStr">
        <is>
          <t>VÄSTERBOTTENS LÄN</t>
        </is>
      </c>
      <c r="E5469" t="inlineStr">
        <is>
          <t>LYCKSELE</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43204-2024</t>
        </is>
      </c>
      <c r="B5470" s="1" t="n">
        <v>45567</v>
      </c>
      <c r="C5470" s="1" t="n">
        <v>45971</v>
      </c>
      <c r="D5470" t="inlineStr">
        <is>
          <t>VÄSTERBOTTENS LÄN</t>
        </is>
      </c>
      <c r="E5470" t="inlineStr">
        <is>
          <t>SKELLEFTEÅ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40013-2024</t>
        </is>
      </c>
      <c r="B5471" s="1" t="n">
        <v>45553</v>
      </c>
      <c r="C5471" s="1" t="n">
        <v>45971</v>
      </c>
      <c r="D5471" t="inlineStr">
        <is>
          <t>VÄSTERBOTTENS LÄN</t>
        </is>
      </c>
      <c r="E5471" t="inlineStr">
        <is>
          <t>DOROTEA</t>
        </is>
      </c>
      <c r="F5471" t="inlineStr">
        <is>
          <t>Övriga statliga verk och myndigheter</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40046-2024</t>
        </is>
      </c>
      <c r="B5472" s="1" t="n">
        <v>45553.76251157407</v>
      </c>
      <c r="C5472" s="1" t="n">
        <v>45971</v>
      </c>
      <c r="D5472" t="inlineStr">
        <is>
          <t>VÄSTERBOTTENS LÄN</t>
        </is>
      </c>
      <c r="E5472" t="inlineStr">
        <is>
          <t>ÅSELE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3780-2024</t>
        </is>
      </c>
      <c r="B5473" s="1" t="n">
        <v>45321.5905787037</v>
      </c>
      <c r="C5473" s="1" t="n">
        <v>45971</v>
      </c>
      <c r="D5473" t="inlineStr">
        <is>
          <t>VÄSTERBOTTENS LÄN</t>
        </is>
      </c>
      <c r="E5473" t="inlineStr">
        <is>
          <t>VINDELN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1470-2021</t>
        </is>
      </c>
      <c r="B5474" s="1" t="n">
        <v>44208</v>
      </c>
      <c r="C5474" s="1" t="n">
        <v>45971</v>
      </c>
      <c r="D5474" t="inlineStr">
        <is>
          <t>VÄSTERBOTTENS LÄN</t>
        </is>
      </c>
      <c r="E5474" t="inlineStr">
        <is>
          <t>VILHELMINA</t>
        </is>
      </c>
      <c r="F5474" t="inlineStr">
        <is>
          <t>SCA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71517-2021</t>
        </is>
      </c>
      <c r="B5475" s="1" t="n">
        <v>44538</v>
      </c>
      <c r="C5475" s="1" t="n">
        <v>45971</v>
      </c>
      <c r="D5475" t="inlineStr">
        <is>
          <t>VÄSTERBOTTENS LÄN</t>
        </is>
      </c>
      <c r="E5475" t="inlineStr">
        <is>
          <t>SORSELE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7429-2023</t>
        </is>
      </c>
      <c r="B5476" s="1" t="n">
        <v>44971</v>
      </c>
      <c r="C5476" s="1" t="n">
        <v>45971</v>
      </c>
      <c r="D5476" t="inlineStr">
        <is>
          <t>VÄSTERBOTTENS LÄN</t>
        </is>
      </c>
      <c r="E5476" t="inlineStr">
        <is>
          <t>DOROTEA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42995-2024</t>
        </is>
      </c>
      <c r="B5477" s="1" t="n">
        <v>45567.37570601852</v>
      </c>
      <c r="C5477" s="1" t="n">
        <v>45971</v>
      </c>
      <c r="D5477" t="inlineStr">
        <is>
          <t>VÄSTERBOTTENS LÄN</t>
        </is>
      </c>
      <c r="E5477" t="inlineStr">
        <is>
          <t>SKELLEFTEÅ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64254-2020</t>
        </is>
      </c>
      <c r="B5478" s="1" t="n">
        <v>44168</v>
      </c>
      <c r="C5478" s="1" t="n">
        <v>45971</v>
      </c>
      <c r="D5478" t="inlineStr">
        <is>
          <t>VÄSTERBOTTENS LÄN</t>
        </is>
      </c>
      <c r="E5478" t="inlineStr">
        <is>
          <t>VILHELMINA</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40846-2024</t>
        </is>
      </c>
      <c r="B5479" s="1" t="n">
        <v>45558.57508101852</v>
      </c>
      <c r="C5479" s="1" t="n">
        <v>45971</v>
      </c>
      <c r="D5479" t="inlineStr">
        <is>
          <t>VÄSTERBOTTENS LÄN</t>
        </is>
      </c>
      <c r="E5479" t="inlineStr">
        <is>
          <t>NORSJÖ</t>
        </is>
      </c>
      <c r="F5479" t="inlineStr">
        <is>
          <t>Holmen skog AB</t>
        </is>
      </c>
      <c r="G5479" t="n">
        <v>49.4</v>
      </c>
      <c r="H5479" t="n">
        <v>0</v>
      </c>
      <c r="I5479" t="n">
        <v>0</v>
      </c>
      <c r="J5479" t="n">
        <v>0</v>
      </c>
      <c r="K5479" t="n">
        <v>0</v>
      </c>
      <c r="L5479" t="n">
        <v>0</v>
      </c>
      <c r="M5479" t="n">
        <v>0</v>
      </c>
      <c r="N5479" t="n">
        <v>0</v>
      </c>
      <c r="O5479" t="n">
        <v>0</v>
      </c>
      <c r="P5479" t="n">
        <v>0</v>
      </c>
      <c r="Q5479" t="n">
        <v>0</v>
      </c>
      <c r="R5479" s="2" t="inlineStr"/>
    </row>
    <row r="5480" ht="15" customHeight="1">
      <c r="A5480" t="inlineStr">
        <is>
          <t>A 49587-2024</t>
        </is>
      </c>
      <c r="B5480" s="1" t="n">
        <v>45596</v>
      </c>
      <c r="C5480" s="1" t="n">
        <v>45971</v>
      </c>
      <c r="D5480" t="inlineStr">
        <is>
          <t>VÄSTERBOTTENS LÄN</t>
        </is>
      </c>
      <c r="E5480" t="inlineStr">
        <is>
          <t>VINDELN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8328-2023</t>
        </is>
      </c>
      <c r="B5481" s="1" t="n">
        <v>44974.84518518519</v>
      </c>
      <c r="C5481" s="1" t="n">
        <v>45971</v>
      </c>
      <c r="D5481" t="inlineStr">
        <is>
          <t>VÄSTERBOTTENS LÄN</t>
        </is>
      </c>
      <c r="E5481" t="inlineStr">
        <is>
          <t>SKELLEFTEÅ</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48744-2025</t>
        </is>
      </c>
      <c r="B5482" s="1" t="n">
        <v>45936.67855324074</v>
      </c>
      <c r="C5482" s="1" t="n">
        <v>45971</v>
      </c>
      <c r="D5482" t="inlineStr">
        <is>
          <t>VÄSTERBOTTENS LÄN</t>
        </is>
      </c>
      <c r="E5482" t="inlineStr">
        <is>
          <t>NORDMALING</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3559-2024</t>
        </is>
      </c>
      <c r="B5483" s="1" t="n">
        <v>45320</v>
      </c>
      <c r="C5483" s="1" t="n">
        <v>45971</v>
      </c>
      <c r="D5483" t="inlineStr">
        <is>
          <t>VÄSTERBOTTENS LÄN</t>
        </is>
      </c>
      <c r="E5483" t="inlineStr">
        <is>
          <t>ÅSELE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45200-2024</t>
        </is>
      </c>
      <c r="B5484" s="1" t="n">
        <v>45575.69085648148</v>
      </c>
      <c r="C5484" s="1" t="n">
        <v>45971</v>
      </c>
      <c r="D5484" t="inlineStr">
        <is>
          <t>VÄSTERBOTTENS LÄN</t>
        </is>
      </c>
      <c r="E5484" t="inlineStr">
        <is>
          <t>SKELLEFTEÅ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54793-2023</t>
        </is>
      </c>
      <c r="B5485" s="1" t="n">
        <v>45229</v>
      </c>
      <c r="C5485" s="1" t="n">
        <v>45971</v>
      </c>
      <c r="D5485" t="inlineStr">
        <is>
          <t>VÄSTERBOTTENS LÄN</t>
        </is>
      </c>
      <c r="E5485" t="inlineStr">
        <is>
          <t>VÄNNÄS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53775-2023</t>
        </is>
      </c>
      <c r="B5486" s="1" t="n">
        <v>45231.27434027778</v>
      </c>
      <c r="C5486" s="1" t="n">
        <v>45971</v>
      </c>
      <c r="D5486" t="inlineStr">
        <is>
          <t>VÄSTERBOTTENS LÄN</t>
        </is>
      </c>
      <c r="E5486" t="inlineStr">
        <is>
          <t>NORDMALING</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12537-2024</t>
        </is>
      </c>
      <c r="B5487" s="1" t="n">
        <v>45379</v>
      </c>
      <c r="C5487" s="1" t="n">
        <v>45971</v>
      </c>
      <c r="D5487" t="inlineStr">
        <is>
          <t>VÄSTERBOTTENS LÄN</t>
        </is>
      </c>
      <c r="E5487" t="inlineStr">
        <is>
          <t>SKELLEFTEÅ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49629-2021</t>
        </is>
      </c>
      <c r="B5488" s="1" t="n">
        <v>44455.43973379629</v>
      </c>
      <c r="C5488" s="1" t="n">
        <v>45971</v>
      </c>
      <c r="D5488" t="inlineStr">
        <is>
          <t>VÄSTERBOTTENS LÄN</t>
        </is>
      </c>
      <c r="E5488" t="inlineStr">
        <is>
          <t>VINDELN</t>
        </is>
      </c>
      <c r="F5488" t="inlineStr">
        <is>
          <t>Sveaskog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51544-2023</t>
        </is>
      </c>
      <c r="B5489" s="1" t="n">
        <v>45222.41521990741</v>
      </c>
      <c r="C5489" s="1" t="n">
        <v>45971</v>
      </c>
      <c r="D5489" t="inlineStr">
        <is>
          <t>VÄSTERBOTTENS LÄN</t>
        </is>
      </c>
      <c r="E5489" t="inlineStr">
        <is>
          <t>UMEÅ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53839-2023</t>
        </is>
      </c>
      <c r="B5490" s="1" t="n">
        <v>45231.43283564815</v>
      </c>
      <c r="C5490" s="1" t="n">
        <v>45971</v>
      </c>
      <c r="D5490" t="inlineStr">
        <is>
          <t>VÄSTERBOTTENS LÄN</t>
        </is>
      </c>
      <c r="E5490" t="inlineStr">
        <is>
          <t>LYCKSELE</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4053-2021</t>
        </is>
      </c>
      <c r="B5491" s="1" t="n">
        <v>44218</v>
      </c>
      <c r="C5491" s="1" t="n">
        <v>45971</v>
      </c>
      <c r="D5491" t="inlineStr">
        <is>
          <t>VÄSTERBOTTENS LÄN</t>
        </is>
      </c>
      <c r="E5491" t="inlineStr">
        <is>
          <t>SORSELE</t>
        </is>
      </c>
      <c r="F5491" t="inlineStr">
        <is>
          <t>Övriga Aktiebolag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1409-2023</t>
        </is>
      </c>
      <c r="B5492" s="1" t="n">
        <v>44936.86325231481</v>
      </c>
      <c r="C5492" s="1" t="n">
        <v>45971</v>
      </c>
      <c r="D5492" t="inlineStr">
        <is>
          <t>VÄSTERBOTTENS LÄN</t>
        </is>
      </c>
      <c r="E5492" t="inlineStr">
        <is>
          <t>ÅSELE</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9197-2023</t>
        </is>
      </c>
      <c r="B5493" s="1" t="n">
        <v>44977</v>
      </c>
      <c r="C5493" s="1" t="n">
        <v>45971</v>
      </c>
      <c r="D5493" t="inlineStr">
        <is>
          <t>VÄSTERBOTTENS LÄN</t>
        </is>
      </c>
      <c r="E5493" t="inlineStr">
        <is>
          <t>VILHELMINA</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15054-2024</t>
        </is>
      </c>
      <c r="B5494" s="1" t="n">
        <v>45399</v>
      </c>
      <c r="C5494" s="1" t="n">
        <v>45971</v>
      </c>
      <c r="D5494" t="inlineStr">
        <is>
          <t>VÄSTERBOTTENS LÄN</t>
        </is>
      </c>
      <c r="E5494" t="inlineStr">
        <is>
          <t>BJURHOLM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18009-2025</t>
        </is>
      </c>
      <c r="B5495" s="1" t="n">
        <v>45761</v>
      </c>
      <c r="C5495" s="1" t="n">
        <v>45971</v>
      </c>
      <c r="D5495" t="inlineStr">
        <is>
          <t>VÄSTERBOTTENS LÄN</t>
        </is>
      </c>
      <c r="E5495" t="inlineStr">
        <is>
          <t>ÅSELE</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24756-2024</t>
        </is>
      </c>
      <c r="B5496" s="1" t="n">
        <v>45460</v>
      </c>
      <c r="C5496" s="1" t="n">
        <v>45971</v>
      </c>
      <c r="D5496" t="inlineStr">
        <is>
          <t>VÄSTERBOTTENS LÄN</t>
        </is>
      </c>
      <c r="E5496" t="inlineStr">
        <is>
          <t>VINDELN</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8974-2022</t>
        </is>
      </c>
      <c r="B5497" s="1" t="n">
        <v>44614</v>
      </c>
      <c r="C5497" s="1" t="n">
        <v>45971</v>
      </c>
      <c r="D5497" t="inlineStr">
        <is>
          <t>VÄSTERBOTTENS LÄN</t>
        </is>
      </c>
      <c r="E5497" t="inlineStr">
        <is>
          <t>VINDELN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41126-2023</t>
        </is>
      </c>
      <c r="B5498" s="1" t="n">
        <v>45173</v>
      </c>
      <c r="C5498" s="1" t="n">
        <v>45971</v>
      </c>
      <c r="D5498" t="inlineStr">
        <is>
          <t>VÄSTERBOTTENS LÄN</t>
        </is>
      </c>
      <c r="E5498" t="inlineStr">
        <is>
          <t>MALÅ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42848-2024</t>
        </is>
      </c>
      <c r="B5499" s="1" t="n">
        <v>45566.63563657407</v>
      </c>
      <c r="C5499" s="1" t="n">
        <v>45971</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42852-2024</t>
        </is>
      </c>
      <c r="B5500" s="1" t="n">
        <v>45566.64449074074</v>
      </c>
      <c r="C5500" s="1" t="n">
        <v>45971</v>
      </c>
      <c r="D5500" t="inlineStr">
        <is>
          <t>VÄSTERBOTTENS LÄN</t>
        </is>
      </c>
      <c r="E5500" t="inlineStr">
        <is>
          <t>SKELLEFTEÅ</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4612-2022</t>
        </is>
      </c>
      <c r="B5501" s="1" t="n">
        <v>44592.37475694445</v>
      </c>
      <c r="C5501" s="1" t="n">
        <v>45971</v>
      </c>
      <c r="D5501" t="inlineStr">
        <is>
          <t>VÄSTERBOTTENS LÄN</t>
        </is>
      </c>
      <c r="E5501" t="inlineStr">
        <is>
          <t>ÅSELE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15176-2022</t>
        </is>
      </c>
      <c r="B5502" s="1" t="n">
        <v>44658</v>
      </c>
      <c r="C5502" s="1" t="n">
        <v>45971</v>
      </c>
      <c r="D5502" t="inlineStr">
        <is>
          <t>VÄSTERBOTTENS LÄN</t>
        </is>
      </c>
      <c r="E5502" t="inlineStr">
        <is>
          <t>VILHELMINA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45797-2024</t>
        </is>
      </c>
      <c r="B5503" s="1" t="n">
        <v>45579.67520833333</v>
      </c>
      <c r="C5503" s="1" t="n">
        <v>45971</v>
      </c>
      <c r="D5503" t="inlineStr">
        <is>
          <t>VÄSTERBOTTENS LÄN</t>
        </is>
      </c>
      <c r="E5503" t="inlineStr">
        <is>
          <t>UMEÅ</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56734-2022</t>
        </is>
      </c>
      <c r="B5504" s="1" t="n">
        <v>44893.94988425926</v>
      </c>
      <c r="C5504" s="1" t="n">
        <v>45971</v>
      </c>
      <c r="D5504" t="inlineStr">
        <is>
          <t>VÄSTERBOTTENS LÄN</t>
        </is>
      </c>
      <c r="E5504" t="inlineStr">
        <is>
          <t>NORDMALING</t>
        </is>
      </c>
      <c r="F5504" t="inlineStr">
        <is>
          <t>SCA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55483-2023</t>
        </is>
      </c>
      <c r="B5505" s="1" t="n">
        <v>45231</v>
      </c>
      <c r="C5505" s="1" t="n">
        <v>45971</v>
      </c>
      <c r="D5505" t="inlineStr">
        <is>
          <t>VÄSTERBOTTENS LÄN</t>
        </is>
      </c>
      <c r="E5505" t="inlineStr">
        <is>
          <t>VINDELN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4673-2023</t>
        </is>
      </c>
      <c r="B5506" s="1" t="n">
        <v>44952</v>
      </c>
      <c r="C5506" s="1" t="n">
        <v>45971</v>
      </c>
      <c r="D5506" t="inlineStr">
        <is>
          <t>VÄSTERBOTTENS LÄN</t>
        </is>
      </c>
      <c r="E5506" t="inlineStr">
        <is>
          <t>LYCKSELE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47807-2024</t>
        </is>
      </c>
      <c r="B5507" s="1" t="n">
        <v>45588</v>
      </c>
      <c r="C5507" s="1" t="n">
        <v>45971</v>
      </c>
      <c r="D5507" t="inlineStr">
        <is>
          <t>VÄSTERBOTTENS LÄN</t>
        </is>
      </c>
      <c r="E5507" t="inlineStr">
        <is>
          <t>LYCKSELE</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30584-2024</t>
        </is>
      </c>
      <c r="B5508" s="1" t="n">
        <v>45492.96185185185</v>
      </c>
      <c r="C5508" s="1" t="n">
        <v>45971</v>
      </c>
      <c r="D5508" t="inlineStr">
        <is>
          <t>VÄSTERBOTTENS LÄN</t>
        </is>
      </c>
      <c r="E5508" t="inlineStr">
        <is>
          <t>STORUMAN</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6344-2025</t>
        </is>
      </c>
      <c r="B5509" s="1" t="n">
        <v>45699.3434837963</v>
      </c>
      <c r="C5509" s="1" t="n">
        <v>45971</v>
      </c>
      <c r="D5509" t="inlineStr">
        <is>
          <t>VÄSTERBOTTENS LÄN</t>
        </is>
      </c>
      <c r="E5509" t="inlineStr">
        <is>
          <t>NORSJÖ</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57569-2022</t>
        </is>
      </c>
      <c r="B5510" s="1" t="n">
        <v>44896.92769675926</v>
      </c>
      <c r="C5510" s="1" t="n">
        <v>45971</v>
      </c>
      <c r="D5510" t="inlineStr">
        <is>
          <t>VÄSTERBOTTENS LÄN</t>
        </is>
      </c>
      <c r="E5510" t="inlineStr">
        <is>
          <t>SKELLEFTEÅ</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41960-2024</t>
        </is>
      </c>
      <c r="B5511" s="1" t="n">
        <v>45561</v>
      </c>
      <c r="C5511" s="1" t="n">
        <v>45971</v>
      </c>
      <c r="D5511" t="inlineStr">
        <is>
          <t>VÄSTERBOTTENS LÄN</t>
        </is>
      </c>
      <c r="E5511" t="inlineStr">
        <is>
          <t>ÅSELE</t>
        </is>
      </c>
      <c r="F5511" t="inlineStr">
        <is>
          <t>Holmen skog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34777-2021</t>
        </is>
      </c>
      <c r="B5512" s="1" t="n">
        <v>44382</v>
      </c>
      <c r="C5512" s="1" t="n">
        <v>45971</v>
      </c>
      <c r="D5512" t="inlineStr">
        <is>
          <t>VÄSTERBOTTENS LÄN</t>
        </is>
      </c>
      <c r="E5512" t="inlineStr">
        <is>
          <t>UMEÅ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38570-2025</t>
        </is>
      </c>
      <c r="B5513" s="1" t="n">
        <v>45884</v>
      </c>
      <c r="C5513" s="1" t="n">
        <v>45971</v>
      </c>
      <c r="D5513" t="inlineStr">
        <is>
          <t>VÄSTERBOTTENS LÄN</t>
        </is>
      </c>
      <c r="E5513" t="inlineStr">
        <is>
          <t>SKELLEFTEÅ</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39989-2025</t>
        </is>
      </c>
      <c r="B5514" s="1" t="n">
        <v>45891</v>
      </c>
      <c r="C5514" s="1" t="n">
        <v>45971</v>
      </c>
      <c r="D5514" t="inlineStr">
        <is>
          <t>VÄSTERBOTTENS LÄN</t>
        </is>
      </c>
      <c r="E5514" t="inlineStr">
        <is>
          <t>NORSJÖ</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39822-2025</t>
        </is>
      </c>
      <c r="B5515" s="1" t="n">
        <v>45891.53695601852</v>
      </c>
      <c r="C5515" s="1" t="n">
        <v>45971</v>
      </c>
      <c r="D5515" t="inlineStr">
        <is>
          <t>VÄSTERBOTTENS LÄN</t>
        </is>
      </c>
      <c r="E5515" t="inlineStr">
        <is>
          <t>ROBERTSFORS</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40088-2023</t>
        </is>
      </c>
      <c r="B5516" s="1" t="n">
        <v>45168</v>
      </c>
      <c r="C5516" s="1" t="n">
        <v>45971</v>
      </c>
      <c r="D5516" t="inlineStr">
        <is>
          <t>VÄSTERBOTTENS LÄN</t>
        </is>
      </c>
      <c r="E5516" t="inlineStr">
        <is>
          <t>NORSJÖ</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17961-2025</t>
        </is>
      </c>
      <c r="B5517" s="1" t="n">
        <v>45761.32622685185</v>
      </c>
      <c r="C5517" s="1" t="n">
        <v>45971</v>
      </c>
      <c r="D5517" t="inlineStr">
        <is>
          <t>VÄSTERBOTTENS LÄN</t>
        </is>
      </c>
      <c r="E5517" t="inlineStr">
        <is>
          <t>SKELLEFTEÅ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40142-2023</t>
        </is>
      </c>
      <c r="B5518" s="1" t="n">
        <v>45168</v>
      </c>
      <c r="C5518" s="1" t="n">
        <v>45971</v>
      </c>
      <c r="D5518" t="inlineStr">
        <is>
          <t>VÄSTERBOTTENS LÄN</t>
        </is>
      </c>
      <c r="E5518" t="inlineStr">
        <is>
          <t>BJURHOLM</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21854-2024</t>
        </is>
      </c>
      <c r="B5519" s="1" t="n">
        <v>45442</v>
      </c>
      <c r="C5519" s="1" t="n">
        <v>45971</v>
      </c>
      <c r="D5519" t="inlineStr">
        <is>
          <t>VÄSTERBOTTENS LÄN</t>
        </is>
      </c>
      <c r="E5519" t="inlineStr">
        <is>
          <t>SKELLEFTEÅ</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3250-2025</t>
        </is>
      </c>
      <c r="B5520" s="1" t="n">
        <v>45679</v>
      </c>
      <c r="C5520" s="1" t="n">
        <v>45971</v>
      </c>
      <c r="D5520" t="inlineStr">
        <is>
          <t>VÄSTERBOTTENS LÄN</t>
        </is>
      </c>
      <c r="E5520" t="inlineStr">
        <is>
          <t>ÅSELE</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35755-2023</t>
        </is>
      </c>
      <c r="B5521" s="1" t="n">
        <v>45147.9540625</v>
      </c>
      <c r="C5521" s="1" t="n">
        <v>45971</v>
      </c>
      <c r="D5521" t="inlineStr">
        <is>
          <t>VÄSTERBOTTENS LÄN</t>
        </is>
      </c>
      <c r="E5521" t="inlineStr">
        <is>
          <t>VILHELMINA</t>
        </is>
      </c>
      <c r="F5521" t="inlineStr">
        <is>
          <t>SCA</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35780-2023</t>
        </is>
      </c>
      <c r="B5522" s="1" t="n">
        <v>45148.3397337963</v>
      </c>
      <c r="C5522" s="1" t="n">
        <v>45971</v>
      </c>
      <c r="D5522" t="inlineStr">
        <is>
          <t>VÄSTERBOTTENS LÄN</t>
        </is>
      </c>
      <c r="E5522" t="inlineStr">
        <is>
          <t>ÅSELE</t>
        </is>
      </c>
      <c r="F5522" t="inlineStr">
        <is>
          <t>Holmen skog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35787-2023</t>
        </is>
      </c>
      <c r="B5523" s="1" t="n">
        <v>45148.37356481481</v>
      </c>
      <c r="C5523" s="1" t="n">
        <v>45971</v>
      </c>
      <c r="D5523" t="inlineStr">
        <is>
          <t>VÄSTERBOTTENS LÄN</t>
        </is>
      </c>
      <c r="E5523" t="inlineStr">
        <is>
          <t>ROBERTSFORS</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15767-2024</t>
        </is>
      </c>
      <c r="B5524" s="1" t="n">
        <v>45404</v>
      </c>
      <c r="C5524" s="1" t="n">
        <v>45971</v>
      </c>
      <c r="D5524" t="inlineStr">
        <is>
          <t>VÄSTERBOTTENS LÄN</t>
        </is>
      </c>
      <c r="E5524" t="inlineStr">
        <is>
          <t>UMEÅ</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43434-2024</t>
        </is>
      </c>
      <c r="B5525" s="1" t="n">
        <v>45568.64591435185</v>
      </c>
      <c r="C5525" s="1" t="n">
        <v>45971</v>
      </c>
      <c r="D5525" t="inlineStr">
        <is>
          <t>VÄSTERBOTTENS LÄN</t>
        </is>
      </c>
      <c r="E5525" t="inlineStr">
        <is>
          <t>SKELLEFTEÅ</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11822-2023</t>
        </is>
      </c>
      <c r="B5526" s="1" t="n">
        <v>44994.94163194444</v>
      </c>
      <c r="C5526" s="1" t="n">
        <v>45971</v>
      </c>
      <c r="D5526" t="inlineStr">
        <is>
          <t>VÄSTERBOTTENS LÄN</t>
        </is>
      </c>
      <c r="E5526" t="inlineStr">
        <is>
          <t>LYCKSELE</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8502-2024</t>
        </is>
      </c>
      <c r="B5527" s="1" t="n">
        <v>45351</v>
      </c>
      <c r="C5527" s="1" t="n">
        <v>45971</v>
      </c>
      <c r="D5527" t="inlineStr">
        <is>
          <t>VÄSTERBOTTENS LÄN</t>
        </is>
      </c>
      <c r="E5527" t="inlineStr">
        <is>
          <t>BJURHOLM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38166-2024</t>
        </is>
      </c>
      <c r="B5528" s="1" t="n">
        <v>45545.4500462963</v>
      </c>
      <c r="C5528" s="1" t="n">
        <v>45971</v>
      </c>
      <c r="D5528" t="inlineStr">
        <is>
          <t>VÄSTERBOTTENS LÄN</t>
        </is>
      </c>
      <c r="E5528" t="inlineStr">
        <is>
          <t>SORSELE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28688-2023</t>
        </is>
      </c>
      <c r="B5529" s="1" t="n">
        <v>45103</v>
      </c>
      <c r="C5529" s="1" t="n">
        <v>45971</v>
      </c>
      <c r="D5529" t="inlineStr">
        <is>
          <t>VÄSTERBOTTENS LÄN</t>
        </is>
      </c>
      <c r="E5529" t="inlineStr">
        <is>
          <t>SORSELE</t>
        </is>
      </c>
      <c r="F5529" t="inlineStr">
        <is>
          <t>Sveaskog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39977-2025</t>
        </is>
      </c>
      <c r="B5530" s="1" t="n">
        <v>45893.65675925926</v>
      </c>
      <c r="C5530" s="1" t="n">
        <v>45971</v>
      </c>
      <c r="D5530" t="inlineStr">
        <is>
          <t>VÄSTERBOTTENS LÄN</t>
        </is>
      </c>
      <c r="E5530" t="inlineStr">
        <is>
          <t>DOROTEA</t>
        </is>
      </c>
      <c r="F5530" t="inlineStr">
        <is>
          <t>SCA</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28550-2023</t>
        </is>
      </c>
      <c r="B5531" s="1" t="n">
        <v>45103.50481481481</v>
      </c>
      <c r="C5531" s="1" t="n">
        <v>45971</v>
      </c>
      <c r="D5531" t="inlineStr">
        <is>
          <t>VÄSTERBOTTENS LÄN</t>
        </is>
      </c>
      <c r="E5531" t="inlineStr">
        <is>
          <t>LYCKSELE</t>
        </is>
      </c>
      <c r="F5531" t="inlineStr">
        <is>
          <t>Sveaskog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41251-2024</t>
        </is>
      </c>
      <c r="B5532" s="1" t="n">
        <v>45559</v>
      </c>
      <c r="C5532" s="1" t="n">
        <v>45971</v>
      </c>
      <c r="D5532" t="inlineStr">
        <is>
          <t>VÄSTERBOTTENS LÄN</t>
        </is>
      </c>
      <c r="E5532" t="inlineStr">
        <is>
          <t>SORSELE</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48198-2025</t>
        </is>
      </c>
      <c r="B5533" s="1" t="n">
        <v>45933.47787037037</v>
      </c>
      <c r="C5533" s="1" t="n">
        <v>45971</v>
      </c>
      <c r="D5533" t="inlineStr">
        <is>
          <t>VÄSTERBOTTENS LÄN</t>
        </is>
      </c>
      <c r="E5533" t="inlineStr">
        <is>
          <t>VINDELN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48498-2025</t>
        </is>
      </c>
      <c r="B5534" s="1" t="n">
        <v>45936.37527777778</v>
      </c>
      <c r="C5534" s="1" t="n">
        <v>45971</v>
      </c>
      <c r="D5534" t="inlineStr">
        <is>
          <t>VÄSTERBOTTENS LÄN</t>
        </is>
      </c>
      <c r="E5534" t="inlineStr">
        <is>
          <t>LYCKSELE</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5783-2023</t>
        </is>
      </c>
      <c r="B5535" s="1" t="n">
        <v>44963</v>
      </c>
      <c r="C5535" s="1" t="n">
        <v>45971</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24037-2025</t>
        </is>
      </c>
      <c r="B5536" s="1" t="n">
        <v>45796.48409722222</v>
      </c>
      <c r="C5536" s="1" t="n">
        <v>45971</v>
      </c>
      <c r="D5536" t="inlineStr">
        <is>
          <t>VÄSTERBOTTENS LÄN</t>
        </is>
      </c>
      <c r="E5536" t="inlineStr">
        <is>
          <t>NORDMALING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36219-2023</t>
        </is>
      </c>
      <c r="B5537" s="1" t="n">
        <v>45149.95310185185</v>
      </c>
      <c r="C5537" s="1" t="n">
        <v>45971</v>
      </c>
      <c r="D5537" t="inlineStr">
        <is>
          <t>VÄSTERBOTTENS LÄN</t>
        </is>
      </c>
      <c r="E5537" t="inlineStr">
        <is>
          <t>VILHELMINA</t>
        </is>
      </c>
      <c r="F5537" t="inlineStr">
        <is>
          <t>SCA</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37508-2024</t>
        </is>
      </c>
      <c r="B5538" s="1" t="n">
        <v>45541.38083333334</v>
      </c>
      <c r="C5538" s="1" t="n">
        <v>45971</v>
      </c>
      <c r="D5538" t="inlineStr">
        <is>
          <t>VÄSTERBOTTENS LÄN</t>
        </is>
      </c>
      <c r="E5538" t="inlineStr">
        <is>
          <t>LYCKSELE</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37514-2024</t>
        </is>
      </c>
      <c r="B5539" s="1" t="n">
        <v>45541.38586805556</v>
      </c>
      <c r="C5539" s="1" t="n">
        <v>45971</v>
      </c>
      <c r="D5539" t="inlineStr">
        <is>
          <t>VÄSTERBOTTENS LÄN</t>
        </is>
      </c>
      <c r="E5539" t="inlineStr">
        <is>
          <t>VILHELMINA</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37547-2024</t>
        </is>
      </c>
      <c r="B5540" s="1" t="n">
        <v>45541.42965277778</v>
      </c>
      <c r="C5540" s="1" t="n">
        <v>45971</v>
      </c>
      <c r="D5540" t="inlineStr">
        <is>
          <t>VÄSTERBOTTENS LÄN</t>
        </is>
      </c>
      <c r="E5540" t="inlineStr">
        <is>
          <t>SKELLEFTEÅ</t>
        </is>
      </c>
      <c r="F5540" t="inlineStr">
        <is>
          <t>Holmen skog AB</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16461-2025</t>
        </is>
      </c>
      <c r="B5541" s="1" t="n">
        <v>45750</v>
      </c>
      <c r="C5541" s="1" t="n">
        <v>45971</v>
      </c>
      <c r="D5541" t="inlineStr">
        <is>
          <t>VÄSTERBOTTENS LÄN</t>
        </is>
      </c>
      <c r="E5541" t="inlineStr">
        <is>
          <t>SKELLEFTEÅ</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30733-2024</t>
        </is>
      </c>
      <c r="B5542" s="1" t="n">
        <v>45496.62179398148</v>
      </c>
      <c r="C5542" s="1" t="n">
        <v>45971</v>
      </c>
      <c r="D5542" t="inlineStr">
        <is>
          <t>VÄSTERBOTTENS LÄN</t>
        </is>
      </c>
      <c r="E5542" t="inlineStr">
        <is>
          <t>ROBERTSFORS</t>
        </is>
      </c>
      <c r="F5542" t="inlineStr">
        <is>
          <t>Holmen skog AB</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5247-2024</t>
        </is>
      </c>
      <c r="B5543" s="1" t="n">
        <v>45330.93173611111</v>
      </c>
      <c r="C5543" s="1" t="n">
        <v>45971</v>
      </c>
      <c r="D5543" t="inlineStr">
        <is>
          <t>VÄSTERBOTTENS LÄN</t>
        </is>
      </c>
      <c r="E5543" t="inlineStr">
        <is>
          <t>ÅSELE</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30745-2024</t>
        </is>
      </c>
      <c r="B5544" s="1" t="n">
        <v>45496</v>
      </c>
      <c r="C5544" s="1" t="n">
        <v>45971</v>
      </c>
      <c r="D5544" t="inlineStr">
        <is>
          <t>VÄSTERBOTTENS LÄN</t>
        </is>
      </c>
      <c r="E5544" t="inlineStr">
        <is>
          <t>STORUMAN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14746-2025</t>
        </is>
      </c>
      <c r="B5545" s="1" t="n">
        <v>45742.65662037037</v>
      </c>
      <c r="C5545" s="1" t="n">
        <v>45971</v>
      </c>
      <c r="D5545" t="inlineStr">
        <is>
          <t>VÄSTERBOTTENS LÄN</t>
        </is>
      </c>
      <c r="E5545" t="inlineStr">
        <is>
          <t>NORSJÖ</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53639-2022</t>
        </is>
      </c>
      <c r="B5546" s="1" t="n">
        <v>44879.92975694445</v>
      </c>
      <c r="C5546" s="1" t="n">
        <v>45971</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15740-2022</t>
        </is>
      </c>
      <c r="B5547" s="1" t="n">
        <v>44663.51881944444</v>
      </c>
      <c r="C5547" s="1" t="n">
        <v>45971</v>
      </c>
      <c r="D5547" t="inlineStr">
        <is>
          <t>VÄSTERBOTTENS LÄN</t>
        </is>
      </c>
      <c r="E5547" t="inlineStr">
        <is>
          <t>SKELLEFTEÅ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59133-2024</t>
        </is>
      </c>
      <c r="B5548" s="1" t="n">
        <v>45636</v>
      </c>
      <c r="C5548" s="1" t="n">
        <v>45971</v>
      </c>
      <c r="D5548" t="inlineStr">
        <is>
          <t>VÄSTERBOTTENS LÄN</t>
        </is>
      </c>
      <c r="E5548" t="inlineStr">
        <is>
          <t>NORSJÖ</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46842-2023</t>
        </is>
      </c>
      <c r="B5549" s="1" t="n">
        <v>45199.72377314815</v>
      </c>
      <c r="C5549" s="1" t="n">
        <v>45971</v>
      </c>
      <c r="D5549" t="inlineStr">
        <is>
          <t>VÄSTERBOTTENS LÄN</t>
        </is>
      </c>
      <c r="E5549" t="inlineStr">
        <is>
          <t>ROBERTSFORS</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14795-2025</t>
        </is>
      </c>
      <c r="B5550" s="1" t="n">
        <v>45742.87837962963</v>
      </c>
      <c r="C5550" s="1" t="n">
        <v>45971</v>
      </c>
      <c r="D5550" t="inlineStr">
        <is>
          <t>VÄSTERBOTTENS LÄN</t>
        </is>
      </c>
      <c r="E5550" t="inlineStr">
        <is>
          <t>LYCKSELE</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3099-2025</t>
        </is>
      </c>
      <c r="B5551" s="1" t="n">
        <v>45678.66674768519</v>
      </c>
      <c r="C5551" s="1" t="n">
        <v>45971</v>
      </c>
      <c r="D5551" t="inlineStr">
        <is>
          <t>VÄSTERBOTTENS LÄN</t>
        </is>
      </c>
      <c r="E5551" t="inlineStr">
        <is>
          <t>DOROTEA</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1089-2024</t>
        </is>
      </c>
      <c r="B5552" s="1" t="n">
        <v>45301</v>
      </c>
      <c r="C5552" s="1" t="n">
        <v>45971</v>
      </c>
      <c r="D5552" t="inlineStr">
        <is>
          <t>VÄSTERBOTTENS LÄN</t>
        </is>
      </c>
      <c r="E5552" t="inlineStr">
        <is>
          <t>UMEÅ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40028-2025</t>
        </is>
      </c>
      <c r="B5553" s="1" t="n">
        <v>45894.37039351852</v>
      </c>
      <c r="C5553" s="1" t="n">
        <v>45971</v>
      </c>
      <c r="D5553" t="inlineStr">
        <is>
          <t>VÄSTERBOTTENS LÄN</t>
        </is>
      </c>
      <c r="E5553" t="inlineStr">
        <is>
          <t>ÅSELE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22319-2022</t>
        </is>
      </c>
      <c r="B5554" s="1" t="n">
        <v>44712.92430555556</v>
      </c>
      <c r="C5554" s="1" t="n">
        <v>45971</v>
      </c>
      <c r="D5554" t="inlineStr">
        <is>
          <t>VÄSTERBOTTENS LÄN</t>
        </is>
      </c>
      <c r="E5554" t="inlineStr">
        <is>
          <t>STORUMAN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35758-2023</t>
        </is>
      </c>
      <c r="B5555" s="1" t="n">
        <v>45147.95452546296</v>
      </c>
      <c r="C5555" s="1" t="n">
        <v>45971</v>
      </c>
      <c r="D5555" t="inlineStr">
        <is>
          <t>VÄSTERBOTTENS LÄN</t>
        </is>
      </c>
      <c r="E5555" t="inlineStr">
        <is>
          <t>VILHELMINA</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57697-2024</t>
        </is>
      </c>
      <c r="B5556" s="1" t="n">
        <v>45630.66277777778</v>
      </c>
      <c r="C5556" s="1" t="n">
        <v>45971</v>
      </c>
      <c r="D5556" t="inlineStr">
        <is>
          <t>VÄSTERBOTTENS LÄN</t>
        </is>
      </c>
      <c r="E5556" t="inlineStr">
        <is>
          <t>BJURHOLM</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11157-2022</t>
        </is>
      </c>
      <c r="B5557" s="1" t="n">
        <v>44629.39452546297</v>
      </c>
      <c r="C5557" s="1" t="n">
        <v>45971</v>
      </c>
      <c r="D5557" t="inlineStr">
        <is>
          <t>VÄSTERBOTTENS LÄN</t>
        </is>
      </c>
      <c r="E5557" t="inlineStr">
        <is>
          <t>UMEÅ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10978-2025</t>
        </is>
      </c>
      <c r="B5558" s="1" t="n">
        <v>45723</v>
      </c>
      <c r="C5558" s="1" t="n">
        <v>45971</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10980-2025</t>
        </is>
      </c>
      <c r="B5559" s="1" t="n">
        <v>45723</v>
      </c>
      <c r="C5559" s="1" t="n">
        <v>45971</v>
      </c>
      <c r="D5559" t="inlineStr">
        <is>
          <t>VÄSTERBOTTENS LÄN</t>
        </is>
      </c>
      <c r="E5559" t="inlineStr">
        <is>
          <t>SKELLEFTEÅ</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25801-2024</t>
        </is>
      </c>
      <c r="B5560" s="1" t="n">
        <v>45467.35814814815</v>
      </c>
      <c r="C5560" s="1" t="n">
        <v>45971</v>
      </c>
      <c r="D5560" t="inlineStr">
        <is>
          <t>VÄSTERBOTTENS LÄN</t>
        </is>
      </c>
      <c r="E5560" t="inlineStr">
        <is>
          <t>BJURHOLM</t>
        </is>
      </c>
      <c r="F5560" t="inlineStr">
        <is>
          <t>Holmen skog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41096-2024</t>
        </is>
      </c>
      <c r="B5561" s="1" t="n">
        <v>45559.43212962963</v>
      </c>
      <c r="C5561" s="1" t="n">
        <v>45971</v>
      </c>
      <c r="D5561" t="inlineStr">
        <is>
          <t>VÄSTERBOTTENS LÄN</t>
        </is>
      </c>
      <c r="E5561" t="inlineStr">
        <is>
          <t>VINDELN</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41105-2024</t>
        </is>
      </c>
      <c r="B5562" s="1" t="n">
        <v>45559.44234953704</v>
      </c>
      <c r="C5562" s="1" t="n">
        <v>45971</v>
      </c>
      <c r="D5562" t="inlineStr">
        <is>
          <t>VÄSTERBOTTENS LÄN</t>
        </is>
      </c>
      <c r="E5562" t="inlineStr">
        <is>
          <t>LYCKSELE</t>
        </is>
      </c>
      <c r="F5562" t="inlineStr">
        <is>
          <t>Sveaskog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41107-2024</t>
        </is>
      </c>
      <c r="B5563" s="1" t="n">
        <v>45559.44841435185</v>
      </c>
      <c r="C5563" s="1" t="n">
        <v>45971</v>
      </c>
      <c r="D5563" t="inlineStr">
        <is>
          <t>VÄSTERBOTTENS LÄN</t>
        </is>
      </c>
      <c r="E5563" t="inlineStr">
        <is>
          <t>VINDELN</t>
        </is>
      </c>
      <c r="F5563" t="inlineStr">
        <is>
          <t>Sveaskog</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41113-2024</t>
        </is>
      </c>
      <c r="B5564" s="1" t="n">
        <v>45559.45069444444</v>
      </c>
      <c r="C5564" s="1" t="n">
        <v>45971</v>
      </c>
      <c r="D5564" t="inlineStr">
        <is>
          <t>VÄSTERBOTTENS LÄN</t>
        </is>
      </c>
      <c r="E5564" t="inlineStr">
        <is>
          <t>VINDELN</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27253-2024</t>
        </is>
      </c>
      <c r="B5565" s="1" t="n">
        <v>45471.70609953703</v>
      </c>
      <c r="C5565" s="1" t="n">
        <v>45971</v>
      </c>
      <c r="D5565" t="inlineStr">
        <is>
          <t>VÄSTERBOTTENS LÄN</t>
        </is>
      </c>
      <c r="E5565" t="inlineStr">
        <is>
          <t>SKELLEFTEÅ</t>
        </is>
      </c>
      <c r="F5565" t="inlineStr">
        <is>
          <t>Holmen skog AB</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27542-2024</t>
        </is>
      </c>
      <c r="B5566" s="1" t="n">
        <v>45474.59413194445</v>
      </c>
      <c r="C5566" s="1" t="n">
        <v>45971</v>
      </c>
      <c r="D5566" t="inlineStr">
        <is>
          <t>VÄSTERBOTTENS LÄN</t>
        </is>
      </c>
      <c r="E5566" t="inlineStr">
        <is>
          <t>SKELLEFTEÅ</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41771-2024</t>
        </is>
      </c>
      <c r="B5567" s="1" t="n">
        <v>45561.34652777778</v>
      </c>
      <c r="C5567" s="1" t="n">
        <v>45971</v>
      </c>
      <c r="D5567" t="inlineStr">
        <is>
          <t>VÄSTERBOTTENS LÄN</t>
        </is>
      </c>
      <c r="E5567" t="inlineStr">
        <is>
          <t>DOROTEA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33080-2024</t>
        </is>
      </c>
      <c r="B5568" s="1" t="n">
        <v>45517.67284722222</v>
      </c>
      <c r="C5568" s="1" t="n">
        <v>45971</v>
      </c>
      <c r="D5568" t="inlineStr">
        <is>
          <t>VÄSTERBOTTENS LÄN</t>
        </is>
      </c>
      <c r="E5568" t="inlineStr">
        <is>
          <t>NORSJÖ</t>
        </is>
      </c>
      <c r="F5568" t="inlineStr">
        <is>
          <t>Holmen skog AB</t>
        </is>
      </c>
      <c r="G5568" t="n">
        <v>25.2</v>
      </c>
      <c r="H5568" t="n">
        <v>0</v>
      </c>
      <c r="I5568" t="n">
        <v>0</v>
      </c>
      <c r="J5568" t="n">
        <v>0</v>
      </c>
      <c r="K5568" t="n">
        <v>0</v>
      </c>
      <c r="L5568" t="n">
        <v>0</v>
      </c>
      <c r="M5568" t="n">
        <v>0</v>
      </c>
      <c r="N5568" t="n">
        <v>0</v>
      </c>
      <c r="O5568" t="n">
        <v>0</v>
      </c>
      <c r="P5568" t="n">
        <v>0</v>
      </c>
      <c r="Q5568" t="n">
        <v>0</v>
      </c>
      <c r="R5568" s="2" t="inlineStr"/>
    </row>
    <row r="5569" ht="15" customHeight="1">
      <c r="A5569" t="inlineStr">
        <is>
          <t>A 28957-2023</t>
        </is>
      </c>
      <c r="B5569" s="1" t="n">
        <v>45104</v>
      </c>
      <c r="C5569" s="1" t="n">
        <v>45971</v>
      </c>
      <c r="D5569" t="inlineStr">
        <is>
          <t>VÄSTERBOTTENS LÄN</t>
        </is>
      </c>
      <c r="E5569" t="inlineStr">
        <is>
          <t>STORUMAN</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55919-2023</t>
        </is>
      </c>
      <c r="B5570" s="1" t="n">
        <v>45239.9687962963</v>
      </c>
      <c r="C5570" s="1" t="n">
        <v>45971</v>
      </c>
      <c r="D5570" t="inlineStr">
        <is>
          <t>VÄSTERBOTTENS LÄN</t>
        </is>
      </c>
      <c r="E5570" t="inlineStr">
        <is>
          <t>DOROTEA</t>
        </is>
      </c>
      <c r="F5570" t="inlineStr">
        <is>
          <t>SCA</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33040-2024</t>
        </is>
      </c>
      <c r="B5571" s="1" t="n">
        <v>45517.61046296296</v>
      </c>
      <c r="C5571" s="1" t="n">
        <v>45971</v>
      </c>
      <c r="D5571" t="inlineStr">
        <is>
          <t>VÄSTERBOTTENS LÄN</t>
        </is>
      </c>
      <c r="E5571" t="inlineStr">
        <is>
          <t>VINDELN</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31475-2024</t>
        </is>
      </c>
      <c r="B5572" s="1" t="n">
        <v>45505.95209490741</v>
      </c>
      <c r="C5572" s="1" t="n">
        <v>45971</v>
      </c>
      <c r="D5572" t="inlineStr">
        <is>
          <t>VÄSTERBOTTENS LÄN</t>
        </is>
      </c>
      <c r="E5572" t="inlineStr">
        <is>
          <t>ÅSELE</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28959-2023</t>
        </is>
      </c>
      <c r="B5573" s="1" t="n">
        <v>45104</v>
      </c>
      <c r="C5573" s="1" t="n">
        <v>45971</v>
      </c>
      <c r="D5573" t="inlineStr">
        <is>
          <t>VÄSTERBOTTENS LÄN</t>
        </is>
      </c>
      <c r="E5573" t="inlineStr">
        <is>
          <t>SORSELE</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28966-2023</t>
        </is>
      </c>
      <c r="B5574" s="1" t="n">
        <v>45104</v>
      </c>
      <c r="C5574" s="1" t="n">
        <v>45971</v>
      </c>
      <c r="D5574" t="inlineStr">
        <is>
          <t>VÄSTERBOTTENS LÄN</t>
        </is>
      </c>
      <c r="E5574" t="inlineStr">
        <is>
          <t>NORSJÖ</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7382-2022</t>
        </is>
      </c>
      <c r="B5575" s="1" t="n">
        <v>44606.61752314815</v>
      </c>
      <c r="C5575" s="1" t="n">
        <v>45971</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10659-2024</t>
        </is>
      </c>
      <c r="B5576" s="1" t="n">
        <v>45369.30447916667</v>
      </c>
      <c r="C5576" s="1" t="n">
        <v>45971</v>
      </c>
      <c r="D5576" t="inlineStr">
        <is>
          <t>VÄSTERBOTTENS LÄN</t>
        </is>
      </c>
      <c r="E5576" t="inlineStr">
        <is>
          <t>SKELLEFTEÅ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48204-2024</t>
        </is>
      </c>
      <c r="B5577" s="1" t="n">
        <v>45589</v>
      </c>
      <c r="C5577" s="1" t="n">
        <v>45971</v>
      </c>
      <c r="D5577" t="inlineStr">
        <is>
          <t>VÄSTERBOTTENS LÄN</t>
        </is>
      </c>
      <c r="E5577" t="inlineStr">
        <is>
          <t>SKELLEFTEÅ</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16013-2025</t>
        </is>
      </c>
      <c r="B5578" s="1" t="n">
        <v>45749.60484953703</v>
      </c>
      <c r="C5578" s="1" t="n">
        <v>45971</v>
      </c>
      <c r="D5578" t="inlineStr">
        <is>
          <t>VÄSTERBOTTENS LÄN</t>
        </is>
      </c>
      <c r="E5578" t="inlineStr">
        <is>
          <t>BJURHOLM</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16030-2025</t>
        </is>
      </c>
      <c r="B5579" s="1" t="n">
        <v>45748</v>
      </c>
      <c r="C5579" s="1" t="n">
        <v>45971</v>
      </c>
      <c r="D5579" t="inlineStr">
        <is>
          <t>VÄSTERBOTTENS LÄN</t>
        </is>
      </c>
      <c r="E5579" t="inlineStr">
        <is>
          <t>NORSJÖ</t>
        </is>
      </c>
      <c r="G5579" t="n">
        <v>13.1</v>
      </c>
      <c r="H5579" t="n">
        <v>0</v>
      </c>
      <c r="I5579" t="n">
        <v>0</v>
      </c>
      <c r="J5579" t="n">
        <v>0</v>
      </c>
      <c r="K5579" t="n">
        <v>0</v>
      </c>
      <c r="L5579" t="n">
        <v>0</v>
      </c>
      <c r="M5579" t="n">
        <v>0</v>
      </c>
      <c r="N5579" t="n">
        <v>0</v>
      </c>
      <c r="O5579" t="n">
        <v>0</v>
      </c>
      <c r="P5579" t="n">
        <v>0</v>
      </c>
      <c r="Q5579" t="n">
        <v>0</v>
      </c>
      <c r="R5579" s="2" t="inlineStr"/>
    </row>
    <row r="5580" ht="15" customHeight="1">
      <c r="A5580" t="inlineStr">
        <is>
          <t>A 30461-2024</t>
        </is>
      </c>
      <c r="B5580" s="1" t="n">
        <v>45491</v>
      </c>
      <c r="C5580" s="1" t="n">
        <v>45971</v>
      </c>
      <c r="D5580" t="inlineStr">
        <is>
          <t>VÄSTERBOTTENS LÄN</t>
        </is>
      </c>
      <c r="E5580" t="inlineStr">
        <is>
          <t>DOROTEA</t>
        </is>
      </c>
      <c r="F5580" t="inlineStr">
        <is>
          <t>SCA</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40039-2025</t>
        </is>
      </c>
      <c r="B5581" s="1" t="n">
        <v>45894.39484953704</v>
      </c>
      <c r="C5581" s="1" t="n">
        <v>45971</v>
      </c>
      <c r="D5581" t="inlineStr">
        <is>
          <t>VÄSTERBOTTENS LÄN</t>
        </is>
      </c>
      <c r="E5581" t="inlineStr">
        <is>
          <t>UMEÅ</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40040-2025</t>
        </is>
      </c>
      <c r="B5582" s="1" t="n">
        <v>45894.39736111111</v>
      </c>
      <c r="C5582" s="1" t="n">
        <v>45971</v>
      </c>
      <c r="D5582" t="inlineStr">
        <is>
          <t>VÄSTERBOTTENS LÄN</t>
        </is>
      </c>
      <c r="E5582" t="inlineStr">
        <is>
          <t>UMEÅ</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48098-2025</t>
        </is>
      </c>
      <c r="B5583" s="1" t="n">
        <v>45933.32584490741</v>
      </c>
      <c r="C5583" s="1" t="n">
        <v>45971</v>
      </c>
      <c r="D5583" t="inlineStr">
        <is>
          <t>VÄSTERBOTTENS LÄN</t>
        </is>
      </c>
      <c r="E5583" t="inlineStr">
        <is>
          <t>SKELLEFTEÅ</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48466-2025</t>
        </is>
      </c>
      <c r="B5584" s="1" t="n">
        <v>45936.34415509259</v>
      </c>
      <c r="C5584" s="1" t="n">
        <v>45971</v>
      </c>
      <c r="D5584" t="inlineStr">
        <is>
          <t>VÄSTERBOTTENS LÄN</t>
        </is>
      </c>
      <c r="E5584" t="inlineStr">
        <is>
          <t>ROBERTSFORS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21370-2024</t>
        </is>
      </c>
      <c r="B5585" s="1" t="n">
        <v>45440.95310185185</v>
      </c>
      <c r="C5585" s="1" t="n">
        <v>45971</v>
      </c>
      <c r="D5585" t="inlineStr">
        <is>
          <t>VÄSTERBOTTENS LÄN</t>
        </is>
      </c>
      <c r="E5585" t="inlineStr">
        <is>
          <t>VILHELMINA</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28273-2024</t>
        </is>
      </c>
      <c r="B5586" s="1" t="n">
        <v>45477.4503587963</v>
      </c>
      <c r="C5586" s="1" t="n">
        <v>45971</v>
      </c>
      <c r="D5586" t="inlineStr">
        <is>
          <t>VÄSTERBOTTENS LÄN</t>
        </is>
      </c>
      <c r="E5586" t="inlineStr">
        <is>
          <t>SKELLEFTEÅ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12547-2025</t>
        </is>
      </c>
      <c r="B5587" s="1" t="n">
        <v>45730.89319444444</v>
      </c>
      <c r="C5587" s="1" t="n">
        <v>45971</v>
      </c>
      <c r="D5587" t="inlineStr">
        <is>
          <t>VÄSTERBOTTENS LÄN</t>
        </is>
      </c>
      <c r="E5587" t="inlineStr">
        <is>
          <t>SKELLEFTEÅ</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15750-2025</t>
        </is>
      </c>
      <c r="B5588" s="1" t="n">
        <v>45748.55476851852</v>
      </c>
      <c r="C5588" s="1" t="n">
        <v>45971</v>
      </c>
      <c r="D5588" t="inlineStr">
        <is>
          <t>VÄSTERBOTTENS LÄN</t>
        </is>
      </c>
      <c r="E5588" t="inlineStr">
        <is>
          <t>VINDELN</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34029-2023</t>
        </is>
      </c>
      <c r="B5589" s="1" t="n">
        <v>45135</v>
      </c>
      <c r="C5589" s="1" t="n">
        <v>45971</v>
      </c>
      <c r="D5589" t="inlineStr">
        <is>
          <t>VÄSTERBOTTENS LÄN</t>
        </is>
      </c>
      <c r="E5589" t="inlineStr">
        <is>
          <t>ROBERTSFORS</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37950-2022</t>
        </is>
      </c>
      <c r="B5590" s="1" t="n">
        <v>44811.48826388889</v>
      </c>
      <c r="C5590" s="1" t="n">
        <v>45971</v>
      </c>
      <c r="D5590" t="inlineStr">
        <is>
          <t>VÄSTERBOTTENS LÄN</t>
        </is>
      </c>
      <c r="E5590" t="inlineStr">
        <is>
          <t>SKELLEFTEÅ</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24873-2021</t>
        </is>
      </c>
      <c r="B5591" s="1" t="n">
        <v>44340</v>
      </c>
      <c r="C5591" s="1" t="n">
        <v>45971</v>
      </c>
      <c r="D5591" t="inlineStr">
        <is>
          <t>VÄSTERBOTTENS LÄN</t>
        </is>
      </c>
      <c r="E5591" t="inlineStr">
        <is>
          <t>VINDELN</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13181-2022</t>
        </is>
      </c>
      <c r="B5592" s="1" t="n">
        <v>44644.47650462963</v>
      </c>
      <c r="C5592" s="1" t="n">
        <v>45971</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19423-2022</t>
        </is>
      </c>
      <c r="B5593" s="1" t="n">
        <v>44693.32515046297</v>
      </c>
      <c r="C5593" s="1" t="n">
        <v>45971</v>
      </c>
      <c r="D5593" t="inlineStr">
        <is>
          <t>VÄSTERBOTTENS LÄN</t>
        </is>
      </c>
      <c r="E5593" t="inlineStr">
        <is>
          <t>VILHELMINA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65038-2023</t>
        </is>
      </c>
      <c r="B5594" s="1" t="n">
        <v>45282</v>
      </c>
      <c r="C5594" s="1" t="n">
        <v>45971</v>
      </c>
      <c r="D5594" t="inlineStr">
        <is>
          <t>VÄSTERBOTTENS LÄN</t>
        </is>
      </c>
      <c r="E5594" t="inlineStr">
        <is>
          <t>ÅSELE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44465-2022</t>
        </is>
      </c>
      <c r="B5595" s="1" t="n">
        <v>44840.30355324074</v>
      </c>
      <c r="C5595" s="1" t="n">
        <v>45971</v>
      </c>
      <c r="D5595" t="inlineStr">
        <is>
          <t>VÄSTERBOTTENS LÄN</t>
        </is>
      </c>
      <c r="E5595" t="inlineStr">
        <is>
          <t>LYCKSELE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37172-2023</t>
        </is>
      </c>
      <c r="B5596" s="1" t="n">
        <v>45154</v>
      </c>
      <c r="C5596" s="1" t="n">
        <v>45971</v>
      </c>
      <c r="D5596" t="inlineStr">
        <is>
          <t>VÄSTERBOTTENS LÄN</t>
        </is>
      </c>
      <c r="E5596" t="inlineStr">
        <is>
          <t>MALÅ</t>
        </is>
      </c>
      <c r="G5596" t="n">
        <v>73.7</v>
      </c>
      <c r="H5596" t="n">
        <v>0</v>
      </c>
      <c r="I5596" t="n">
        <v>0</v>
      </c>
      <c r="J5596" t="n">
        <v>0</v>
      </c>
      <c r="K5596" t="n">
        <v>0</v>
      </c>
      <c r="L5596" t="n">
        <v>0</v>
      </c>
      <c r="M5596" t="n">
        <v>0</v>
      </c>
      <c r="N5596" t="n">
        <v>0</v>
      </c>
      <c r="O5596" t="n">
        <v>0</v>
      </c>
      <c r="P5596" t="n">
        <v>0</v>
      </c>
      <c r="Q5596" t="n">
        <v>0</v>
      </c>
      <c r="R5596" s="2" t="inlineStr"/>
    </row>
    <row r="5597" ht="15" customHeight="1">
      <c r="A5597" t="inlineStr">
        <is>
          <t>A 35734-2024</t>
        </is>
      </c>
      <c r="B5597" s="1" t="n">
        <v>45532</v>
      </c>
      <c r="C5597" s="1" t="n">
        <v>45971</v>
      </c>
      <c r="D5597" t="inlineStr">
        <is>
          <t>VÄSTERBOTTENS LÄN</t>
        </is>
      </c>
      <c r="E5597" t="inlineStr">
        <is>
          <t>VÄNNÄS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32057-2024</t>
        </is>
      </c>
      <c r="B5598" s="1" t="n">
        <v>45510</v>
      </c>
      <c r="C5598" s="1" t="n">
        <v>45971</v>
      </c>
      <c r="D5598" t="inlineStr">
        <is>
          <t>VÄSTERBOTTENS LÄN</t>
        </is>
      </c>
      <c r="E5598" t="inlineStr">
        <is>
          <t>ÅSELE</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10618-2025</t>
        </is>
      </c>
      <c r="B5599" s="1" t="n">
        <v>45721</v>
      </c>
      <c r="C5599" s="1" t="n">
        <v>45971</v>
      </c>
      <c r="D5599" t="inlineStr">
        <is>
          <t>VÄSTERBOTTENS LÄN</t>
        </is>
      </c>
      <c r="E5599" t="inlineStr">
        <is>
          <t>VINDELN</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69458-2021</t>
        </is>
      </c>
      <c r="B5600" s="1" t="n">
        <v>44531</v>
      </c>
      <c r="C5600" s="1" t="n">
        <v>45971</v>
      </c>
      <c r="D5600" t="inlineStr">
        <is>
          <t>VÄSTERBOTTENS LÄN</t>
        </is>
      </c>
      <c r="E5600" t="inlineStr">
        <is>
          <t>SORSELE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33523-2021</t>
        </is>
      </c>
      <c r="B5601" s="1" t="n">
        <v>44377.76381944444</v>
      </c>
      <c r="C5601" s="1" t="n">
        <v>45971</v>
      </c>
      <c r="D5601" t="inlineStr">
        <is>
          <t>VÄSTERBOTTENS LÄN</t>
        </is>
      </c>
      <c r="E5601" t="inlineStr">
        <is>
          <t>ÅSELE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58340-2024</t>
        </is>
      </c>
      <c r="B5602" s="1" t="n">
        <v>45632.6391087963</v>
      </c>
      <c r="C5602" s="1" t="n">
        <v>45971</v>
      </c>
      <c r="D5602" t="inlineStr">
        <is>
          <t>VÄSTERBOTTENS LÄN</t>
        </is>
      </c>
      <c r="E5602" t="inlineStr">
        <is>
          <t>VÄNNÄS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7871-2023</t>
        </is>
      </c>
      <c r="B5603" s="1" t="n">
        <v>44970</v>
      </c>
      <c r="C5603" s="1" t="n">
        <v>45971</v>
      </c>
      <c r="D5603" t="inlineStr">
        <is>
          <t>VÄSTERBOTTENS LÄN</t>
        </is>
      </c>
      <c r="E5603" t="inlineStr">
        <is>
          <t>VÄNNÄS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7875-2023</t>
        </is>
      </c>
      <c r="B5604" s="1" t="n">
        <v>44967</v>
      </c>
      <c r="C5604" s="1" t="n">
        <v>45971</v>
      </c>
      <c r="D5604" t="inlineStr">
        <is>
          <t>VÄSTERBOTTENS LÄN</t>
        </is>
      </c>
      <c r="E5604" t="inlineStr">
        <is>
          <t>SKELLEFTEÅ</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10655-2024</t>
        </is>
      </c>
      <c r="B5605" s="1" t="n">
        <v>45368</v>
      </c>
      <c r="C5605" s="1" t="n">
        <v>45971</v>
      </c>
      <c r="D5605" t="inlineStr">
        <is>
          <t>VÄSTERBOTTENS LÄN</t>
        </is>
      </c>
      <c r="E5605" t="inlineStr">
        <is>
          <t>SKELLEFTEÅ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19397-2023</t>
        </is>
      </c>
      <c r="B5606" s="1" t="n">
        <v>45048</v>
      </c>
      <c r="C5606" s="1" t="n">
        <v>45971</v>
      </c>
      <c r="D5606" t="inlineStr">
        <is>
          <t>VÄSTERBOTTENS LÄN</t>
        </is>
      </c>
      <c r="E5606" t="inlineStr">
        <is>
          <t>VILHELMINA</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3175-2025</t>
        </is>
      </c>
      <c r="B5607" s="1" t="n">
        <v>45679.39025462963</v>
      </c>
      <c r="C5607" s="1" t="n">
        <v>45971</v>
      </c>
      <c r="D5607" t="inlineStr">
        <is>
          <t>VÄSTERBOTTENS LÄN</t>
        </is>
      </c>
      <c r="E5607" t="inlineStr">
        <is>
          <t>SORSELE</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44959-2023</t>
        </is>
      </c>
      <c r="B5608" s="1" t="n">
        <v>45190</v>
      </c>
      <c r="C5608" s="1" t="n">
        <v>45971</v>
      </c>
      <c r="D5608" t="inlineStr">
        <is>
          <t>VÄSTERBOTTENS LÄN</t>
        </is>
      </c>
      <c r="E5608" t="inlineStr">
        <is>
          <t>SKELLEFTEÅ</t>
        </is>
      </c>
      <c r="F5608" t="inlineStr">
        <is>
          <t>Sveaskog</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34614-2024</t>
        </is>
      </c>
      <c r="B5609" s="1" t="n">
        <v>45526</v>
      </c>
      <c r="C5609" s="1" t="n">
        <v>45971</v>
      </c>
      <c r="D5609" t="inlineStr">
        <is>
          <t>VÄSTERBOTTENS LÄN</t>
        </is>
      </c>
      <c r="E5609" t="inlineStr">
        <is>
          <t>SKELLEFTEÅ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37569-2024</t>
        </is>
      </c>
      <c r="B5610" s="1" t="n">
        <v>45541.45086805556</v>
      </c>
      <c r="C5610" s="1" t="n">
        <v>45971</v>
      </c>
      <c r="D5610" t="inlineStr">
        <is>
          <t>VÄSTERBOTTENS LÄN</t>
        </is>
      </c>
      <c r="E5610" t="inlineStr">
        <is>
          <t>NORSJÖ</t>
        </is>
      </c>
      <c r="F5610" t="inlineStr">
        <is>
          <t>Holmen skog AB</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22568-2023</t>
        </is>
      </c>
      <c r="B5611" s="1" t="n">
        <v>45069</v>
      </c>
      <c r="C5611" s="1" t="n">
        <v>45971</v>
      </c>
      <c r="D5611" t="inlineStr">
        <is>
          <t>VÄSTERBOTTENS LÄN</t>
        </is>
      </c>
      <c r="E5611" t="inlineStr">
        <is>
          <t>SORSELE</t>
        </is>
      </c>
      <c r="F5611" t="inlineStr">
        <is>
          <t>Sveaskog</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22580-2023</t>
        </is>
      </c>
      <c r="B5612" s="1" t="n">
        <v>45069</v>
      </c>
      <c r="C5612" s="1" t="n">
        <v>45971</v>
      </c>
      <c r="D5612" t="inlineStr">
        <is>
          <t>VÄSTERBOTTENS LÄN</t>
        </is>
      </c>
      <c r="E5612" t="inlineStr">
        <is>
          <t>DOROTEA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45407-2024</t>
        </is>
      </c>
      <c r="B5613" s="1" t="n">
        <v>45576.58652777778</v>
      </c>
      <c r="C5613" s="1" t="n">
        <v>45971</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44972-2023</t>
        </is>
      </c>
      <c r="B5614" s="1" t="n">
        <v>45190.92549768519</v>
      </c>
      <c r="C5614" s="1" t="n">
        <v>45971</v>
      </c>
      <c r="D5614" t="inlineStr">
        <is>
          <t>VÄSTERBOTTENS LÄN</t>
        </is>
      </c>
      <c r="E5614" t="inlineStr">
        <is>
          <t>DOROTEA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20947-2023</t>
        </is>
      </c>
      <c r="B5615" s="1" t="n">
        <v>45056</v>
      </c>
      <c r="C5615" s="1" t="n">
        <v>45971</v>
      </c>
      <c r="D5615" t="inlineStr">
        <is>
          <t>VÄSTERBOTTENS LÄN</t>
        </is>
      </c>
      <c r="E5615" t="inlineStr">
        <is>
          <t>SORSELE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10898-2025</t>
        </is>
      </c>
      <c r="B5616" s="1" t="n">
        <v>45722</v>
      </c>
      <c r="C5616" s="1" t="n">
        <v>45971</v>
      </c>
      <c r="D5616" t="inlineStr">
        <is>
          <t>VÄSTERBOTTENS LÄN</t>
        </is>
      </c>
      <c r="E5616" t="inlineStr">
        <is>
          <t>UMEÅ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49382-2024</t>
        </is>
      </c>
      <c r="B5617" s="1" t="n">
        <v>45595</v>
      </c>
      <c r="C5617" s="1" t="n">
        <v>45971</v>
      </c>
      <c r="D5617" t="inlineStr">
        <is>
          <t>VÄSTERBOTTENS LÄN</t>
        </is>
      </c>
      <c r="E5617" t="inlineStr">
        <is>
          <t>ÅSELE</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40144-2024</t>
        </is>
      </c>
      <c r="B5618" s="1" t="n">
        <v>45554.49422453704</v>
      </c>
      <c r="C5618" s="1" t="n">
        <v>45971</v>
      </c>
      <c r="D5618" t="inlineStr">
        <is>
          <t>VÄSTERBOTTENS LÄN</t>
        </is>
      </c>
      <c r="E5618" t="inlineStr">
        <is>
          <t>VINDELN</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26105-2021</t>
        </is>
      </c>
      <c r="B5619" s="1" t="n">
        <v>44344.93608796296</v>
      </c>
      <c r="C5619" s="1" t="n">
        <v>45971</v>
      </c>
      <c r="D5619" t="inlineStr">
        <is>
          <t>VÄSTERBOTTENS LÄN</t>
        </is>
      </c>
      <c r="E5619" t="inlineStr">
        <is>
          <t>LYCKSELE</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56500-2024</t>
        </is>
      </c>
      <c r="B5620" s="1" t="n">
        <v>45625.49765046296</v>
      </c>
      <c r="C5620" s="1" t="n">
        <v>45971</v>
      </c>
      <c r="D5620" t="inlineStr">
        <is>
          <t>VÄSTERBOTTENS LÄN</t>
        </is>
      </c>
      <c r="E5620" t="inlineStr">
        <is>
          <t>SKELLEFTEÅ</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26540-2022</t>
        </is>
      </c>
      <c r="B5621" s="1" t="n">
        <v>44739</v>
      </c>
      <c r="C5621" s="1" t="n">
        <v>45971</v>
      </c>
      <c r="D5621" t="inlineStr">
        <is>
          <t>VÄSTERBOTTENS LÄN</t>
        </is>
      </c>
      <c r="E5621" t="inlineStr">
        <is>
          <t>ÅSELE</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47441-2024</t>
        </is>
      </c>
      <c r="B5622" s="1" t="n">
        <v>45587</v>
      </c>
      <c r="C5622" s="1" t="n">
        <v>45971</v>
      </c>
      <c r="D5622" t="inlineStr">
        <is>
          <t>VÄSTERBOTTENS LÄN</t>
        </is>
      </c>
      <c r="E5622" t="inlineStr">
        <is>
          <t>ÅSELE</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47070-2024</t>
        </is>
      </c>
      <c r="B5623" s="1" t="n">
        <v>45586.48637731482</v>
      </c>
      <c r="C5623" s="1" t="n">
        <v>45971</v>
      </c>
      <c r="D5623" t="inlineStr">
        <is>
          <t>VÄSTERBOTTENS LÄN</t>
        </is>
      </c>
      <c r="E5623" t="inlineStr">
        <is>
          <t>NORDMALING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34810-2024</t>
        </is>
      </c>
      <c r="B5624" s="1" t="n">
        <v>45526.69534722222</v>
      </c>
      <c r="C5624" s="1" t="n">
        <v>45971</v>
      </c>
      <c r="D5624" t="inlineStr">
        <is>
          <t>VÄSTERBOTTENS LÄN</t>
        </is>
      </c>
      <c r="E5624" t="inlineStr">
        <is>
          <t>LYCKSELE</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28854-2023</t>
        </is>
      </c>
      <c r="B5625" s="1" t="n">
        <v>45104</v>
      </c>
      <c r="C5625" s="1" t="n">
        <v>45971</v>
      </c>
      <c r="D5625" t="inlineStr">
        <is>
          <t>VÄSTERBOTTENS LÄN</t>
        </is>
      </c>
      <c r="E5625" t="inlineStr">
        <is>
          <t>ÅSELE</t>
        </is>
      </c>
      <c r="F5625" t="inlineStr">
        <is>
          <t>Naturvårdsverket</t>
        </is>
      </c>
      <c r="G5625" t="n">
        <v>15.8</v>
      </c>
      <c r="H5625" t="n">
        <v>0</v>
      </c>
      <c r="I5625" t="n">
        <v>0</v>
      </c>
      <c r="J5625" t="n">
        <v>0</v>
      </c>
      <c r="K5625" t="n">
        <v>0</v>
      </c>
      <c r="L5625" t="n">
        <v>0</v>
      </c>
      <c r="M5625" t="n">
        <v>0</v>
      </c>
      <c r="N5625" t="n">
        <v>0</v>
      </c>
      <c r="O5625" t="n">
        <v>0</v>
      </c>
      <c r="P5625" t="n">
        <v>0</v>
      </c>
      <c r="Q5625" t="n">
        <v>0</v>
      </c>
      <c r="R5625" s="2" t="inlineStr"/>
    </row>
    <row r="5626" ht="15" customHeight="1">
      <c r="A5626" t="inlineStr">
        <is>
          <t>A 10534-2023</t>
        </is>
      </c>
      <c r="B5626" s="1" t="n">
        <v>44987</v>
      </c>
      <c r="C5626" s="1" t="n">
        <v>45971</v>
      </c>
      <c r="D5626" t="inlineStr">
        <is>
          <t>VÄSTERBOTTENS LÄN</t>
        </is>
      </c>
      <c r="E5626" t="inlineStr">
        <is>
          <t>VINDELN</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51383-2023</t>
        </is>
      </c>
      <c r="B5627" s="1" t="n">
        <v>45219</v>
      </c>
      <c r="C5627" s="1" t="n">
        <v>45971</v>
      </c>
      <c r="D5627" t="inlineStr">
        <is>
          <t>VÄSTERBOTTENS LÄN</t>
        </is>
      </c>
      <c r="E5627" t="inlineStr">
        <is>
          <t>MALÅ</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45408-2024</t>
        </is>
      </c>
      <c r="B5628" s="1" t="n">
        <v>45576.58743055556</v>
      </c>
      <c r="C5628" s="1" t="n">
        <v>45971</v>
      </c>
      <c r="D5628" t="inlineStr">
        <is>
          <t>VÄSTERBOTTENS LÄN</t>
        </is>
      </c>
      <c r="E5628" t="inlineStr">
        <is>
          <t>VINDELN</t>
        </is>
      </c>
      <c r="F5628" t="inlineStr">
        <is>
          <t>Holmen skog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36959-2024</t>
        </is>
      </c>
      <c r="B5629" s="1" t="n">
        <v>45538</v>
      </c>
      <c r="C5629" s="1" t="n">
        <v>45971</v>
      </c>
      <c r="D5629" t="inlineStr">
        <is>
          <t>VÄSTERBOTTENS LÄN</t>
        </is>
      </c>
      <c r="E5629" t="inlineStr">
        <is>
          <t>ÅSELE</t>
        </is>
      </c>
      <c r="F5629" t="inlineStr">
        <is>
          <t>Naturvårdsverket</t>
        </is>
      </c>
      <c r="G5629" t="n">
        <v>13.4</v>
      </c>
      <c r="H5629" t="n">
        <v>0</v>
      </c>
      <c r="I5629" t="n">
        <v>0</v>
      </c>
      <c r="J5629" t="n">
        <v>0</v>
      </c>
      <c r="K5629" t="n">
        <v>0</v>
      </c>
      <c r="L5629" t="n">
        <v>0</v>
      </c>
      <c r="M5629" t="n">
        <v>0</v>
      </c>
      <c r="N5629" t="n">
        <v>0</v>
      </c>
      <c r="O5629" t="n">
        <v>0</v>
      </c>
      <c r="P5629" t="n">
        <v>0</v>
      </c>
      <c r="Q5629" t="n">
        <v>0</v>
      </c>
      <c r="R5629" s="2" t="inlineStr"/>
    </row>
    <row r="5630" ht="15" customHeight="1">
      <c r="A5630" t="inlineStr">
        <is>
          <t>A 39208-2023</t>
        </is>
      </c>
      <c r="B5630" s="1" t="n">
        <v>45166.41417824074</v>
      </c>
      <c r="C5630" s="1" t="n">
        <v>45971</v>
      </c>
      <c r="D5630" t="inlineStr">
        <is>
          <t>VÄSTERBOTTENS LÄN</t>
        </is>
      </c>
      <c r="E5630" t="inlineStr">
        <is>
          <t>VINDELN</t>
        </is>
      </c>
      <c r="F5630" t="inlineStr">
        <is>
          <t>Sveaskog</t>
        </is>
      </c>
      <c r="G5630" t="n">
        <v>13.8</v>
      </c>
      <c r="H5630" t="n">
        <v>0</v>
      </c>
      <c r="I5630" t="n">
        <v>0</v>
      </c>
      <c r="J5630" t="n">
        <v>0</v>
      </c>
      <c r="K5630" t="n">
        <v>0</v>
      </c>
      <c r="L5630" t="n">
        <v>0</v>
      </c>
      <c r="M5630" t="n">
        <v>0</v>
      </c>
      <c r="N5630" t="n">
        <v>0</v>
      </c>
      <c r="O5630" t="n">
        <v>0</v>
      </c>
      <c r="P5630" t="n">
        <v>0</v>
      </c>
      <c r="Q5630" t="n">
        <v>0</v>
      </c>
      <c r="R5630" s="2" t="inlineStr"/>
    </row>
    <row r="5631" ht="15" customHeight="1">
      <c r="A5631" t="inlineStr">
        <is>
          <t>A 13025-2024</t>
        </is>
      </c>
      <c r="B5631" s="1" t="n">
        <v>45385</v>
      </c>
      <c r="C5631" s="1" t="n">
        <v>45971</v>
      </c>
      <c r="D5631" t="inlineStr">
        <is>
          <t>VÄSTERBOTTENS LÄN</t>
        </is>
      </c>
      <c r="E5631" t="inlineStr">
        <is>
          <t>VINDELN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70851-2021</t>
        </is>
      </c>
      <c r="B5632" s="1" t="n">
        <v>44536</v>
      </c>
      <c r="C5632" s="1" t="n">
        <v>45971</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23704-2023</t>
        </is>
      </c>
      <c r="B5633" s="1" t="n">
        <v>45075</v>
      </c>
      <c r="C5633" s="1" t="n">
        <v>45971</v>
      </c>
      <c r="D5633" t="inlineStr">
        <is>
          <t>VÄSTERBOTTENS LÄN</t>
        </is>
      </c>
      <c r="E5633" t="inlineStr">
        <is>
          <t>SKELLEFTEÅ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23710-2023</t>
        </is>
      </c>
      <c r="B5634" s="1" t="n">
        <v>45075</v>
      </c>
      <c r="C5634" s="1" t="n">
        <v>45971</v>
      </c>
      <c r="D5634" t="inlineStr">
        <is>
          <t>VÄSTERBOTTENS LÄN</t>
        </is>
      </c>
      <c r="E5634" t="inlineStr">
        <is>
          <t>SKELLEFTEÅ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13164-2024</t>
        </is>
      </c>
      <c r="B5635" s="1" t="n">
        <v>45386</v>
      </c>
      <c r="C5635" s="1" t="n">
        <v>45971</v>
      </c>
      <c r="D5635" t="inlineStr">
        <is>
          <t>VÄSTERBOTTENS LÄN</t>
        </is>
      </c>
      <c r="E5635" t="inlineStr">
        <is>
          <t>ROBERTSFORS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10718-2025</t>
        </is>
      </c>
      <c r="B5636" s="1" t="n">
        <v>45722.37076388889</v>
      </c>
      <c r="C5636" s="1" t="n">
        <v>45971</v>
      </c>
      <c r="D5636" t="inlineStr">
        <is>
          <t>VÄSTERBOTTENS LÄN</t>
        </is>
      </c>
      <c r="E5636" t="inlineStr">
        <is>
          <t>UMEÅ</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58824-2023</t>
        </is>
      </c>
      <c r="B5637" s="1" t="n">
        <v>45247</v>
      </c>
      <c r="C5637" s="1" t="n">
        <v>45971</v>
      </c>
      <c r="D5637" t="inlineStr">
        <is>
          <t>VÄSTERBOTTENS LÄN</t>
        </is>
      </c>
      <c r="E5637" t="inlineStr">
        <is>
          <t>SORSELE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58838-2023</t>
        </is>
      </c>
      <c r="B5638" s="1" t="n">
        <v>45252.41853009259</v>
      </c>
      <c r="C5638" s="1" t="n">
        <v>45971</v>
      </c>
      <c r="D5638" t="inlineStr">
        <is>
          <t>VÄSTERBOTTENS LÄN</t>
        </is>
      </c>
      <c r="E5638" t="inlineStr">
        <is>
          <t>SKELLEFTEÅ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54344-2024</t>
        </is>
      </c>
      <c r="B5639" s="1" t="n">
        <v>45617.39003472222</v>
      </c>
      <c r="C5639" s="1" t="n">
        <v>45971</v>
      </c>
      <c r="D5639" t="inlineStr">
        <is>
          <t>VÄSTERBOTTENS LÄN</t>
        </is>
      </c>
      <c r="E5639" t="inlineStr">
        <is>
          <t>ROBERTSFORS</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47603-2022</t>
        </is>
      </c>
      <c r="B5640" s="1" t="n">
        <v>44852</v>
      </c>
      <c r="C5640" s="1" t="n">
        <v>45971</v>
      </c>
      <c r="D5640" t="inlineStr">
        <is>
          <t>VÄSTERBOTTENS LÄN</t>
        </is>
      </c>
      <c r="E5640" t="inlineStr">
        <is>
          <t>SORSELE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54395-2024</t>
        </is>
      </c>
      <c r="B5641" s="1" t="n">
        <v>45617.4600462963</v>
      </c>
      <c r="C5641" s="1" t="n">
        <v>45971</v>
      </c>
      <c r="D5641" t="inlineStr">
        <is>
          <t>VÄSTERBOTTENS LÄN</t>
        </is>
      </c>
      <c r="E5641" t="inlineStr">
        <is>
          <t>ROBERTSFORS</t>
        </is>
      </c>
      <c r="F5641" t="inlineStr">
        <is>
          <t>Holmen skog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43133-2023</t>
        </is>
      </c>
      <c r="B5642" s="1" t="n">
        <v>45182</v>
      </c>
      <c r="C5642" s="1" t="n">
        <v>45971</v>
      </c>
      <c r="D5642" t="inlineStr">
        <is>
          <t>VÄSTERBOTTENS LÄN</t>
        </is>
      </c>
      <c r="E5642" t="inlineStr">
        <is>
          <t>ÅSELE</t>
        </is>
      </c>
      <c r="F5642" t="inlineStr">
        <is>
          <t>SCA</t>
        </is>
      </c>
      <c r="G5642" t="n">
        <v>14.1</v>
      </c>
      <c r="H5642" t="n">
        <v>0</v>
      </c>
      <c r="I5642" t="n">
        <v>0</v>
      </c>
      <c r="J5642" t="n">
        <v>0</v>
      </c>
      <c r="K5642" t="n">
        <v>0</v>
      </c>
      <c r="L5642" t="n">
        <v>0</v>
      </c>
      <c r="M5642" t="n">
        <v>0</v>
      </c>
      <c r="N5642" t="n">
        <v>0</v>
      </c>
      <c r="O5642" t="n">
        <v>0</v>
      </c>
      <c r="P5642" t="n">
        <v>0</v>
      </c>
      <c r="Q5642" t="n">
        <v>0</v>
      </c>
      <c r="R5642" s="2" t="inlineStr"/>
    </row>
    <row r="5643" ht="15" customHeight="1">
      <c r="A5643" t="inlineStr">
        <is>
          <t>A 45298-2024</t>
        </is>
      </c>
      <c r="B5643" s="1" t="n">
        <v>45576</v>
      </c>
      <c r="C5643" s="1" t="n">
        <v>45971</v>
      </c>
      <c r="D5643" t="inlineStr">
        <is>
          <t>VÄSTERBOTTENS LÄN</t>
        </is>
      </c>
      <c r="E5643" t="inlineStr">
        <is>
          <t>ÅSELE</t>
        </is>
      </c>
      <c r="F5643" t="inlineStr">
        <is>
          <t>Sveaskog</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32992-2023</t>
        </is>
      </c>
      <c r="B5644" s="1" t="n">
        <v>45113</v>
      </c>
      <c r="C5644" s="1" t="n">
        <v>45971</v>
      </c>
      <c r="D5644" t="inlineStr">
        <is>
          <t>VÄSTERBOTTENS LÄN</t>
        </is>
      </c>
      <c r="E5644" t="inlineStr">
        <is>
          <t>VINDELN</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32993-2023</t>
        </is>
      </c>
      <c r="B5645" s="1" t="n">
        <v>45113</v>
      </c>
      <c r="C5645" s="1" t="n">
        <v>45971</v>
      </c>
      <c r="D5645" t="inlineStr">
        <is>
          <t>VÄSTERBOTTENS LÄN</t>
        </is>
      </c>
      <c r="E5645" t="inlineStr">
        <is>
          <t>ÅSELE</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11381-2025</t>
        </is>
      </c>
      <c r="B5646" s="1" t="n">
        <v>45724</v>
      </c>
      <c r="C5646" s="1" t="n">
        <v>45971</v>
      </c>
      <c r="D5646" t="inlineStr">
        <is>
          <t>VÄSTERBOTTENS LÄN</t>
        </is>
      </c>
      <c r="E5646" t="inlineStr">
        <is>
          <t>STORUMAN</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53657-2023</t>
        </is>
      </c>
      <c r="B5647" s="1" t="n">
        <v>45230</v>
      </c>
      <c r="C5647" s="1" t="n">
        <v>45971</v>
      </c>
      <c r="D5647" t="inlineStr">
        <is>
          <t>VÄSTERBOTTENS LÄN</t>
        </is>
      </c>
      <c r="E5647" t="inlineStr">
        <is>
          <t>MALÅ</t>
        </is>
      </c>
      <c r="F5647" t="inlineStr">
        <is>
          <t>Sveaskog</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32876-2023</t>
        </is>
      </c>
      <c r="B5648" s="1" t="n">
        <v>45124</v>
      </c>
      <c r="C5648" s="1" t="n">
        <v>45971</v>
      </c>
      <c r="D5648" t="inlineStr">
        <is>
          <t>VÄSTERBOTTENS LÄN</t>
        </is>
      </c>
      <c r="E5648" t="inlineStr">
        <is>
          <t>ROBERTSFORS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54428-2024</t>
        </is>
      </c>
      <c r="B5649" s="1" t="n">
        <v>45617.49065972222</v>
      </c>
      <c r="C5649" s="1" t="n">
        <v>45971</v>
      </c>
      <c r="D5649" t="inlineStr">
        <is>
          <t>VÄSTERBOTTENS LÄN</t>
        </is>
      </c>
      <c r="E5649" t="inlineStr">
        <is>
          <t>LYCKSELE</t>
        </is>
      </c>
      <c r="F5649" t="inlineStr">
        <is>
          <t>SCA</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36274-2024</t>
        </is>
      </c>
      <c r="B5650" s="1" t="n">
        <v>45534.57965277778</v>
      </c>
      <c r="C5650" s="1" t="n">
        <v>45971</v>
      </c>
      <c r="D5650" t="inlineStr">
        <is>
          <t>VÄSTERBOTTENS LÄN</t>
        </is>
      </c>
      <c r="E5650" t="inlineStr">
        <is>
          <t>LYCKSELE</t>
        </is>
      </c>
      <c r="F5650" t="inlineStr">
        <is>
          <t>Holmen skog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32145-2024</t>
        </is>
      </c>
      <c r="B5651" s="1" t="n">
        <v>45511.55541666667</v>
      </c>
      <c r="C5651" s="1" t="n">
        <v>45971</v>
      </c>
      <c r="D5651" t="inlineStr">
        <is>
          <t>VÄSTERBOTTENS LÄN</t>
        </is>
      </c>
      <c r="E5651" t="inlineStr">
        <is>
          <t>VINDELN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34719-2024</t>
        </is>
      </c>
      <c r="B5652" s="1" t="n">
        <v>45526.56435185186</v>
      </c>
      <c r="C5652" s="1" t="n">
        <v>45971</v>
      </c>
      <c r="D5652" t="inlineStr">
        <is>
          <t>VÄSTERBOTTENS LÄN</t>
        </is>
      </c>
      <c r="E5652" t="inlineStr">
        <is>
          <t>VILHELMINA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25569-2024</t>
        </is>
      </c>
      <c r="B5653" s="1" t="n">
        <v>45463.58702546296</v>
      </c>
      <c r="C5653" s="1" t="n">
        <v>45971</v>
      </c>
      <c r="D5653" t="inlineStr">
        <is>
          <t>VÄSTERBOTTENS LÄN</t>
        </is>
      </c>
      <c r="E5653" t="inlineStr">
        <is>
          <t>ÅSELE</t>
        </is>
      </c>
      <c r="F5653" t="inlineStr">
        <is>
          <t>Sveaskog</t>
        </is>
      </c>
      <c r="G5653" t="n">
        <v>28.7</v>
      </c>
      <c r="H5653" t="n">
        <v>0</v>
      </c>
      <c r="I5653" t="n">
        <v>0</v>
      </c>
      <c r="J5653" t="n">
        <v>0</v>
      </c>
      <c r="K5653" t="n">
        <v>0</v>
      </c>
      <c r="L5653" t="n">
        <v>0</v>
      </c>
      <c r="M5653" t="n">
        <v>0</v>
      </c>
      <c r="N5653" t="n">
        <v>0</v>
      </c>
      <c r="O5653" t="n">
        <v>0</v>
      </c>
      <c r="P5653" t="n">
        <v>0</v>
      </c>
      <c r="Q5653" t="n">
        <v>0</v>
      </c>
      <c r="R5653" s="2" t="inlineStr"/>
    </row>
    <row r="5654" ht="15" customHeight="1">
      <c r="A5654" t="inlineStr">
        <is>
          <t>A 11942-2023</t>
        </is>
      </c>
      <c r="B5654" s="1" t="n">
        <v>44995.52376157408</v>
      </c>
      <c r="C5654" s="1" t="n">
        <v>45971</v>
      </c>
      <c r="D5654" t="inlineStr">
        <is>
          <t>VÄSTERBOTTENS LÄN</t>
        </is>
      </c>
      <c r="E5654" t="inlineStr">
        <is>
          <t>SKELLEFTEÅ</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50652-2021</t>
        </is>
      </c>
      <c r="B5655" s="1" t="n">
        <v>44459.92047453704</v>
      </c>
      <c r="C5655" s="1" t="n">
        <v>45971</v>
      </c>
      <c r="D5655" t="inlineStr">
        <is>
          <t>VÄSTERBOTTENS LÄN</t>
        </is>
      </c>
      <c r="E5655" t="inlineStr">
        <is>
          <t>LYCKSELE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34622-2024</t>
        </is>
      </c>
      <c r="B5656" s="1" t="n">
        <v>45526.44155092593</v>
      </c>
      <c r="C5656" s="1" t="n">
        <v>45971</v>
      </c>
      <c r="D5656" t="inlineStr">
        <is>
          <t>VÄSTERBOTTENS LÄN</t>
        </is>
      </c>
      <c r="E5656" t="inlineStr">
        <is>
          <t>SKELLEFTEÅ</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34630-2024</t>
        </is>
      </c>
      <c r="B5657" s="1" t="n">
        <v>45526.46234953704</v>
      </c>
      <c r="C5657" s="1" t="n">
        <v>45971</v>
      </c>
      <c r="D5657" t="inlineStr">
        <is>
          <t>VÄSTERBOTTENS LÄN</t>
        </is>
      </c>
      <c r="E5657" t="inlineStr">
        <is>
          <t>VILHELMINA</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34635-2024</t>
        </is>
      </c>
      <c r="B5658" s="1" t="n">
        <v>45526.47052083333</v>
      </c>
      <c r="C5658" s="1" t="n">
        <v>45971</v>
      </c>
      <c r="D5658" t="inlineStr">
        <is>
          <t>VÄSTERBOTTENS LÄN</t>
        </is>
      </c>
      <c r="E5658" t="inlineStr">
        <is>
          <t>LYCKSELE</t>
        </is>
      </c>
      <c r="F5658" t="inlineStr">
        <is>
          <t>Holmen skog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46377-2024</t>
        </is>
      </c>
      <c r="B5659" s="1" t="n">
        <v>45582</v>
      </c>
      <c r="C5659" s="1" t="n">
        <v>45971</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3449-2023</t>
        </is>
      </c>
      <c r="B5660" s="1" t="n">
        <v>44949.61246527778</v>
      </c>
      <c r="C5660" s="1" t="n">
        <v>45971</v>
      </c>
      <c r="D5660" t="inlineStr">
        <is>
          <t>VÄSTERBOTTENS LÄN</t>
        </is>
      </c>
      <c r="E5660" t="inlineStr">
        <is>
          <t>NORDMALING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16198-2022</t>
        </is>
      </c>
      <c r="B5661" s="1" t="n">
        <v>44665</v>
      </c>
      <c r="C5661" s="1" t="n">
        <v>45971</v>
      </c>
      <c r="D5661" t="inlineStr">
        <is>
          <t>VÄSTERBOTTENS LÄN</t>
        </is>
      </c>
      <c r="E5661" t="inlineStr">
        <is>
          <t>SKELLEFTEÅ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46557-2024</t>
        </is>
      </c>
      <c r="B5662" s="1" t="n">
        <v>45582.67056712963</v>
      </c>
      <c r="C5662" s="1" t="n">
        <v>45971</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16520-2022</t>
        </is>
      </c>
      <c r="B5663" s="1" t="n">
        <v>44671</v>
      </c>
      <c r="C5663" s="1" t="n">
        <v>45971</v>
      </c>
      <c r="D5663" t="inlineStr">
        <is>
          <t>VÄSTERBOTTENS LÄN</t>
        </is>
      </c>
      <c r="E5663" t="inlineStr">
        <is>
          <t>STORUMAN</t>
        </is>
      </c>
      <c r="G5663" t="n">
        <v>20.1</v>
      </c>
      <c r="H5663" t="n">
        <v>0</v>
      </c>
      <c r="I5663" t="n">
        <v>0</v>
      </c>
      <c r="J5663" t="n">
        <v>0</v>
      </c>
      <c r="K5663" t="n">
        <v>0</v>
      </c>
      <c r="L5663" t="n">
        <v>0</v>
      </c>
      <c r="M5663" t="n">
        <v>0</v>
      </c>
      <c r="N5663" t="n">
        <v>0</v>
      </c>
      <c r="O5663" t="n">
        <v>0</v>
      </c>
      <c r="P5663" t="n">
        <v>0</v>
      </c>
      <c r="Q5663" t="n">
        <v>0</v>
      </c>
      <c r="R5663" s="2" t="inlineStr"/>
    </row>
    <row r="5664" ht="15" customHeight="1">
      <c r="A5664" t="inlineStr">
        <is>
          <t>A 53547-2024</t>
        </is>
      </c>
      <c r="B5664" s="1" t="n">
        <v>45614.63747685185</v>
      </c>
      <c r="C5664" s="1" t="n">
        <v>45971</v>
      </c>
      <c r="D5664" t="inlineStr">
        <is>
          <t>VÄSTERBOTTENS LÄN</t>
        </is>
      </c>
      <c r="E5664" t="inlineStr">
        <is>
          <t>NORSJÖ</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878-2025</t>
        </is>
      </c>
      <c r="B5665" s="1" t="n">
        <v>45665.63706018519</v>
      </c>
      <c r="C5665" s="1" t="n">
        <v>45971</v>
      </c>
      <c r="D5665" t="inlineStr">
        <is>
          <t>VÄSTERBOTTENS LÄN</t>
        </is>
      </c>
      <c r="E5665" t="inlineStr">
        <is>
          <t>NORDMALING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8860-2023</t>
        </is>
      </c>
      <c r="B5666" s="1" t="n">
        <v>44978.92381944445</v>
      </c>
      <c r="C5666" s="1" t="n">
        <v>45971</v>
      </c>
      <c r="D5666" t="inlineStr">
        <is>
          <t>VÄSTERBOTTENS LÄN</t>
        </is>
      </c>
      <c r="E5666" t="inlineStr">
        <is>
          <t>BJURHOLM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5373-2023</t>
        </is>
      </c>
      <c r="B5667" s="1" t="n">
        <v>44957</v>
      </c>
      <c r="C5667" s="1" t="n">
        <v>45971</v>
      </c>
      <c r="D5667" t="inlineStr">
        <is>
          <t>VÄSTERBOTTENS LÄN</t>
        </is>
      </c>
      <c r="E5667" t="inlineStr">
        <is>
          <t>SKELLEFTEÅ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3630-2024</t>
        </is>
      </c>
      <c r="B5668" s="1" t="n">
        <v>45320.95357638889</v>
      </c>
      <c r="C5668" s="1" t="n">
        <v>45971</v>
      </c>
      <c r="D5668" t="inlineStr">
        <is>
          <t>VÄSTERBOTTENS LÄN</t>
        </is>
      </c>
      <c r="E5668" t="inlineStr">
        <is>
          <t>VINDELN</t>
        </is>
      </c>
      <c r="F5668" t="inlineStr">
        <is>
          <t>SCA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58429-2022</t>
        </is>
      </c>
      <c r="B5669" s="1" t="n">
        <v>44901</v>
      </c>
      <c r="C5669" s="1" t="n">
        <v>45971</v>
      </c>
      <c r="D5669" t="inlineStr">
        <is>
          <t>VÄSTERBOTTENS LÄN</t>
        </is>
      </c>
      <c r="E5669" t="inlineStr">
        <is>
          <t>SKELLEFTEÅ</t>
        </is>
      </c>
      <c r="F5669" t="inlineStr">
        <is>
          <t>SCA</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38080-2023</t>
        </is>
      </c>
      <c r="B5670" s="1" t="n">
        <v>45160</v>
      </c>
      <c r="C5670" s="1" t="n">
        <v>45971</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34434-2024</t>
        </is>
      </c>
      <c r="B5671" s="1" t="n">
        <v>45525.53164351852</v>
      </c>
      <c r="C5671" s="1" t="n">
        <v>45971</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59788-2023</t>
        </is>
      </c>
      <c r="B5672" s="1" t="n">
        <v>45257.44923611111</v>
      </c>
      <c r="C5672" s="1" t="n">
        <v>45971</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41361-2023</t>
        </is>
      </c>
      <c r="B5673" s="1" t="n">
        <v>45174</v>
      </c>
      <c r="C5673" s="1" t="n">
        <v>45971</v>
      </c>
      <c r="D5673" t="inlineStr">
        <is>
          <t>VÄSTERBOTTENS LÄN</t>
        </is>
      </c>
      <c r="E5673" t="inlineStr">
        <is>
          <t>LYCKSELE</t>
        </is>
      </c>
      <c r="F5673" t="inlineStr">
        <is>
          <t>Holmen skog AB</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8273-2023</t>
        </is>
      </c>
      <c r="B5674" s="1" t="n">
        <v>44971</v>
      </c>
      <c r="C5674" s="1" t="n">
        <v>45971</v>
      </c>
      <c r="D5674" t="inlineStr">
        <is>
          <t>VÄSTERBOTTENS LÄN</t>
        </is>
      </c>
      <c r="E5674" t="inlineStr">
        <is>
          <t>VINDELN</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12308-2025</t>
        </is>
      </c>
      <c r="B5675" s="1" t="n">
        <v>45729.78074074074</v>
      </c>
      <c r="C5675" s="1" t="n">
        <v>45971</v>
      </c>
      <c r="D5675" t="inlineStr">
        <is>
          <t>VÄSTERBOTTENS LÄN</t>
        </is>
      </c>
      <c r="E5675" t="inlineStr">
        <is>
          <t>VINDELN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12368-2025</t>
        </is>
      </c>
      <c r="B5676" s="1" t="n">
        <v>45730.37633101852</v>
      </c>
      <c r="C5676" s="1" t="n">
        <v>45971</v>
      </c>
      <c r="D5676" t="inlineStr">
        <is>
          <t>VÄSTERBOTTENS LÄN</t>
        </is>
      </c>
      <c r="E5676" t="inlineStr">
        <is>
          <t>VILHELMINA</t>
        </is>
      </c>
      <c r="F5676" t="inlineStr">
        <is>
          <t>Övriga statliga verk och myndigheter</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62124-2024</t>
        </is>
      </c>
      <c r="B5677" s="1" t="n">
        <v>45646</v>
      </c>
      <c r="C5677" s="1" t="n">
        <v>45971</v>
      </c>
      <c r="D5677" t="inlineStr">
        <is>
          <t>VÄSTERBOTTENS LÄN</t>
        </is>
      </c>
      <c r="E5677" t="inlineStr">
        <is>
          <t>MALÅ</t>
        </is>
      </c>
      <c r="F5677" t="inlineStr">
        <is>
          <t>Sveaskog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60871-2024</t>
        </is>
      </c>
      <c r="B5678" s="1" t="n">
        <v>45644.70871527777</v>
      </c>
      <c r="C5678" s="1" t="n">
        <v>45971</v>
      </c>
      <c r="D5678" t="inlineStr">
        <is>
          <t>VÄSTERBOTTENS LÄN</t>
        </is>
      </c>
      <c r="E5678" t="inlineStr">
        <is>
          <t>VINDELN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6596-2023</t>
        </is>
      </c>
      <c r="B5679" s="1" t="n">
        <v>44963</v>
      </c>
      <c r="C5679" s="1" t="n">
        <v>45971</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33012-2023</t>
        </is>
      </c>
      <c r="B5680" s="1" t="n">
        <v>45113</v>
      </c>
      <c r="C5680" s="1" t="n">
        <v>45971</v>
      </c>
      <c r="D5680" t="inlineStr">
        <is>
          <t>VÄSTERBOTTENS LÄN</t>
        </is>
      </c>
      <c r="E5680" t="inlineStr">
        <is>
          <t>ÅSELE</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12373-2025</t>
        </is>
      </c>
      <c r="B5681" s="1" t="n">
        <v>45730</v>
      </c>
      <c r="C5681" s="1" t="n">
        <v>45971</v>
      </c>
      <c r="D5681" t="inlineStr">
        <is>
          <t>VÄSTERBOTTENS LÄN</t>
        </is>
      </c>
      <c r="E5681" t="inlineStr">
        <is>
          <t>VILHELMINA</t>
        </is>
      </c>
      <c r="F5681" t="inlineStr">
        <is>
          <t>Övriga statliga verk och myndigheter</t>
        </is>
      </c>
      <c r="G5681" t="n">
        <v>25.5</v>
      </c>
      <c r="H5681" t="n">
        <v>0</v>
      </c>
      <c r="I5681" t="n">
        <v>0</v>
      </c>
      <c r="J5681" t="n">
        <v>0</v>
      </c>
      <c r="K5681" t="n">
        <v>0</v>
      </c>
      <c r="L5681" t="n">
        <v>0</v>
      </c>
      <c r="M5681" t="n">
        <v>0</v>
      </c>
      <c r="N5681" t="n">
        <v>0</v>
      </c>
      <c r="O5681" t="n">
        <v>0</v>
      </c>
      <c r="P5681" t="n">
        <v>0</v>
      </c>
      <c r="Q5681" t="n">
        <v>0</v>
      </c>
      <c r="R5681" s="2" t="inlineStr"/>
    </row>
    <row r="5682" ht="15" customHeight="1">
      <c r="A5682" t="inlineStr">
        <is>
          <t>A 39788-2023</t>
        </is>
      </c>
      <c r="B5682" s="1" t="n">
        <v>45167</v>
      </c>
      <c r="C5682" s="1" t="n">
        <v>45971</v>
      </c>
      <c r="D5682" t="inlineStr">
        <is>
          <t>VÄSTERBOTTENS LÄN</t>
        </is>
      </c>
      <c r="E5682" t="inlineStr">
        <is>
          <t>MALÅ</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45850-2024</t>
        </is>
      </c>
      <c r="B5683" s="1" t="n">
        <v>45580</v>
      </c>
      <c r="C5683" s="1" t="n">
        <v>45971</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7818-2023</t>
        </is>
      </c>
      <c r="B5684" s="1" t="n">
        <v>44973.46649305556</v>
      </c>
      <c r="C5684" s="1" t="n">
        <v>45971</v>
      </c>
      <c r="D5684" t="inlineStr">
        <is>
          <t>VÄSTERBOTTENS LÄN</t>
        </is>
      </c>
      <c r="E5684" t="inlineStr">
        <is>
          <t>LYCKSELE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53903-2022</t>
        </is>
      </c>
      <c r="B5685" s="1" t="n">
        <v>44880</v>
      </c>
      <c r="C5685" s="1" t="n">
        <v>45971</v>
      </c>
      <c r="D5685" t="inlineStr">
        <is>
          <t>VÄSTERBOTTENS LÄN</t>
        </is>
      </c>
      <c r="E5685" t="inlineStr">
        <is>
          <t>SKELLEFTEÅ</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32586-2023</t>
        </is>
      </c>
      <c r="B5686" s="1" t="n">
        <v>45121</v>
      </c>
      <c r="C5686" s="1" t="n">
        <v>45971</v>
      </c>
      <c r="D5686" t="inlineStr">
        <is>
          <t>VÄSTERBOTTENS LÄN</t>
        </is>
      </c>
      <c r="E5686" t="inlineStr">
        <is>
          <t>ÅSELE</t>
        </is>
      </c>
      <c r="F5686" t="inlineStr">
        <is>
          <t>Holmen skog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32628-2023</t>
        </is>
      </c>
      <c r="B5687" s="1" t="n">
        <v>45112</v>
      </c>
      <c r="C5687" s="1" t="n">
        <v>45971</v>
      </c>
      <c r="D5687" t="inlineStr">
        <is>
          <t>VÄSTERBOTTENS LÄN</t>
        </is>
      </c>
      <c r="E5687" t="inlineStr">
        <is>
          <t>UMEÅ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35844-2023</t>
        </is>
      </c>
      <c r="B5688" s="1" t="n">
        <v>45148</v>
      </c>
      <c r="C5688" s="1" t="n">
        <v>45971</v>
      </c>
      <c r="D5688" t="inlineStr">
        <is>
          <t>VÄSTERBOTTENS LÄN</t>
        </is>
      </c>
      <c r="E5688" t="inlineStr">
        <is>
          <t>MALÅ</t>
        </is>
      </c>
      <c r="G5688" t="n">
        <v>26.3</v>
      </c>
      <c r="H5688" t="n">
        <v>0</v>
      </c>
      <c r="I5688" t="n">
        <v>0</v>
      </c>
      <c r="J5688" t="n">
        <v>0</v>
      </c>
      <c r="K5688" t="n">
        <v>0</v>
      </c>
      <c r="L5688" t="n">
        <v>0</v>
      </c>
      <c r="M5688" t="n">
        <v>0</v>
      </c>
      <c r="N5688" t="n">
        <v>0</v>
      </c>
      <c r="O5688" t="n">
        <v>0</v>
      </c>
      <c r="P5688" t="n">
        <v>0</v>
      </c>
      <c r="Q5688" t="n">
        <v>0</v>
      </c>
      <c r="R5688" s="2" t="inlineStr"/>
    </row>
    <row r="5689" ht="15" customHeight="1">
      <c r="A5689" t="inlineStr">
        <is>
          <t>A 64898-2023</t>
        </is>
      </c>
      <c r="B5689" s="1" t="n">
        <v>45282.61475694444</v>
      </c>
      <c r="C5689" s="1" t="n">
        <v>45971</v>
      </c>
      <c r="D5689" t="inlineStr">
        <is>
          <t>VÄSTERBOTTENS LÄN</t>
        </is>
      </c>
      <c r="E5689" t="inlineStr">
        <is>
          <t>ÅSELE</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64966-2023</t>
        </is>
      </c>
      <c r="B5690" s="1" t="n">
        <v>45283</v>
      </c>
      <c r="C5690" s="1" t="n">
        <v>45971</v>
      </c>
      <c r="D5690" t="inlineStr">
        <is>
          <t>VÄSTERBOTTENS LÄN</t>
        </is>
      </c>
      <c r="E5690" t="inlineStr">
        <is>
          <t>VÄNNÄS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52862-2024</t>
        </is>
      </c>
      <c r="B5691" s="1" t="n">
        <v>45610.61991898148</v>
      </c>
      <c r="C5691" s="1" t="n">
        <v>45971</v>
      </c>
      <c r="D5691" t="inlineStr">
        <is>
          <t>VÄSTERBOTTENS LÄN</t>
        </is>
      </c>
      <c r="E5691" t="inlineStr">
        <is>
          <t>SKELLEFTEÅ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52864-2024</t>
        </is>
      </c>
      <c r="B5692" s="1" t="n">
        <v>45610.62194444444</v>
      </c>
      <c r="C5692" s="1" t="n">
        <v>45971</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15701-2025</t>
        </is>
      </c>
      <c r="B5693" s="1" t="n">
        <v>45748.47508101852</v>
      </c>
      <c r="C5693" s="1" t="n">
        <v>45971</v>
      </c>
      <c r="D5693" t="inlineStr">
        <is>
          <t>VÄSTERBOTTENS LÄN</t>
        </is>
      </c>
      <c r="E5693" t="inlineStr">
        <is>
          <t>UMEÅ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35006-2024</t>
        </is>
      </c>
      <c r="B5694" s="1" t="n">
        <v>45527</v>
      </c>
      <c r="C5694" s="1" t="n">
        <v>45971</v>
      </c>
      <c r="D5694" t="inlineStr">
        <is>
          <t>VÄSTERBOTTENS LÄN</t>
        </is>
      </c>
      <c r="E5694" t="inlineStr">
        <is>
          <t>VÄNNÄS</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22121-2023</t>
        </is>
      </c>
      <c r="B5695" s="1" t="n">
        <v>45069.57740740741</v>
      </c>
      <c r="C5695" s="1" t="n">
        <v>45971</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1872-2023</t>
        </is>
      </c>
      <c r="B5696" s="1" t="n">
        <v>44938.93849537037</v>
      </c>
      <c r="C5696" s="1" t="n">
        <v>45971</v>
      </c>
      <c r="D5696" t="inlineStr">
        <is>
          <t>VÄSTERBOTTENS LÄN</t>
        </is>
      </c>
      <c r="E5696" t="inlineStr">
        <is>
          <t>ÅSELE</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62088-2022</t>
        </is>
      </c>
      <c r="B5697" s="1" t="n">
        <v>44919</v>
      </c>
      <c r="C5697" s="1" t="n">
        <v>45971</v>
      </c>
      <c r="D5697" t="inlineStr">
        <is>
          <t>VÄSTERBOTTENS LÄN</t>
        </is>
      </c>
      <c r="E5697" t="inlineStr">
        <is>
          <t>BJURHOLM</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54316-2022</t>
        </is>
      </c>
      <c r="B5698" s="1" t="n">
        <v>44879</v>
      </c>
      <c r="C5698" s="1" t="n">
        <v>45971</v>
      </c>
      <c r="D5698" t="inlineStr">
        <is>
          <t>VÄSTERBOTTENS LÄN</t>
        </is>
      </c>
      <c r="E5698" t="inlineStr">
        <is>
          <t>SKELLEFTEÅ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5220-2024</t>
        </is>
      </c>
      <c r="B5699" s="1" t="n">
        <v>45330</v>
      </c>
      <c r="C5699" s="1" t="n">
        <v>45971</v>
      </c>
      <c r="D5699" t="inlineStr">
        <is>
          <t>VÄSTERBOTTENS LÄN</t>
        </is>
      </c>
      <c r="E5699" t="inlineStr">
        <is>
          <t>SKELLEFTEÅ</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46268-2024</t>
        </is>
      </c>
      <c r="B5700" s="1" t="n">
        <v>45581</v>
      </c>
      <c r="C5700" s="1" t="n">
        <v>45971</v>
      </c>
      <c r="D5700" t="inlineStr">
        <is>
          <t>VÄSTERBOTTENS LÄN</t>
        </is>
      </c>
      <c r="E5700" t="inlineStr">
        <is>
          <t>SKELLEFTEÅ</t>
        </is>
      </c>
      <c r="F5700" t="inlineStr">
        <is>
          <t>Holmen skog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33400-2023</t>
        </is>
      </c>
      <c r="B5701" s="1" t="n">
        <v>45128.64351851852</v>
      </c>
      <c r="C5701" s="1" t="n">
        <v>45971</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33412-2023</t>
        </is>
      </c>
      <c r="B5702" s="1" t="n">
        <v>45117</v>
      </c>
      <c r="C5702" s="1" t="n">
        <v>45971</v>
      </c>
      <c r="D5702" t="inlineStr">
        <is>
          <t>VÄSTERBOTTENS LÄN</t>
        </is>
      </c>
      <c r="E5702" t="inlineStr">
        <is>
          <t>VILHELMINA</t>
        </is>
      </c>
      <c r="F5702" t="inlineStr">
        <is>
          <t>Övriga Aktiebolag</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5239-2024</t>
        </is>
      </c>
      <c r="B5703" s="1" t="n">
        <v>45330.85105324074</v>
      </c>
      <c r="C5703" s="1" t="n">
        <v>45971</v>
      </c>
      <c r="D5703" t="inlineStr">
        <is>
          <t>VÄSTERBOTTENS LÄN</t>
        </is>
      </c>
      <c r="E5703" t="inlineStr">
        <is>
          <t>SKELLEFTEÅ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63136-2023</t>
        </is>
      </c>
      <c r="B5704" s="1" t="n">
        <v>45273.46479166667</v>
      </c>
      <c r="C5704" s="1" t="n">
        <v>45971</v>
      </c>
      <c r="D5704" t="inlineStr">
        <is>
          <t>VÄSTERBOTTENS LÄN</t>
        </is>
      </c>
      <c r="E5704" t="inlineStr">
        <is>
          <t>UMEÅ</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60782-2023</t>
        </is>
      </c>
      <c r="B5705" s="1" t="n">
        <v>45259</v>
      </c>
      <c r="C5705" s="1" t="n">
        <v>45971</v>
      </c>
      <c r="D5705" t="inlineStr">
        <is>
          <t>VÄSTERBOTTENS LÄN</t>
        </is>
      </c>
      <c r="E5705" t="inlineStr">
        <is>
          <t>VILHELMINA</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51401-2024</t>
        </is>
      </c>
      <c r="B5706" s="1" t="n">
        <v>45604.42592592593</v>
      </c>
      <c r="C5706" s="1" t="n">
        <v>45971</v>
      </c>
      <c r="D5706" t="inlineStr">
        <is>
          <t>VÄSTERBOTTENS LÄN</t>
        </is>
      </c>
      <c r="E5706" t="inlineStr">
        <is>
          <t>NORSJÖ</t>
        </is>
      </c>
      <c r="F5706" t="inlineStr">
        <is>
          <t>Holmen skog AB</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51406-2024</t>
        </is>
      </c>
      <c r="B5707" s="1" t="n">
        <v>45604.42814814814</v>
      </c>
      <c r="C5707" s="1" t="n">
        <v>45971</v>
      </c>
      <c r="D5707" t="inlineStr">
        <is>
          <t>VÄSTERBOTTENS LÄN</t>
        </is>
      </c>
      <c r="E5707" t="inlineStr">
        <is>
          <t>LYCKSELE</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7220-2025</t>
        </is>
      </c>
      <c r="B5708" s="1" t="n">
        <v>45702.48326388889</v>
      </c>
      <c r="C5708" s="1" t="n">
        <v>45971</v>
      </c>
      <c r="D5708" t="inlineStr">
        <is>
          <t>VÄSTERBOTTENS LÄN</t>
        </is>
      </c>
      <c r="E5708" t="inlineStr">
        <is>
          <t>NORDMALING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40787-2024</t>
        </is>
      </c>
      <c r="B5709" s="1" t="n">
        <v>45558</v>
      </c>
      <c r="C5709" s="1" t="n">
        <v>45971</v>
      </c>
      <c r="D5709" t="inlineStr">
        <is>
          <t>VÄSTERBOTTENS LÄN</t>
        </is>
      </c>
      <c r="E5709" t="inlineStr">
        <is>
          <t>SKELLEFTEÅ</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60111-2020</t>
        </is>
      </c>
      <c r="B5710" s="1" t="n">
        <v>44152</v>
      </c>
      <c r="C5710" s="1" t="n">
        <v>45971</v>
      </c>
      <c r="D5710" t="inlineStr">
        <is>
          <t>VÄSTERBOTTENS LÄN</t>
        </is>
      </c>
      <c r="E5710" t="inlineStr">
        <is>
          <t>BJURHOLM</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22450-2024</t>
        </is>
      </c>
      <c r="B5711" s="1" t="n">
        <v>45446.94887731481</v>
      </c>
      <c r="C5711" s="1" t="n">
        <v>45971</v>
      </c>
      <c r="D5711" t="inlineStr">
        <is>
          <t>VÄSTERBOTTENS LÄN</t>
        </is>
      </c>
      <c r="E5711" t="inlineStr">
        <is>
          <t>DOROTEA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10986-2025</t>
        </is>
      </c>
      <c r="B5712" s="1" t="n">
        <v>45723.41918981481</v>
      </c>
      <c r="C5712" s="1" t="n">
        <v>45971</v>
      </c>
      <c r="D5712" t="inlineStr">
        <is>
          <t>VÄSTERBOTTENS LÄN</t>
        </is>
      </c>
      <c r="E5712" t="inlineStr">
        <is>
          <t>SKELLEFTEÅ</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7910-2024</t>
        </is>
      </c>
      <c r="B5713" s="1" t="n">
        <v>45349</v>
      </c>
      <c r="C5713" s="1" t="n">
        <v>45971</v>
      </c>
      <c r="D5713" t="inlineStr">
        <is>
          <t>VÄSTERBOTTENS LÄN</t>
        </is>
      </c>
      <c r="E5713" t="inlineStr">
        <is>
          <t>UMEÅ</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702-2023</t>
        </is>
      </c>
      <c r="B5714" s="1" t="n">
        <v>44930.92688657407</v>
      </c>
      <c r="C5714" s="1" t="n">
        <v>45971</v>
      </c>
      <c r="D5714" t="inlineStr">
        <is>
          <t>VÄSTERBOTTENS LÄN</t>
        </is>
      </c>
      <c r="E5714" t="inlineStr">
        <is>
          <t>SKELLEFTEÅ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61044-2022</t>
        </is>
      </c>
      <c r="B5715" s="1" t="n">
        <v>44914.97001157407</v>
      </c>
      <c r="C5715" s="1" t="n">
        <v>45971</v>
      </c>
      <c r="D5715" t="inlineStr">
        <is>
          <t>VÄSTERBOTTENS LÄN</t>
        </is>
      </c>
      <c r="E5715" t="inlineStr">
        <is>
          <t>BJURHOLM</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5640-2025</t>
        </is>
      </c>
      <c r="B5716" s="1" t="n">
        <v>45693</v>
      </c>
      <c r="C5716" s="1" t="n">
        <v>45971</v>
      </c>
      <c r="D5716" t="inlineStr">
        <is>
          <t>VÄSTERBOTTENS LÄN</t>
        </is>
      </c>
      <c r="E5716" t="inlineStr">
        <is>
          <t>DOROTEA</t>
        </is>
      </c>
      <c r="F5716" t="inlineStr">
        <is>
          <t>SCA</t>
        </is>
      </c>
      <c r="G5716" t="n">
        <v>24.1</v>
      </c>
      <c r="H5716" t="n">
        <v>0</v>
      </c>
      <c r="I5716" t="n">
        <v>0</v>
      </c>
      <c r="J5716" t="n">
        <v>0</v>
      </c>
      <c r="K5716" t="n">
        <v>0</v>
      </c>
      <c r="L5716" t="n">
        <v>0</v>
      </c>
      <c r="M5716" t="n">
        <v>0</v>
      </c>
      <c r="N5716" t="n">
        <v>0</v>
      </c>
      <c r="O5716" t="n">
        <v>0</v>
      </c>
      <c r="P5716" t="n">
        <v>0</v>
      </c>
      <c r="Q5716" t="n">
        <v>0</v>
      </c>
      <c r="R5716" s="2" t="inlineStr"/>
    </row>
    <row r="5717" ht="15" customHeight="1">
      <c r="A5717" t="inlineStr">
        <is>
          <t>A 61105-2022</t>
        </is>
      </c>
      <c r="B5717" s="1" t="n">
        <v>44915.41087962963</v>
      </c>
      <c r="C5717" s="1" t="n">
        <v>45971</v>
      </c>
      <c r="D5717" t="inlineStr">
        <is>
          <t>VÄSTERBOTTENS LÄN</t>
        </is>
      </c>
      <c r="E5717" t="inlineStr">
        <is>
          <t>SKELLEFTEÅ</t>
        </is>
      </c>
      <c r="F5717" t="inlineStr">
        <is>
          <t>Sveaskog</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15799-2024</t>
        </is>
      </c>
      <c r="B5718" s="1" t="n">
        <v>45404.63964120371</v>
      </c>
      <c r="C5718" s="1" t="n">
        <v>45971</v>
      </c>
      <c r="D5718" t="inlineStr">
        <is>
          <t>VÄSTERBOTTENS LÄN</t>
        </is>
      </c>
      <c r="E5718" t="inlineStr">
        <is>
          <t>ROBERTSFORS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14070-2024</t>
        </is>
      </c>
      <c r="B5719" s="1" t="n">
        <v>45392.57258101852</v>
      </c>
      <c r="C5719" s="1" t="n">
        <v>45971</v>
      </c>
      <c r="D5719" t="inlineStr">
        <is>
          <t>VÄSTERBOTTENS LÄN</t>
        </is>
      </c>
      <c r="E5719" t="inlineStr">
        <is>
          <t>LYCKSELE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24763-2023</t>
        </is>
      </c>
      <c r="B5720" s="1" t="n">
        <v>45084.63084490741</v>
      </c>
      <c r="C5720" s="1" t="n">
        <v>45971</v>
      </c>
      <c r="D5720" t="inlineStr">
        <is>
          <t>VÄSTERBOTTENS LÄN</t>
        </is>
      </c>
      <c r="E5720" t="inlineStr">
        <is>
          <t>NORSJÖ</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46379-2024</t>
        </is>
      </c>
      <c r="B5721" s="1" t="n">
        <v>45582.38579861111</v>
      </c>
      <c r="C5721" s="1" t="n">
        <v>45971</v>
      </c>
      <c r="D5721" t="inlineStr">
        <is>
          <t>VÄSTERBOTTENS LÄN</t>
        </is>
      </c>
      <c r="E5721" t="inlineStr">
        <is>
          <t>DOROTEA</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48574-2025</t>
        </is>
      </c>
      <c r="B5722" s="1" t="n">
        <v>45936.4525</v>
      </c>
      <c r="C5722" s="1" t="n">
        <v>45971</v>
      </c>
      <c r="D5722" t="inlineStr">
        <is>
          <t>VÄSTERBOTTENS LÄN</t>
        </is>
      </c>
      <c r="E5722" t="inlineStr">
        <is>
          <t>NORSJÖ</t>
        </is>
      </c>
      <c r="F5722" t="inlineStr">
        <is>
          <t>Holmen skog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39921-2025</t>
        </is>
      </c>
      <c r="B5723" s="1" t="n">
        <v>45891.66770833333</v>
      </c>
      <c r="C5723" s="1" t="n">
        <v>45971</v>
      </c>
      <c r="D5723" t="inlineStr">
        <is>
          <t>VÄSTERBOTTENS LÄN</t>
        </is>
      </c>
      <c r="E5723" t="inlineStr">
        <is>
          <t>SKELLEFTEÅ</t>
        </is>
      </c>
      <c r="F5723" t="inlineStr">
        <is>
          <t>Holmen skog AB</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39978-2025</t>
        </is>
      </c>
      <c r="B5724" s="1" t="n">
        <v>45893.69837962963</v>
      </c>
      <c r="C5724" s="1" t="n">
        <v>45971</v>
      </c>
      <c r="D5724" t="inlineStr">
        <is>
          <t>VÄSTERBOTTENS LÄN</t>
        </is>
      </c>
      <c r="E5724" t="inlineStr">
        <is>
          <t>ÅSELE</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39982-2025</t>
        </is>
      </c>
      <c r="B5725" s="1" t="n">
        <v>45893</v>
      </c>
      <c r="C5725" s="1" t="n">
        <v>45971</v>
      </c>
      <c r="D5725" t="inlineStr">
        <is>
          <t>VÄSTERBOTTENS LÄN</t>
        </is>
      </c>
      <c r="E5725" t="inlineStr">
        <is>
          <t>ROBERTSFORS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61744-2024</t>
        </is>
      </c>
      <c r="B5726" s="1" t="n">
        <v>45649</v>
      </c>
      <c r="C5726" s="1" t="n">
        <v>45971</v>
      </c>
      <c r="D5726" t="inlineStr">
        <is>
          <t>VÄSTERBOTTENS LÄN</t>
        </is>
      </c>
      <c r="E5726" t="inlineStr">
        <is>
          <t>ÅSELE</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57246-2023</t>
        </is>
      </c>
      <c r="B5727" s="1" t="n">
        <v>45239</v>
      </c>
      <c r="C5727" s="1" t="n">
        <v>45971</v>
      </c>
      <c r="D5727" t="inlineStr">
        <is>
          <t>VÄSTERBOTTENS LÄN</t>
        </is>
      </c>
      <c r="E5727" t="inlineStr">
        <is>
          <t>VILHELMINA</t>
        </is>
      </c>
      <c r="G5727" t="n">
        <v>15.3</v>
      </c>
      <c r="H5727" t="n">
        <v>0</v>
      </c>
      <c r="I5727" t="n">
        <v>0</v>
      </c>
      <c r="J5727" t="n">
        <v>0</v>
      </c>
      <c r="K5727" t="n">
        <v>0</v>
      </c>
      <c r="L5727" t="n">
        <v>0</v>
      </c>
      <c r="M5727" t="n">
        <v>0</v>
      </c>
      <c r="N5727" t="n">
        <v>0</v>
      </c>
      <c r="O5727" t="n">
        <v>0</v>
      </c>
      <c r="P5727" t="n">
        <v>0</v>
      </c>
      <c r="Q5727" t="n">
        <v>0</v>
      </c>
      <c r="R5727" s="2" t="inlineStr"/>
    </row>
    <row r="5728" ht="15" customHeight="1">
      <c r="A5728" t="inlineStr">
        <is>
          <t>A 57251-2023</t>
        </is>
      </c>
      <c r="B5728" s="1" t="n">
        <v>45245.56866898148</v>
      </c>
      <c r="C5728" s="1" t="n">
        <v>45971</v>
      </c>
      <c r="D5728" t="inlineStr">
        <is>
          <t>VÄSTERBOTTENS LÄN</t>
        </is>
      </c>
      <c r="E5728" t="inlineStr">
        <is>
          <t>NORDMALING</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57303-2023</t>
        </is>
      </c>
      <c r="B5729" s="1" t="n">
        <v>45245</v>
      </c>
      <c r="C5729" s="1" t="n">
        <v>45971</v>
      </c>
      <c r="D5729" t="inlineStr">
        <is>
          <t>VÄSTERBOTTENS LÄN</t>
        </is>
      </c>
      <c r="E5729" t="inlineStr">
        <is>
          <t>MALÅ</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24142-2025</t>
        </is>
      </c>
      <c r="B5730" s="1" t="n">
        <v>45796.64349537037</v>
      </c>
      <c r="C5730" s="1" t="n">
        <v>45971</v>
      </c>
      <c r="D5730" t="inlineStr">
        <is>
          <t>VÄSTERBOTTENS LÄN</t>
        </is>
      </c>
      <c r="E5730" t="inlineStr">
        <is>
          <t>SKELLEFTEÅ</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46041-2024</t>
        </is>
      </c>
      <c r="B5731" s="1" t="n">
        <v>45580.79371527778</v>
      </c>
      <c r="C5731" s="1" t="n">
        <v>45971</v>
      </c>
      <c r="D5731" t="inlineStr">
        <is>
          <t>VÄSTERBOTTENS LÄN</t>
        </is>
      </c>
      <c r="E5731" t="inlineStr">
        <is>
          <t>ROBERTSFORS</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45690-2024</t>
        </is>
      </c>
      <c r="B5732" s="1" t="n">
        <v>45579</v>
      </c>
      <c r="C5732" s="1" t="n">
        <v>45971</v>
      </c>
      <c r="D5732" t="inlineStr">
        <is>
          <t>VÄSTERBOTTENS LÄN</t>
        </is>
      </c>
      <c r="E5732" t="inlineStr">
        <is>
          <t>SKELLEFTEÅ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22218-2023</t>
        </is>
      </c>
      <c r="B5733" s="1" t="n">
        <v>45069</v>
      </c>
      <c r="C5733" s="1" t="n">
        <v>45971</v>
      </c>
      <c r="D5733" t="inlineStr">
        <is>
          <t>VÄSTERBOTTENS LÄN</t>
        </is>
      </c>
      <c r="E5733" t="inlineStr">
        <is>
          <t>NORSJÖ</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45693-2024</t>
        </is>
      </c>
      <c r="B5734" s="1" t="n">
        <v>45579.555625</v>
      </c>
      <c r="C5734" s="1" t="n">
        <v>45971</v>
      </c>
      <c r="D5734" t="inlineStr">
        <is>
          <t>VÄSTERBOTTENS LÄN</t>
        </is>
      </c>
      <c r="E5734" t="inlineStr">
        <is>
          <t>NORSJÖ</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4292-2024</t>
        </is>
      </c>
      <c r="B5735" s="1" t="n">
        <v>45324.6081712963</v>
      </c>
      <c r="C5735" s="1" t="n">
        <v>45971</v>
      </c>
      <c r="D5735" t="inlineStr">
        <is>
          <t>VÄSTERBOTTENS LÄN</t>
        </is>
      </c>
      <c r="E5735" t="inlineStr">
        <is>
          <t>SKELLEFTEÅ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54769-2021</t>
        </is>
      </c>
      <c r="B5736" s="1" t="n">
        <v>44473</v>
      </c>
      <c r="C5736" s="1" t="n">
        <v>45971</v>
      </c>
      <c r="D5736" t="inlineStr">
        <is>
          <t>VÄSTERBOTTENS LÄN</t>
        </is>
      </c>
      <c r="E5736" t="inlineStr">
        <is>
          <t>SORSELE</t>
        </is>
      </c>
      <c r="F5736" t="inlineStr">
        <is>
          <t>SCA</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56246-2023</t>
        </is>
      </c>
      <c r="B5737" s="1" t="n">
        <v>45240</v>
      </c>
      <c r="C5737" s="1" t="n">
        <v>45971</v>
      </c>
      <c r="D5737" t="inlineStr">
        <is>
          <t>VÄSTERBOTTENS LÄN</t>
        </is>
      </c>
      <c r="E5737" t="inlineStr">
        <is>
          <t>VILHELMINA</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1480-2023</t>
        </is>
      </c>
      <c r="B5738" s="1" t="n">
        <v>44937</v>
      </c>
      <c r="C5738" s="1" t="n">
        <v>45971</v>
      </c>
      <c r="D5738" t="inlineStr">
        <is>
          <t>VÄSTERBOTTENS LÄN</t>
        </is>
      </c>
      <c r="E5738" t="inlineStr">
        <is>
          <t>UMEÅ</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54784-2021</t>
        </is>
      </c>
      <c r="B5739" s="1" t="n">
        <v>44473.94143518519</v>
      </c>
      <c r="C5739" s="1" t="n">
        <v>45971</v>
      </c>
      <c r="D5739" t="inlineStr">
        <is>
          <t>VÄSTERBOTTENS LÄN</t>
        </is>
      </c>
      <c r="E5739" t="inlineStr">
        <is>
          <t>NORDMALING</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4618-2023</t>
        </is>
      </c>
      <c r="B5740" s="1" t="n">
        <v>44956</v>
      </c>
      <c r="C5740" s="1" t="n">
        <v>45971</v>
      </c>
      <c r="D5740" t="inlineStr">
        <is>
          <t>VÄSTERBOTTENS LÄN</t>
        </is>
      </c>
      <c r="E5740" t="inlineStr">
        <is>
          <t>DOROTEA</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9814-2024</t>
        </is>
      </c>
      <c r="B5741" s="1" t="n">
        <v>45362.96918981482</v>
      </c>
      <c r="C5741" s="1" t="n">
        <v>45971</v>
      </c>
      <c r="D5741" t="inlineStr">
        <is>
          <t>VÄSTERBOTTENS LÄN</t>
        </is>
      </c>
      <c r="E5741" t="inlineStr">
        <is>
          <t>NORSJÖ</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9815-2024</t>
        </is>
      </c>
      <c r="B5742" s="1" t="n">
        <v>45362.96927083333</v>
      </c>
      <c r="C5742" s="1" t="n">
        <v>45971</v>
      </c>
      <c r="D5742" t="inlineStr">
        <is>
          <t>VÄSTERBOTTENS LÄN</t>
        </is>
      </c>
      <c r="E5742" t="inlineStr">
        <is>
          <t>VILHELMINA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60151-2024</t>
        </is>
      </c>
      <c r="B5743" s="1" t="n">
        <v>45642.61490740741</v>
      </c>
      <c r="C5743" s="1" t="n">
        <v>45971</v>
      </c>
      <c r="D5743" t="inlineStr">
        <is>
          <t>VÄSTERBOTTENS LÄN</t>
        </is>
      </c>
      <c r="E5743" t="inlineStr">
        <is>
          <t>VILHELMINA</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60153-2024</t>
        </is>
      </c>
      <c r="B5744" s="1" t="n">
        <v>45642</v>
      </c>
      <c r="C5744" s="1" t="n">
        <v>45971</v>
      </c>
      <c r="D5744" t="inlineStr">
        <is>
          <t>VÄSTERBOTTENS LÄN</t>
        </is>
      </c>
      <c r="E5744" t="inlineStr">
        <is>
          <t>DOROTEA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64942-2023</t>
        </is>
      </c>
      <c r="B5745" s="1" t="n">
        <v>45282</v>
      </c>
      <c r="C5745" s="1" t="n">
        <v>45971</v>
      </c>
      <c r="D5745" t="inlineStr">
        <is>
          <t>VÄSTERBOTTENS LÄN</t>
        </is>
      </c>
      <c r="E5745" t="inlineStr">
        <is>
          <t>SKELLEFTEÅ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12866-2023</t>
        </is>
      </c>
      <c r="B5746" s="1" t="n">
        <v>45000</v>
      </c>
      <c r="C5746" s="1" t="n">
        <v>45971</v>
      </c>
      <c r="D5746" t="inlineStr">
        <is>
          <t>VÄSTERBOTTENS LÄN</t>
        </is>
      </c>
      <c r="E5746" t="inlineStr">
        <is>
          <t>VILHELMINA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47980-2024</t>
        </is>
      </c>
      <c r="B5747" s="1" t="n">
        <v>45589</v>
      </c>
      <c r="C5747" s="1" t="n">
        <v>45971</v>
      </c>
      <c r="D5747" t="inlineStr">
        <is>
          <t>VÄSTERBOTTENS LÄN</t>
        </is>
      </c>
      <c r="E5747" t="inlineStr">
        <is>
          <t>SORSELE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7709-2023</t>
        </is>
      </c>
      <c r="B5748" s="1" t="n">
        <v>44969</v>
      </c>
      <c r="C5748" s="1" t="n">
        <v>45971</v>
      </c>
      <c r="D5748" t="inlineStr">
        <is>
          <t>VÄSTERBOTTENS LÄN</t>
        </is>
      </c>
      <c r="E5748" t="inlineStr">
        <is>
          <t>SORSELE</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48140-2025</t>
        </is>
      </c>
      <c r="B5749" s="1" t="n">
        <v>45933.38341435185</v>
      </c>
      <c r="C5749" s="1" t="n">
        <v>45971</v>
      </c>
      <c r="D5749" t="inlineStr">
        <is>
          <t>VÄSTERBOTTENS LÄN</t>
        </is>
      </c>
      <c r="E5749" t="inlineStr">
        <is>
          <t>LYCKSELE</t>
        </is>
      </c>
      <c r="G5749" t="n">
        <v>13.6</v>
      </c>
      <c r="H5749" t="n">
        <v>0</v>
      </c>
      <c r="I5749" t="n">
        <v>0</v>
      </c>
      <c r="J5749" t="n">
        <v>0</v>
      </c>
      <c r="K5749" t="n">
        <v>0</v>
      </c>
      <c r="L5749" t="n">
        <v>0</v>
      </c>
      <c r="M5749" t="n">
        <v>0</v>
      </c>
      <c r="N5749" t="n">
        <v>0</v>
      </c>
      <c r="O5749" t="n">
        <v>0</v>
      </c>
      <c r="P5749" t="n">
        <v>0</v>
      </c>
      <c r="Q5749" t="n">
        <v>0</v>
      </c>
      <c r="R5749" s="2" t="inlineStr"/>
    </row>
    <row r="5750" ht="15" customHeight="1">
      <c r="A5750" t="inlineStr">
        <is>
          <t>A 37171-2023</t>
        </is>
      </c>
      <c r="B5750" s="1" t="n">
        <v>45154</v>
      </c>
      <c r="C5750" s="1" t="n">
        <v>45971</v>
      </c>
      <c r="D5750" t="inlineStr">
        <is>
          <t>VÄSTERBOTTENS LÄN</t>
        </is>
      </c>
      <c r="E5750" t="inlineStr">
        <is>
          <t>MALÅ</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48033-2024</t>
        </is>
      </c>
      <c r="B5751" s="1" t="n">
        <v>45589.49001157407</v>
      </c>
      <c r="C5751" s="1" t="n">
        <v>45971</v>
      </c>
      <c r="D5751" t="inlineStr">
        <is>
          <t>VÄSTERBOTTENS LÄN</t>
        </is>
      </c>
      <c r="E5751" t="inlineStr">
        <is>
          <t>ÅSELE</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8908-2023</t>
        </is>
      </c>
      <c r="B5752" s="1" t="n">
        <v>44972</v>
      </c>
      <c r="C5752" s="1" t="n">
        <v>45971</v>
      </c>
      <c r="D5752" t="inlineStr">
        <is>
          <t>VÄSTERBOTTENS LÄN</t>
        </is>
      </c>
      <c r="E5752" t="inlineStr">
        <is>
          <t>VILHELMINA</t>
        </is>
      </c>
      <c r="F5752" t="inlineStr">
        <is>
          <t>Allmännings- och besparingsskogar</t>
        </is>
      </c>
      <c r="G5752" t="n">
        <v>22.3</v>
      </c>
      <c r="H5752" t="n">
        <v>0</v>
      </c>
      <c r="I5752" t="n">
        <v>0</v>
      </c>
      <c r="J5752" t="n">
        <v>0</v>
      </c>
      <c r="K5752" t="n">
        <v>0</v>
      </c>
      <c r="L5752" t="n">
        <v>0</v>
      </c>
      <c r="M5752" t="n">
        <v>0</v>
      </c>
      <c r="N5752" t="n">
        <v>0</v>
      </c>
      <c r="O5752" t="n">
        <v>0</v>
      </c>
      <c r="P5752" t="n">
        <v>0</v>
      </c>
      <c r="Q5752" t="n">
        <v>0</v>
      </c>
      <c r="R5752" s="2" t="inlineStr"/>
    </row>
    <row r="5753" ht="15" customHeight="1">
      <c r="A5753" t="inlineStr">
        <is>
          <t>A 41642-2024</t>
        </is>
      </c>
      <c r="B5753" s="1" t="n">
        <v>45560.63359953704</v>
      </c>
      <c r="C5753" s="1" t="n">
        <v>45971</v>
      </c>
      <c r="D5753" t="inlineStr">
        <is>
          <t>VÄSTERBOTTENS LÄN</t>
        </is>
      </c>
      <c r="E5753" t="inlineStr">
        <is>
          <t>SKELLEFTEÅ</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51573-2023</t>
        </is>
      </c>
      <c r="B5754" s="1" t="n">
        <v>45222</v>
      </c>
      <c r="C5754" s="1" t="n">
        <v>45971</v>
      </c>
      <c r="D5754" t="inlineStr">
        <is>
          <t>VÄSTERBOTTENS LÄN</t>
        </is>
      </c>
      <c r="E5754" t="inlineStr">
        <is>
          <t>MALÅ</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41710-2024</t>
        </is>
      </c>
      <c r="B5755" s="1" t="n">
        <v>45560.70313657408</v>
      </c>
      <c r="C5755" s="1" t="n">
        <v>45971</v>
      </c>
      <c r="D5755" t="inlineStr">
        <is>
          <t>VÄSTERBOTTENS LÄN</t>
        </is>
      </c>
      <c r="E5755" t="inlineStr">
        <is>
          <t>SKELLEFTEÅ</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62975-2021</t>
        </is>
      </c>
      <c r="B5756" s="1" t="n">
        <v>44505</v>
      </c>
      <c r="C5756" s="1" t="n">
        <v>45971</v>
      </c>
      <c r="D5756" t="inlineStr">
        <is>
          <t>VÄSTERBOTTENS LÄN</t>
        </is>
      </c>
      <c r="E5756" t="inlineStr">
        <is>
          <t>ÅSELE</t>
        </is>
      </c>
      <c r="F5756" t="inlineStr">
        <is>
          <t>Holmen skog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63060-2023</t>
        </is>
      </c>
      <c r="B5757" s="1" t="n">
        <v>45272.95590277778</v>
      </c>
      <c r="C5757" s="1" t="n">
        <v>45971</v>
      </c>
      <c r="D5757" t="inlineStr">
        <is>
          <t>VÄSTERBOTTENS LÄN</t>
        </is>
      </c>
      <c r="E5757" t="inlineStr">
        <is>
          <t>ÅSELE</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42621-2025</t>
        </is>
      </c>
      <c r="B5758" s="1" t="n">
        <v>45905</v>
      </c>
      <c r="C5758" s="1" t="n">
        <v>45971</v>
      </c>
      <c r="D5758" t="inlineStr">
        <is>
          <t>VÄSTERBOTTENS LÄN</t>
        </is>
      </c>
      <c r="E5758" t="inlineStr">
        <is>
          <t>SKELLEFTEÅ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32746-2023</t>
        </is>
      </c>
      <c r="B5759" s="1" t="n">
        <v>45122</v>
      </c>
      <c r="C5759" s="1" t="n">
        <v>45971</v>
      </c>
      <c r="D5759" t="inlineStr">
        <is>
          <t>VÄSTERBOTTENS LÄN</t>
        </is>
      </c>
      <c r="E5759" t="inlineStr">
        <is>
          <t>SKELLEFTEÅ</t>
        </is>
      </c>
      <c r="F5759" t="inlineStr">
        <is>
          <t>Holmen skog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34485-2023</t>
        </is>
      </c>
      <c r="B5760" s="1" t="n">
        <v>45139.94703703704</v>
      </c>
      <c r="C5760" s="1" t="n">
        <v>45971</v>
      </c>
      <c r="D5760" t="inlineStr">
        <is>
          <t>VÄSTERBOTTENS LÄN</t>
        </is>
      </c>
      <c r="E5760" t="inlineStr">
        <is>
          <t>NORDMALING</t>
        </is>
      </c>
      <c r="F5760" t="inlineStr">
        <is>
          <t>SCA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37271-2023</t>
        </is>
      </c>
      <c r="B5761" s="1" t="n">
        <v>45155</v>
      </c>
      <c r="C5761" s="1" t="n">
        <v>45971</v>
      </c>
      <c r="D5761" t="inlineStr">
        <is>
          <t>VÄSTERBOTTENS LÄN</t>
        </is>
      </c>
      <c r="E5761" t="inlineStr">
        <is>
          <t>LYCKSELE</t>
        </is>
      </c>
      <c r="F5761" t="inlineStr">
        <is>
          <t>SCA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7102-2024</t>
        </is>
      </c>
      <c r="B5762" s="1" t="n">
        <v>45343</v>
      </c>
      <c r="C5762" s="1" t="n">
        <v>45971</v>
      </c>
      <c r="D5762" t="inlineStr">
        <is>
          <t>VÄSTERBOTTENS LÄN</t>
        </is>
      </c>
      <c r="E5762" t="inlineStr">
        <is>
          <t>VILHELMINA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63727-2020</t>
        </is>
      </c>
      <c r="B5763" s="1" t="n">
        <v>44166</v>
      </c>
      <c r="C5763" s="1" t="n">
        <v>45971</v>
      </c>
      <c r="D5763" t="inlineStr">
        <is>
          <t>VÄSTERBOTTENS LÄN</t>
        </is>
      </c>
      <c r="E5763" t="inlineStr">
        <is>
          <t>VÄNNÄS</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56727-2022</t>
        </is>
      </c>
      <c r="B5764" s="1" t="n">
        <v>44893</v>
      </c>
      <c r="C5764" s="1" t="n">
        <v>45971</v>
      </c>
      <c r="D5764" t="inlineStr">
        <is>
          <t>VÄSTERBOTTENS LÄN</t>
        </is>
      </c>
      <c r="E5764" t="inlineStr">
        <is>
          <t>MALÅ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25704-2025</t>
        </is>
      </c>
      <c r="B5765" s="1" t="n">
        <v>45803.6743287037</v>
      </c>
      <c r="C5765" s="1" t="n">
        <v>45971</v>
      </c>
      <c r="D5765" t="inlineStr">
        <is>
          <t>VÄSTERBOTTENS LÄN</t>
        </is>
      </c>
      <c r="E5765" t="inlineStr">
        <is>
          <t>VINDELN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45477-2024</t>
        </is>
      </c>
      <c r="B5766" s="1" t="n">
        <v>45576.83114583333</v>
      </c>
      <c r="C5766" s="1" t="n">
        <v>45971</v>
      </c>
      <c r="D5766" t="inlineStr">
        <is>
          <t>VÄSTERBOTTENS LÄN</t>
        </is>
      </c>
      <c r="E5766" t="inlineStr">
        <is>
          <t>ÅSELE</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23297-2023</t>
        </is>
      </c>
      <c r="B5767" s="1" t="n">
        <v>45075</v>
      </c>
      <c r="C5767" s="1" t="n">
        <v>45971</v>
      </c>
      <c r="D5767" t="inlineStr">
        <is>
          <t>VÄSTERBOTTENS LÄN</t>
        </is>
      </c>
      <c r="E5767" t="inlineStr">
        <is>
          <t>LYCKSELE</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29462-2025</t>
        </is>
      </c>
      <c r="B5768" s="1" t="n">
        <v>45824.69697916666</v>
      </c>
      <c r="C5768" s="1" t="n">
        <v>45971</v>
      </c>
      <c r="D5768" t="inlineStr">
        <is>
          <t>VÄSTERBOTTENS LÄN</t>
        </is>
      </c>
      <c r="E5768" t="inlineStr">
        <is>
          <t>VÄNNÄS</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36064-2024</t>
        </is>
      </c>
      <c r="B5769" s="1" t="n">
        <v>45533.64309027778</v>
      </c>
      <c r="C5769" s="1" t="n">
        <v>45971</v>
      </c>
      <c r="D5769" t="inlineStr">
        <is>
          <t>VÄSTERBOTTENS LÄN</t>
        </is>
      </c>
      <c r="E5769" t="inlineStr">
        <is>
          <t>VINDELN</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49033-2024</t>
        </is>
      </c>
      <c r="B5770" s="1" t="n">
        <v>45594</v>
      </c>
      <c r="C5770" s="1" t="n">
        <v>45971</v>
      </c>
      <c r="D5770" t="inlineStr">
        <is>
          <t>VÄSTERBOTTENS LÄN</t>
        </is>
      </c>
      <c r="E5770" t="inlineStr">
        <is>
          <t>NORSJÖ</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38060-2023</t>
        </is>
      </c>
      <c r="B5771" s="1" t="n">
        <v>45159</v>
      </c>
      <c r="C5771" s="1" t="n">
        <v>45971</v>
      </c>
      <c r="D5771" t="inlineStr">
        <is>
          <t>VÄSTERBOTTENS LÄN</t>
        </is>
      </c>
      <c r="E5771" t="inlineStr">
        <is>
          <t>VINDELN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4900-2024</t>
        </is>
      </c>
      <c r="B5772" s="1" t="n">
        <v>45329</v>
      </c>
      <c r="C5772" s="1" t="n">
        <v>45971</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72276-2021</t>
        </is>
      </c>
      <c r="B5773" s="1" t="n">
        <v>44543</v>
      </c>
      <c r="C5773" s="1" t="n">
        <v>45971</v>
      </c>
      <c r="D5773" t="inlineStr">
        <is>
          <t>VÄSTERBOTTENS LÄN</t>
        </is>
      </c>
      <c r="E5773" t="inlineStr">
        <is>
          <t>STORUMAN</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64336-2023</t>
        </is>
      </c>
      <c r="B5774" s="1" t="n">
        <v>45279</v>
      </c>
      <c r="C5774" s="1" t="n">
        <v>45971</v>
      </c>
      <c r="D5774" t="inlineStr">
        <is>
          <t>VÄSTERBOTTENS LÄN</t>
        </is>
      </c>
      <c r="E5774" t="inlineStr">
        <is>
          <t>LYCKSELE</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7150-2024</t>
        </is>
      </c>
      <c r="B5775" s="1" t="n">
        <v>45344</v>
      </c>
      <c r="C5775" s="1" t="n">
        <v>45971</v>
      </c>
      <c r="D5775" t="inlineStr">
        <is>
          <t>VÄSTERBOTTENS LÄN</t>
        </is>
      </c>
      <c r="E5775" t="inlineStr">
        <is>
          <t>VINDELN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38816-2023</t>
        </is>
      </c>
      <c r="B5776" s="1" t="n">
        <v>45163</v>
      </c>
      <c r="C5776" s="1" t="n">
        <v>45971</v>
      </c>
      <c r="D5776" t="inlineStr">
        <is>
          <t>VÄSTERBOTTENS LÄN</t>
        </is>
      </c>
      <c r="E5776" t="inlineStr">
        <is>
          <t>NORSJÖ</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38819-2023</t>
        </is>
      </c>
      <c r="B5777" s="1" t="n">
        <v>45163</v>
      </c>
      <c r="C5777" s="1" t="n">
        <v>45971</v>
      </c>
      <c r="D5777" t="inlineStr">
        <is>
          <t>VÄSTERBOTTENS LÄN</t>
        </is>
      </c>
      <c r="E5777" t="inlineStr">
        <is>
          <t>NORSJÖ</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17345-2025</t>
        </is>
      </c>
      <c r="B5778" s="1" t="n">
        <v>45756.67292824074</v>
      </c>
      <c r="C5778" s="1" t="n">
        <v>45971</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38822-2023</t>
        </is>
      </c>
      <c r="B5779" s="1" t="n">
        <v>45163</v>
      </c>
      <c r="C5779" s="1" t="n">
        <v>45971</v>
      </c>
      <c r="D5779" t="inlineStr">
        <is>
          <t>VÄSTERBOTTENS LÄN</t>
        </is>
      </c>
      <c r="E5779" t="inlineStr">
        <is>
          <t>NORSJÖ</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9030-2025</t>
        </is>
      </c>
      <c r="B5780" s="1" t="n">
        <v>45713.61494212963</v>
      </c>
      <c r="C5780" s="1" t="n">
        <v>45971</v>
      </c>
      <c r="D5780" t="inlineStr">
        <is>
          <t>VÄSTERBOTTENS LÄN</t>
        </is>
      </c>
      <c r="E5780" t="inlineStr">
        <is>
          <t>DOROTEA</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2658-2025</t>
        </is>
      </c>
      <c r="B5781" s="1" t="n">
        <v>45676</v>
      </c>
      <c r="C5781" s="1" t="n">
        <v>45971</v>
      </c>
      <c r="D5781" t="inlineStr">
        <is>
          <t>VÄSTERBOTTENS LÄN</t>
        </is>
      </c>
      <c r="E5781" t="inlineStr">
        <is>
          <t>NORDMALING</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3830-2025</t>
        </is>
      </c>
      <c r="B5782" s="1" t="n">
        <v>45681.84473379629</v>
      </c>
      <c r="C5782" s="1" t="n">
        <v>45971</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3843-2025</t>
        </is>
      </c>
      <c r="B5783" s="1" t="n">
        <v>45683.66033564815</v>
      </c>
      <c r="C5783" s="1" t="n">
        <v>45971</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44829-2024</t>
        </is>
      </c>
      <c r="B5784" s="1" t="n">
        <v>45574.67832175926</v>
      </c>
      <c r="C5784" s="1" t="n">
        <v>45971</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31387-2025</t>
        </is>
      </c>
      <c r="B5785" s="1" t="n">
        <v>45833</v>
      </c>
      <c r="C5785" s="1" t="n">
        <v>45971</v>
      </c>
      <c r="D5785" t="inlineStr">
        <is>
          <t>VÄSTERBOTTENS LÄN</t>
        </is>
      </c>
      <c r="E5785" t="inlineStr">
        <is>
          <t>SKELLEFTEÅ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36892-2024</t>
        </is>
      </c>
      <c r="B5786" s="1" t="n">
        <v>45538.61142361111</v>
      </c>
      <c r="C5786" s="1" t="n">
        <v>45971</v>
      </c>
      <c r="D5786" t="inlineStr">
        <is>
          <t>VÄSTERBOTTENS LÄN</t>
        </is>
      </c>
      <c r="E5786" t="inlineStr">
        <is>
          <t>VINDELN</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41661-2024</t>
        </is>
      </c>
      <c r="B5787" s="1" t="n">
        <v>45560.64589120371</v>
      </c>
      <c r="C5787" s="1" t="n">
        <v>45971</v>
      </c>
      <c r="D5787" t="inlineStr">
        <is>
          <t>VÄSTERBOTTENS LÄN</t>
        </is>
      </c>
      <c r="E5787" t="inlineStr">
        <is>
          <t>VINDELN</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33694-2024</t>
        </is>
      </c>
      <c r="B5788" s="1" t="n">
        <v>45520.51614583333</v>
      </c>
      <c r="C5788" s="1" t="n">
        <v>45971</v>
      </c>
      <c r="D5788" t="inlineStr">
        <is>
          <t>VÄSTERBOTTENS LÄN</t>
        </is>
      </c>
      <c r="E5788" t="inlineStr">
        <is>
          <t>MALÅ</t>
        </is>
      </c>
      <c r="F5788" t="inlineStr">
        <is>
          <t>Sveaskog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33706-2024</t>
        </is>
      </c>
      <c r="B5789" s="1" t="n">
        <v>45520.52563657407</v>
      </c>
      <c r="C5789" s="1" t="n">
        <v>45971</v>
      </c>
      <c r="D5789" t="inlineStr">
        <is>
          <t>VÄSTERBOTTENS LÄN</t>
        </is>
      </c>
      <c r="E5789" t="inlineStr">
        <is>
          <t>LYCKSELE</t>
        </is>
      </c>
      <c r="F5789" t="inlineStr">
        <is>
          <t>Sveaskog</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9517-2025</t>
        </is>
      </c>
      <c r="B5790" s="1" t="n">
        <v>45715.55240740741</v>
      </c>
      <c r="C5790" s="1" t="n">
        <v>45971</v>
      </c>
      <c r="D5790" t="inlineStr">
        <is>
          <t>VÄSTERBOTTENS LÄN</t>
        </is>
      </c>
      <c r="E5790" t="inlineStr">
        <is>
          <t>LYCKSELE</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12724-2025</t>
        </is>
      </c>
      <c r="B5791" s="1" t="n">
        <v>45733</v>
      </c>
      <c r="C5791" s="1" t="n">
        <v>45971</v>
      </c>
      <c r="D5791" t="inlineStr">
        <is>
          <t>VÄSTERBOTTENS LÄN</t>
        </is>
      </c>
      <c r="E5791" t="inlineStr">
        <is>
          <t>MALÅ</t>
        </is>
      </c>
      <c r="G5791" t="n">
        <v>32.3</v>
      </c>
      <c r="H5791" t="n">
        <v>0</v>
      </c>
      <c r="I5791" t="n">
        <v>0</v>
      </c>
      <c r="J5791" t="n">
        <v>0</v>
      </c>
      <c r="K5791" t="n">
        <v>0</v>
      </c>
      <c r="L5791" t="n">
        <v>0</v>
      </c>
      <c r="M5791" t="n">
        <v>0</v>
      </c>
      <c r="N5791" t="n">
        <v>0</v>
      </c>
      <c r="O5791" t="n">
        <v>0</v>
      </c>
      <c r="P5791" t="n">
        <v>0</v>
      </c>
      <c r="Q5791" t="n">
        <v>0</v>
      </c>
      <c r="R5791" s="2" t="inlineStr"/>
    </row>
    <row r="5792" ht="15" customHeight="1">
      <c r="A5792" t="inlineStr">
        <is>
          <t>A 33713-2024</t>
        </is>
      </c>
      <c r="B5792" s="1" t="n">
        <v>45520.53105324074</v>
      </c>
      <c r="C5792" s="1" t="n">
        <v>45971</v>
      </c>
      <c r="D5792" t="inlineStr">
        <is>
          <t>VÄSTERBOTTENS LÄN</t>
        </is>
      </c>
      <c r="E5792" t="inlineStr">
        <is>
          <t>LYCKSELE</t>
        </is>
      </c>
      <c r="F5792" t="inlineStr">
        <is>
          <t>Sveaskog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17285-2025</t>
        </is>
      </c>
      <c r="B5793" s="1" t="n">
        <v>45756.57349537037</v>
      </c>
      <c r="C5793" s="1" t="n">
        <v>45971</v>
      </c>
      <c r="D5793" t="inlineStr">
        <is>
          <t>VÄSTERBOTTENS LÄN</t>
        </is>
      </c>
      <c r="E5793" t="inlineStr">
        <is>
          <t>ÅSELE</t>
        </is>
      </c>
      <c r="F5793" t="inlineStr">
        <is>
          <t>SCA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23471-2024</t>
        </is>
      </c>
      <c r="B5794" s="1" t="n">
        <v>45453</v>
      </c>
      <c r="C5794" s="1" t="n">
        <v>45971</v>
      </c>
      <c r="D5794" t="inlineStr">
        <is>
          <t>VÄSTERBOTTENS LÄN</t>
        </is>
      </c>
      <c r="E5794" t="inlineStr">
        <is>
          <t>VINDELN</t>
        </is>
      </c>
      <c r="F5794" t="inlineStr">
        <is>
          <t>Holmen skog AB</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45403-2024</t>
        </is>
      </c>
      <c r="B5795" s="1" t="n">
        <v>45576.57667824074</v>
      </c>
      <c r="C5795" s="1" t="n">
        <v>45971</v>
      </c>
      <c r="D5795" t="inlineStr">
        <is>
          <t>VÄSTERBOTTENS LÄN</t>
        </is>
      </c>
      <c r="E5795" t="inlineStr">
        <is>
          <t>SKELLEFTEÅ</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8010-2025</t>
        </is>
      </c>
      <c r="B5796" s="1" t="n">
        <v>45707.55104166667</v>
      </c>
      <c r="C5796" s="1" t="n">
        <v>45971</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40079-2025</t>
        </is>
      </c>
      <c r="B5797" s="1" t="n">
        <v>45894.4565162037</v>
      </c>
      <c r="C5797" s="1" t="n">
        <v>45971</v>
      </c>
      <c r="D5797" t="inlineStr">
        <is>
          <t>VÄSTERBOTTENS LÄN</t>
        </is>
      </c>
      <c r="E5797" t="inlineStr">
        <is>
          <t>LYCKSELE</t>
        </is>
      </c>
      <c r="F5797" t="inlineStr">
        <is>
          <t>Sveaskog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10360-2025</t>
        </is>
      </c>
      <c r="B5798" s="1" t="n">
        <v>45720</v>
      </c>
      <c r="C5798" s="1" t="n">
        <v>45971</v>
      </c>
      <c r="D5798" t="inlineStr">
        <is>
          <t>VÄSTERBOTTENS LÄN</t>
        </is>
      </c>
      <c r="E5798" t="inlineStr">
        <is>
          <t>ÅSELE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10381-2025</t>
        </is>
      </c>
      <c r="B5799" s="1" t="n">
        <v>45720.57324074074</v>
      </c>
      <c r="C5799" s="1" t="n">
        <v>45971</v>
      </c>
      <c r="D5799" t="inlineStr">
        <is>
          <t>VÄSTERBOTTENS LÄN</t>
        </is>
      </c>
      <c r="E5799" t="inlineStr">
        <is>
          <t>ÅSELE</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2488-2023</t>
        </is>
      </c>
      <c r="B5800" s="1" t="n">
        <v>44943</v>
      </c>
      <c r="C5800" s="1" t="n">
        <v>45971</v>
      </c>
      <c r="D5800" t="inlineStr">
        <is>
          <t>VÄSTERBOTTENS LÄN</t>
        </is>
      </c>
      <c r="E5800" t="inlineStr">
        <is>
          <t>VILHELMINA</t>
        </is>
      </c>
      <c r="G5800" t="n">
        <v>69.3</v>
      </c>
      <c r="H5800" t="n">
        <v>0</v>
      </c>
      <c r="I5800" t="n">
        <v>0</v>
      </c>
      <c r="J5800" t="n">
        <v>0</v>
      </c>
      <c r="K5800" t="n">
        <v>0</v>
      </c>
      <c r="L5800" t="n">
        <v>0</v>
      </c>
      <c r="M5800" t="n">
        <v>0</v>
      </c>
      <c r="N5800" t="n">
        <v>0</v>
      </c>
      <c r="O5800" t="n">
        <v>0</v>
      </c>
      <c r="P5800" t="n">
        <v>0</v>
      </c>
      <c r="Q5800" t="n">
        <v>0</v>
      </c>
      <c r="R5800" s="2" t="inlineStr"/>
    </row>
    <row r="5801" ht="15" customHeight="1">
      <c r="A5801" t="inlineStr">
        <is>
          <t>A 38480-2023</t>
        </is>
      </c>
      <c r="B5801" s="1" t="n">
        <v>45162</v>
      </c>
      <c r="C5801" s="1" t="n">
        <v>45971</v>
      </c>
      <c r="D5801" t="inlineStr">
        <is>
          <t>VÄSTERBOTTENS LÄN</t>
        </is>
      </c>
      <c r="E5801" t="inlineStr">
        <is>
          <t>ROBERTSFORS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14649-2025</t>
        </is>
      </c>
      <c r="B5802" s="1" t="n">
        <v>45742.48995370371</v>
      </c>
      <c r="C5802" s="1" t="n">
        <v>45971</v>
      </c>
      <c r="D5802" t="inlineStr">
        <is>
          <t>VÄSTERBOTTENS LÄN</t>
        </is>
      </c>
      <c r="E5802" t="inlineStr">
        <is>
          <t>DOROTEA</t>
        </is>
      </c>
      <c r="F5802" t="inlineStr">
        <is>
          <t>SCA</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50727-2024</t>
        </is>
      </c>
      <c r="B5803" s="1" t="n">
        <v>45602.38761574074</v>
      </c>
      <c r="C5803" s="1" t="n">
        <v>45971</v>
      </c>
      <c r="D5803" t="inlineStr">
        <is>
          <t>VÄSTERBOTTENS LÄN</t>
        </is>
      </c>
      <c r="E5803" t="inlineStr">
        <is>
          <t>BJURHOLM</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50729-2024</t>
        </is>
      </c>
      <c r="B5804" s="1" t="n">
        <v>45602.38763888889</v>
      </c>
      <c r="C5804" s="1" t="n">
        <v>45971</v>
      </c>
      <c r="D5804" t="inlineStr">
        <is>
          <t>VÄSTERBOTTENS LÄN</t>
        </is>
      </c>
      <c r="E5804" t="inlineStr">
        <is>
          <t>BJURHOLM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4251-2025</t>
        </is>
      </c>
      <c r="B5805" s="1" t="n">
        <v>45685.60450231482</v>
      </c>
      <c r="C5805" s="1" t="n">
        <v>45971</v>
      </c>
      <c r="D5805" t="inlineStr">
        <is>
          <t>VÄSTERBOTTENS LÄN</t>
        </is>
      </c>
      <c r="E5805" t="inlineStr">
        <is>
          <t>UMEÅ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39936-2025</t>
        </is>
      </c>
      <c r="B5806" s="1" t="n">
        <v>45891</v>
      </c>
      <c r="C5806" s="1" t="n">
        <v>45971</v>
      </c>
      <c r="D5806" t="inlineStr">
        <is>
          <t>VÄSTERBOTTENS LÄN</t>
        </is>
      </c>
      <c r="E5806" t="inlineStr">
        <is>
          <t>LYCKSELE</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39711-2025</t>
        </is>
      </c>
      <c r="B5807" s="1" t="n">
        <v>45890.85729166667</v>
      </c>
      <c r="C5807" s="1" t="n">
        <v>45971</v>
      </c>
      <c r="D5807" t="inlineStr">
        <is>
          <t>VÄSTERBOTTENS LÄN</t>
        </is>
      </c>
      <c r="E5807" t="inlineStr">
        <is>
          <t>STORUMAN</t>
        </is>
      </c>
      <c r="G5807" t="n">
        <v>9.6</v>
      </c>
      <c r="H5807" t="n">
        <v>0</v>
      </c>
      <c r="I5807" t="n">
        <v>0</v>
      </c>
      <c r="J5807" t="n">
        <v>0</v>
      </c>
      <c r="K5807" t="n">
        <v>0</v>
      </c>
      <c r="L5807" t="n">
        <v>0</v>
      </c>
      <c r="M5807" t="n">
        <v>0</v>
      </c>
      <c r="N5807" t="n">
        <v>0</v>
      </c>
      <c r="O5807" t="n">
        <v>0</v>
      </c>
      <c r="P5807" t="n">
        <v>0</v>
      </c>
      <c r="Q5807" t="n">
        <v>0</v>
      </c>
      <c r="R5807" s="2" t="inlineStr"/>
    </row>
    <row r="5808" ht="15" customHeight="1">
      <c r="A5808" t="inlineStr">
        <is>
          <t>A 61161-2024</t>
        </is>
      </c>
      <c r="B5808" s="1" t="n">
        <v>45645.59473379629</v>
      </c>
      <c r="C5808" s="1" t="n">
        <v>45971</v>
      </c>
      <c r="D5808" t="inlineStr">
        <is>
          <t>VÄSTERBOTTENS LÄN</t>
        </is>
      </c>
      <c r="E5808" t="inlineStr">
        <is>
          <t>LYCKSELE</t>
        </is>
      </c>
      <c r="F5808" t="inlineStr">
        <is>
          <t>SCA</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61170-2024</t>
        </is>
      </c>
      <c r="B5809" s="1" t="n">
        <v>45645.60092592592</v>
      </c>
      <c r="C5809" s="1" t="n">
        <v>45971</v>
      </c>
      <c r="D5809" t="inlineStr">
        <is>
          <t>VÄSTERBOTTENS LÄN</t>
        </is>
      </c>
      <c r="E5809" t="inlineStr">
        <is>
          <t>BJURHOLM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13913-2025</t>
        </is>
      </c>
      <c r="B5810" s="1" t="n">
        <v>45737.65015046296</v>
      </c>
      <c r="C5810" s="1" t="n">
        <v>45971</v>
      </c>
      <c r="D5810" t="inlineStr">
        <is>
          <t>VÄSTERBOTTENS LÄN</t>
        </is>
      </c>
      <c r="E5810" t="inlineStr">
        <is>
          <t>NORDMALING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61225-2024</t>
        </is>
      </c>
      <c r="B5811" s="1" t="n">
        <v>45645.66707175926</v>
      </c>
      <c r="C5811" s="1" t="n">
        <v>45971</v>
      </c>
      <c r="D5811" t="inlineStr">
        <is>
          <t>VÄSTERBOTTENS LÄN</t>
        </is>
      </c>
      <c r="E5811" t="inlineStr">
        <is>
          <t>UMEÅ</t>
        </is>
      </c>
      <c r="F5811" t="inlineStr">
        <is>
          <t>Holmen skog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61229-2024</t>
        </is>
      </c>
      <c r="B5812" s="1" t="n">
        <v>45645.66908564815</v>
      </c>
      <c r="C5812" s="1" t="n">
        <v>45971</v>
      </c>
      <c r="D5812" t="inlineStr">
        <is>
          <t>VÄSTERBOTTENS LÄN</t>
        </is>
      </c>
      <c r="E5812" t="inlineStr">
        <is>
          <t>BJURHOLM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56703-2024</t>
        </is>
      </c>
      <c r="B5813" s="1" t="n">
        <v>45627</v>
      </c>
      <c r="C5813" s="1" t="n">
        <v>45971</v>
      </c>
      <c r="D5813" t="inlineStr">
        <is>
          <t>VÄSTERBOTTENS LÄN</t>
        </is>
      </c>
      <c r="E5813" t="inlineStr">
        <is>
          <t>ROBERTSFORS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7693-2025</t>
        </is>
      </c>
      <c r="B5814" s="1" t="n">
        <v>45706.39457175926</v>
      </c>
      <c r="C5814" s="1" t="n">
        <v>45971</v>
      </c>
      <c r="D5814" t="inlineStr">
        <is>
          <t>VÄSTERBOTTENS LÄN</t>
        </is>
      </c>
      <c r="E5814" t="inlineStr">
        <is>
          <t>UMEÅ</t>
        </is>
      </c>
      <c r="G5814" t="n">
        <v>19.7</v>
      </c>
      <c r="H5814" t="n">
        <v>0</v>
      </c>
      <c r="I5814" t="n">
        <v>0</v>
      </c>
      <c r="J5814" t="n">
        <v>0</v>
      </c>
      <c r="K5814" t="n">
        <v>0</v>
      </c>
      <c r="L5814" t="n">
        <v>0</v>
      </c>
      <c r="M5814" t="n">
        <v>0</v>
      </c>
      <c r="N5814" t="n">
        <v>0</v>
      </c>
      <c r="O5814" t="n">
        <v>0</v>
      </c>
      <c r="P5814" t="n">
        <v>0</v>
      </c>
      <c r="Q5814" t="n">
        <v>0</v>
      </c>
      <c r="R5814" s="2" t="inlineStr"/>
    </row>
    <row r="5815" ht="15" customHeight="1">
      <c r="A5815" t="inlineStr">
        <is>
          <t>A 7696-2025</t>
        </is>
      </c>
      <c r="B5815" s="1" t="n">
        <v>45706.39914351852</v>
      </c>
      <c r="C5815" s="1" t="n">
        <v>45971</v>
      </c>
      <c r="D5815" t="inlineStr">
        <is>
          <t>VÄSTERBOTTENS LÄN</t>
        </is>
      </c>
      <c r="E5815" t="inlineStr">
        <is>
          <t>UMEÅ</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71407-2021</t>
        </is>
      </c>
      <c r="B5816" s="1" t="n">
        <v>44540.38878472222</v>
      </c>
      <c r="C5816" s="1" t="n">
        <v>45971</v>
      </c>
      <c r="D5816" t="inlineStr">
        <is>
          <t>VÄSTERBOTTENS LÄN</t>
        </is>
      </c>
      <c r="E5816" t="inlineStr">
        <is>
          <t>LYCKSELE</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39836-2025</t>
        </is>
      </c>
      <c r="B5817" s="1" t="n">
        <v>45891.56422453704</v>
      </c>
      <c r="C5817" s="1" t="n">
        <v>45971</v>
      </c>
      <c r="D5817" t="inlineStr">
        <is>
          <t>VÄSTERBOTTENS LÄN</t>
        </is>
      </c>
      <c r="E5817" t="inlineStr">
        <is>
          <t>UMEÅ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44950-2023</t>
        </is>
      </c>
      <c r="B5818" s="1" t="n">
        <v>45187</v>
      </c>
      <c r="C5818" s="1" t="n">
        <v>45971</v>
      </c>
      <c r="D5818" t="inlineStr">
        <is>
          <t>VÄSTERBOTTENS LÄN</t>
        </is>
      </c>
      <c r="E5818" t="inlineStr">
        <is>
          <t>NORDMALING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44952-2023</t>
        </is>
      </c>
      <c r="B5819" s="1" t="n">
        <v>45187</v>
      </c>
      <c r="C5819" s="1" t="n">
        <v>45971</v>
      </c>
      <c r="D5819" t="inlineStr">
        <is>
          <t>VÄSTERBOTTENS LÄN</t>
        </is>
      </c>
      <c r="E5819" t="inlineStr">
        <is>
          <t>NORDMALING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8669-2025</t>
        </is>
      </c>
      <c r="B5820" s="1" t="n">
        <v>45712.41598379629</v>
      </c>
      <c r="C5820" s="1" t="n">
        <v>45971</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7025-2025</t>
        </is>
      </c>
      <c r="B5821" s="1" t="n">
        <v>45701.62719907407</v>
      </c>
      <c r="C5821" s="1" t="n">
        <v>45971</v>
      </c>
      <c r="D5821" t="inlineStr">
        <is>
          <t>VÄSTERBOTTENS LÄN</t>
        </is>
      </c>
      <c r="E5821" t="inlineStr">
        <is>
          <t>SKELLEFTEÅ</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39722-2025</t>
        </is>
      </c>
      <c r="B5822" s="1" t="n">
        <v>45891.33292824074</v>
      </c>
      <c r="C5822" s="1" t="n">
        <v>45971</v>
      </c>
      <c r="D5822" t="inlineStr">
        <is>
          <t>VÄSTERBOTTENS LÄN</t>
        </is>
      </c>
      <c r="E5822" t="inlineStr">
        <is>
          <t>NORSJÖ</t>
        </is>
      </c>
      <c r="F5822" t="inlineStr">
        <is>
          <t>Holmen skog AB</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39730-2025</t>
        </is>
      </c>
      <c r="B5823" s="1" t="n">
        <v>45891.34827546297</v>
      </c>
      <c r="C5823" s="1" t="n">
        <v>45971</v>
      </c>
      <c r="D5823" t="inlineStr">
        <is>
          <t>VÄSTERBOTTENS LÄN</t>
        </is>
      </c>
      <c r="E5823" t="inlineStr">
        <is>
          <t>ROBERTSFORS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13009-2024</t>
        </is>
      </c>
      <c r="B5824" s="1" t="n">
        <v>45385.57305555556</v>
      </c>
      <c r="C5824" s="1" t="n">
        <v>45971</v>
      </c>
      <c r="D5824" t="inlineStr">
        <is>
          <t>VÄSTERBOTTENS LÄN</t>
        </is>
      </c>
      <c r="E5824" t="inlineStr">
        <is>
          <t>VINDELN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50044-2021</t>
        </is>
      </c>
      <c r="B5825" s="1" t="n">
        <v>44456.50484953704</v>
      </c>
      <c r="C5825" s="1" t="n">
        <v>45971</v>
      </c>
      <c r="D5825" t="inlineStr">
        <is>
          <t>VÄSTERBOTTENS LÄN</t>
        </is>
      </c>
      <c r="E5825" t="inlineStr">
        <is>
          <t>LYCKSELE</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37038-2023</t>
        </is>
      </c>
      <c r="B5826" s="1" t="n">
        <v>45155</v>
      </c>
      <c r="C5826" s="1" t="n">
        <v>45971</v>
      </c>
      <c r="D5826" t="inlineStr">
        <is>
          <t>VÄSTERBOTTENS LÄN</t>
        </is>
      </c>
      <c r="E5826" t="inlineStr">
        <is>
          <t>SORSELE</t>
        </is>
      </c>
      <c r="F5826" t="inlineStr">
        <is>
          <t>Kyrkan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39733-2025</t>
        </is>
      </c>
      <c r="B5827" s="1" t="n">
        <v>45891.36577546296</v>
      </c>
      <c r="C5827" s="1" t="n">
        <v>45971</v>
      </c>
      <c r="D5827" t="inlineStr">
        <is>
          <t>VÄSTERBOTTENS LÄN</t>
        </is>
      </c>
      <c r="E5827" t="inlineStr">
        <is>
          <t>SKELLEFTEÅ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39871-2025</t>
        </is>
      </c>
      <c r="B5828" s="1" t="n">
        <v>45891.61135416666</v>
      </c>
      <c r="C5828" s="1" t="n">
        <v>45971</v>
      </c>
      <c r="D5828" t="inlineStr">
        <is>
          <t>VÄSTERBOTTENS LÄN</t>
        </is>
      </c>
      <c r="E5828" t="inlineStr">
        <is>
          <t>SKELLEFTEÅ</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39874-2025</t>
        </is>
      </c>
      <c r="B5829" s="1" t="n">
        <v>45891.6150462963</v>
      </c>
      <c r="C5829" s="1" t="n">
        <v>45971</v>
      </c>
      <c r="D5829" t="inlineStr">
        <is>
          <t>VÄSTERBOTTENS LÄN</t>
        </is>
      </c>
      <c r="E5829" t="inlineStr">
        <is>
          <t>NORDMALING</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29054-2023</t>
        </is>
      </c>
      <c r="B5830" s="1" t="n">
        <v>45104.92340277778</v>
      </c>
      <c r="C5830" s="1" t="n">
        <v>45971</v>
      </c>
      <c r="D5830" t="inlineStr">
        <is>
          <t>VÄSTERBOTTENS LÄN</t>
        </is>
      </c>
      <c r="E5830" t="inlineStr">
        <is>
          <t>ÅSELE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29055-2023</t>
        </is>
      </c>
      <c r="B5831" s="1" t="n">
        <v>45104.9234375</v>
      </c>
      <c r="C5831" s="1" t="n">
        <v>45971</v>
      </c>
      <c r="D5831" t="inlineStr">
        <is>
          <t>VÄSTERBOTTENS LÄN</t>
        </is>
      </c>
      <c r="E5831" t="inlineStr">
        <is>
          <t>ÅSELE</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42320-2024</t>
        </is>
      </c>
      <c r="B5832" s="1" t="n">
        <v>45562.64625</v>
      </c>
      <c r="C5832" s="1" t="n">
        <v>45971</v>
      </c>
      <c r="D5832" t="inlineStr">
        <is>
          <t>VÄSTERBOTTENS LÄN</t>
        </is>
      </c>
      <c r="E5832" t="inlineStr">
        <is>
          <t>NORDMALING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50090-2021</t>
        </is>
      </c>
      <c r="B5833" s="1" t="n">
        <v>44455</v>
      </c>
      <c r="C5833" s="1" t="n">
        <v>45971</v>
      </c>
      <c r="D5833" t="inlineStr">
        <is>
          <t>VÄSTERBOTTENS LÄN</t>
        </is>
      </c>
      <c r="E5833" t="inlineStr">
        <is>
          <t>VINDELN</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5740-2023</t>
        </is>
      </c>
      <c r="B5834" s="1" t="n">
        <v>44962.79574074074</v>
      </c>
      <c r="C5834" s="1" t="n">
        <v>45971</v>
      </c>
      <c r="D5834" t="inlineStr">
        <is>
          <t>VÄSTERBOTTENS LÄN</t>
        </is>
      </c>
      <c r="E5834" t="inlineStr">
        <is>
          <t>SKELLEFTEÅ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30258-2023</t>
        </is>
      </c>
      <c r="B5835" s="1" t="n">
        <v>45110.70980324074</v>
      </c>
      <c r="C5835" s="1" t="n">
        <v>45971</v>
      </c>
      <c r="D5835" t="inlineStr">
        <is>
          <t>VÄSTERBOTTENS LÄN</t>
        </is>
      </c>
      <c r="E5835" t="inlineStr">
        <is>
          <t>UMEÅ</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3891-2021</t>
        </is>
      </c>
      <c r="B5836" s="1" t="n">
        <v>44222</v>
      </c>
      <c r="C5836" s="1" t="n">
        <v>45971</v>
      </c>
      <c r="D5836" t="inlineStr">
        <is>
          <t>VÄSTERBOTTENS LÄN</t>
        </is>
      </c>
      <c r="E5836" t="inlineStr">
        <is>
          <t>NORSJÖ</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60015-2023</t>
        </is>
      </c>
      <c r="B5837" s="1" t="n">
        <v>45257.97371527777</v>
      </c>
      <c r="C5837" s="1" t="n">
        <v>45971</v>
      </c>
      <c r="D5837" t="inlineStr">
        <is>
          <t>VÄSTERBOTTENS LÄN</t>
        </is>
      </c>
      <c r="E5837" t="inlineStr">
        <is>
          <t>DOROTEA</t>
        </is>
      </c>
      <c r="F5837" t="inlineStr">
        <is>
          <t>SCA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49874-2023</t>
        </is>
      </c>
      <c r="B5838" s="1" t="n">
        <v>45212.95622685185</v>
      </c>
      <c r="C5838" s="1" t="n">
        <v>45971</v>
      </c>
      <c r="D5838" t="inlineStr">
        <is>
          <t>VÄSTERBOTTENS LÄN</t>
        </is>
      </c>
      <c r="E5838" t="inlineStr">
        <is>
          <t>VINDELN</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26396-2022</t>
        </is>
      </c>
      <c r="B5839" s="1" t="n">
        <v>44735</v>
      </c>
      <c r="C5839" s="1" t="n">
        <v>45971</v>
      </c>
      <c r="D5839" t="inlineStr">
        <is>
          <t>VÄSTERBOTTENS LÄN</t>
        </is>
      </c>
      <c r="E5839" t="inlineStr">
        <is>
          <t>LYCKSELE</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39706-2025</t>
        </is>
      </c>
      <c r="B5840" s="1" t="n">
        <v>45890.80981481481</v>
      </c>
      <c r="C5840" s="1" t="n">
        <v>45971</v>
      </c>
      <c r="D5840" t="inlineStr">
        <is>
          <t>VÄSTERBOTTENS LÄN</t>
        </is>
      </c>
      <c r="E5840" t="inlineStr">
        <is>
          <t>NORDMALING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26401-2022</t>
        </is>
      </c>
      <c r="B5841" s="1" t="n">
        <v>44735</v>
      </c>
      <c r="C5841" s="1" t="n">
        <v>45971</v>
      </c>
      <c r="D5841" t="inlineStr">
        <is>
          <t>VÄSTERBOTTENS LÄN</t>
        </is>
      </c>
      <c r="E5841" t="inlineStr">
        <is>
          <t>VILHELMINA</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53577-2023</t>
        </is>
      </c>
      <c r="B5842" s="1" t="n">
        <v>45230</v>
      </c>
      <c r="C5842" s="1" t="n">
        <v>45971</v>
      </c>
      <c r="D5842" t="inlineStr">
        <is>
          <t>VÄSTERBOTTENS LÄN</t>
        </is>
      </c>
      <c r="E5842" t="inlineStr">
        <is>
          <t>VINDELN</t>
        </is>
      </c>
      <c r="F5842" t="inlineStr">
        <is>
          <t>Sveaskog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4227-2023</t>
        </is>
      </c>
      <c r="B5843" s="1" t="n">
        <v>44953.47570601852</v>
      </c>
      <c r="C5843" s="1" t="n">
        <v>45971</v>
      </c>
      <c r="D5843" t="inlineStr">
        <is>
          <t>VÄSTERBOTTENS LÄN</t>
        </is>
      </c>
      <c r="E5843" t="inlineStr">
        <is>
          <t>ROBERTSFORS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72494-2021</t>
        </is>
      </c>
      <c r="B5844" s="1" t="n">
        <v>44545.92059027778</v>
      </c>
      <c r="C5844" s="1" t="n">
        <v>45971</v>
      </c>
      <c r="D5844" t="inlineStr">
        <is>
          <t>VÄSTERBOTTENS LÄN</t>
        </is>
      </c>
      <c r="E5844" t="inlineStr">
        <is>
          <t>VILHELMINA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23213-2022</t>
        </is>
      </c>
      <c r="B5845" s="1" t="n">
        <v>44719.94283564815</v>
      </c>
      <c r="C5845" s="1" t="n">
        <v>45971</v>
      </c>
      <c r="D5845" t="inlineStr">
        <is>
          <t>VÄSTERBOTTENS LÄN</t>
        </is>
      </c>
      <c r="E5845" t="inlineStr">
        <is>
          <t>DOROTEA</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10234-2024</t>
        </is>
      </c>
      <c r="B5846" s="1" t="n">
        <v>45365.3278125</v>
      </c>
      <c r="C5846" s="1" t="n">
        <v>45971</v>
      </c>
      <c r="D5846" t="inlineStr">
        <is>
          <t>VÄSTERBOTTENS LÄN</t>
        </is>
      </c>
      <c r="E5846" t="inlineStr">
        <is>
          <t>ROBERTSFORS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23234-2022</t>
        </is>
      </c>
      <c r="B5847" s="1" t="n">
        <v>44719</v>
      </c>
      <c r="C5847" s="1" t="n">
        <v>45971</v>
      </c>
      <c r="D5847" t="inlineStr">
        <is>
          <t>VÄSTERBOTTENS LÄN</t>
        </is>
      </c>
      <c r="E5847" t="inlineStr">
        <is>
          <t>SORSELE</t>
        </is>
      </c>
      <c r="G5847" t="n">
        <v>19.3</v>
      </c>
      <c r="H5847" t="n">
        <v>0</v>
      </c>
      <c r="I5847" t="n">
        <v>0</v>
      </c>
      <c r="J5847" t="n">
        <v>0</v>
      </c>
      <c r="K5847" t="n">
        <v>0</v>
      </c>
      <c r="L5847" t="n">
        <v>0</v>
      </c>
      <c r="M5847" t="n">
        <v>0</v>
      </c>
      <c r="N5847" t="n">
        <v>0</v>
      </c>
      <c r="O5847" t="n">
        <v>0</v>
      </c>
      <c r="P5847" t="n">
        <v>0</v>
      </c>
      <c r="Q5847" t="n">
        <v>0</v>
      </c>
      <c r="R5847" s="2" t="inlineStr"/>
    </row>
    <row r="5848" ht="15" customHeight="1">
      <c r="A5848" t="inlineStr">
        <is>
          <t>A 5248-2025</t>
        </is>
      </c>
      <c r="B5848" s="1" t="n">
        <v>45692.34452546296</v>
      </c>
      <c r="C5848" s="1" t="n">
        <v>45971</v>
      </c>
      <c r="D5848" t="inlineStr">
        <is>
          <t>VÄSTERBOTTENS LÄN</t>
        </is>
      </c>
      <c r="E5848" t="inlineStr">
        <is>
          <t>DOROTEA</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41353-2023</t>
        </is>
      </c>
      <c r="B5849" s="1" t="n">
        <v>45174</v>
      </c>
      <c r="C5849" s="1" t="n">
        <v>45971</v>
      </c>
      <c r="D5849" t="inlineStr">
        <is>
          <t>VÄSTERBOTTENS LÄN</t>
        </is>
      </c>
      <c r="E5849" t="inlineStr">
        <is>
          <t>MALÅ</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7205-2025</t>
        </is>
      </c>
      <c r="B5850" s="1" t="n">
        <v>45702.46836805555</v>
      </c>
      <c r="C5850" s="1" t="n">
        <v>45971</v>
      </c>
      <c r="D5850" t="inlineStr">
        <is>
          <t>VÄSTERBOTTENS LÄN</t>
        </is>
      </c>
      <c r="E5850" t="inlineStr">
        <is>
          <t>UMEÅ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57590-2022</t>
        </is>
      </c>
      <c r="B5851" s="1" t="n">
        <v>44896.97822916666</v>
      </c>
      <c r="C5851" s="1" t="n">
        <v>45971</v>
      </c>
      <c r="D5851" t="inlineStr">
        <is>
          <t>VÄSTERBOTTENS LÄN</t>
        </is>
      </c>
      <c r="E5851" t="inlineStr">
        <is>
          <t>NORDMALING</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41386-2023</t>
        </is>
      </c>
      <c r="B5852" s="1" t="n">
        <v>45174.92231481482</v>
      </c>
      <c r="C5852" s="1" t="n">
        <v>45971</v>
      </c>
      <c r="D5852" t="inlineStr">
        <is>
          <t>VÄSTERBOTTENS LÄN</t>
        </is>
      </c>
      <c r="E5852" t="inlineStr">
        <is>
          <t>NORSJÖ</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61145-2023</t>
        </is>
      </c>
      <c r="B5853" s="1" t="n">
        <v>45261.96739583334</v>
      </c>
      <c r="C5853" s="1" t="n">
        <v>45971</v>
      </c>
      <c r="D5853" t="inlineStr">
        <is>
          <t>VÄSTERBOTTENS LÄN</t>
        </is>
      </c>
      <c r="E5853" t="inlineStr">
        <is>
          <t>SKELLEFTEÅ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9233-2024</t>
        </is>
      </c>
      <c r="B5854" s="1" t="n">
        <v>45358</v>
      </c>
      <c r="C5854" s="1" t="n">
        <v>45971</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58207-2022</t>
        </is>
      </c>
      <c r="B5855" s="1" t="n">
        <v>44901</v>
      </c>
      <c r="C5855" s="1" t="n">
        <v>45971</v>
      </c>
      <c r="D5855" t="inlineStr">
        <is>
          <t>VÄSTERBOTTENS LÄN</t>
        </is>
      </c>
      <c r="E5855" t="inlineStr">
        <is>
          <t>VILHELMINA</t>
        </is>
      </c>
      <c r="G5855" t="n">
        <v>143.2</v>
      </c>
      <c r="H5855" t="n">
        <v>0</v>
      </c>
      <c r="I5855" t="n">
        <v>0</v>
      </c>
      <c r="J5855" t="n">
        <v>0</v>
      </c>
      <c r="K5855" t="n">
        <v>0</v>
      </c>
      <c r="L5855" t="n">
        <v>0</v>
      </c>
      <c r="M5855" t="n">
        <v>0</v>
      </c>
      <c r="N5855" t="n">
        <v>0</v>
      </c>
      <c r="O5855" t="n">
        <v>0</v>
      </c>
      <c r="P5855" t="n">
        <v>0</v>
      </c>
      <c r="Q5855" t="n">
        <v>0</v>
      </c>
      <c r="R5855" s="2" t="inlineStr"/>
    </row>
    <row r="5856" ht="15" customHeight="1">
      <c r="A5856" t="inlineStr">
        <is>
          <t>A 64881-2020</t>
        </is>
      </c>
      <c r="B5856" s="1" t="n">
        <v>44171</v>
      </c>
      <c r="C5856" s="1" t="n">
        <v>45971</v>
      </c>
      <c r="D5856" t="inlineStr">
        <is>
          <t>VÄSTERBOTTENS LÄN</t>
        </is>
      </c>
      <c r="E5856" t="inlineStr">
        <is>
          <t>ÅSELE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11640-2024</t>
        </is>
      </c>
      <c r="B5857" s="1" t="n">
        <v>45373</v>
      </c>
      <c r="C5857" s="1" t="n">
        <v>45971</v>
      </c>
      <c r="D5857" t="inlineStr">
        <is>
          <t>VÄSTERBOTTENS LÄN</t>
        </is>
      </c>
      <c r="E5857" t="inlineStr">
        <is>
          <t>LYCKSELE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17971-2025</t>
        </is>
      </c>
      <c r="B5858" s="1" t="n">
        <v>45761</v>
      </c>
      <c r="C5858" s="1" t="n">
        <v>45971</v>
      </c>
      <c r="D5858" t="inlineStr">
        <is>
          <t>VÄSTERBOTTENS LÄN</t>
        </is>
      </c>
      <c r="E5858" t="inlineStr">
        <is>
          <t>STORUMAN</t>
        </is>
      </c>
      <c r="F5858" t="inlineStr">
        <is>
          <t>Allmännings- och besparingsskogar</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38944-2024</t>
        </is>
      </c>
      <c r="B5859" s="1" t="n">
        <v>45548.34501157407</v>
      </c>
      <c r="C5859" s="1" t="n">
        <v>45971</v>
      </c>
      <c r="D5859" t="inlineStr">
        <is>
          <t>VÄSTERBOTTENS LÄN</t>
        </is>
      </c>
      <c r="E5859" t="inlineStr">
        <is>
          <t>SORSELE</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22758-2022</t>
        </is>
      </c>
      <c r="B5860" s="1" t="n">
        <v>44714</v>
      </c>
      <c r="C5860" s="1" t="n">
        <v>45971</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46264-2024</t>
        </is>
      </c>
      <c r="B5861" s="1" t="n">
        <v>45581.615</v>
      </c>
      <c r="C5861" s="1" t="n">
        <v>45971</v>
      </c>
      <c r="D5861" t="inlineStr">
        <is>
          <t>VÄSTERBOTTENS LÄN</t>
        </is>
      </c>
      <c r="E5861" t="inlineStr">
        <is>
          <t>VINDELN</t>
        </is>
      </c>
      <c r="F5861" t="inlineStr">
        <is>
          <t>SCA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58750-2023</t>
        </is>
      </c>
      <c r="B5862" s="1" t="n">
        <v>45251.92957175926</v>
      </c>
      <c r="C5862" s="1" t="n">
        <v>45971</v>
      </c>
      <c r="D5862" t="inlineStr">
        <is>
          <t>VÄSTERBOTTENS LÄN</t>
        </is>
      </c>
      <c r="E5862" t="inlineStr">
        <is>
          <t>SKELLEFTEÅ</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20148-2025</t>
        </is>
      </c>
      <c r="B5863" s="1" t="n">
        <v>45772</v>
      </c>
      <c r="C5863" s="1" t="n">
        <v>45971</v>
      </c>
      <c r="D5863" t="inlineStr">
        <is>
          <t>VÄSTERBOTTENS LÄN</t>
        </is>
      </c>
      <c r="E5863" t="inlineStr">
        <is>
          <t>LYCKSELE</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16228-2024</t>
        </is>
      </c>
      <c r="B5864" s="1" t="n">
        <v>45406</v>
      </c>
      <c r="C5864" s="1" t="n">
        <v>45971</v>
      </c>
      <c r="D5864" t="inlineStr">
        <is>
          <t>VÄSTERBOTTENS LÄN</t>
        </is>
      </c>
      <c r="E5864" t="inlineStr">
        <is>
          <t>NORSJÖ</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20163-2025</t>
        </is>
      </c>
      <c r="B5865" s="1" t="n">
        <v>45772.57280092593</v>
      </c>
      <c r="C5865" s="1" t="n">
        <v>45971</v>
      </c>
      <c r="D5865" t="inlineStr">
        <is>
          <t>VÄSTERBOTTENS LÄN</t>
        </is>
      </c>
      <c r="E5865" t="inlineStr">
        <is>
          <t>SKELLEFTEÅ</t>
        </is>
      </c>
      <c r="F5865" t="inlineStr">
        <is>
          <t>Holmen skog AB</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15198-2023</t>
        </is>
      </c>
      <c r="B5866" s="1" t="n">
        <v>45016</v>
      </c>
      <c r="C5866" s="1" t="n">
        <v>45971</v>
      </c>
      <c r="D5866" t="inlineStr">
        <is>
          <t>VÄSTERBOTTENS LÄN</t>
        </is>
      </c>
      <c r="E5866" t="inlineStr">
        <is>
          <t>NORSJÖ</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11528-2024</t>
        </is>
      </c>
      <c r="B5867" s="1" t="n">
        <v>45372</v>
      </c>
      <c r="C5867" s="1" t="n">
        <v>45971</v>
      </c>
      <c r="D5867" t="inlineStr">
        <is>
          <t>VÄSTERBOTTENS LÄN</t>
        </is>
      </c>
      <c r="E5867" t="inlineStr">
        <is>
          <t>SKELLEFTEÅ</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11531-2024</t>
        </is>
      </c>
      <c r="B5868" s="1" t="n">
        <v>45372.92850694444</v>
      </c>
      <c r="C5868" s="1" t="n">
        <v>45971</v>
      </c>
      <c r="D5868" t="inlineStr">
        <is>
          <t>VÄSTERBOTTENS LÄN</t>
        </is>
      </c>
      <c r="E5868" t="inlineStr">
        <is>
          <t>NORSJÖ</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6665-2021</t>
        </is>
      </c>
      <c r="B5869" s="1" t="n">
        <v>44235</v>
      </c>
      <c r="C5869" s="1" t="n">
        <v>45971</v>
      </c>
      <c r="D5869" t="inlineStr">
        <is>
          <t>VÄSTERBOTTENS LÄN</t>
        </is>
      </c>
      <c r="E5869" t="inlineStr">
        <is>
          <t>VILHELMINA</t>
        </is>
      </c>
      <c r="G5869" t="n">
        <v>20</v>
      </c>
      <c r="H5869" t="n">
        <v>0</v>
      </c>
      <c r="I5869" t="n">
        <v>0</v>
      </c>
      <c r="J5869" t="n">
        <v>0</v>
      </c>
      <c r="K5869" t="n">
        <v>0</v>
      </c>
      <c r="L5869" t="n">
        <v>0</v>
      </c>
      <c r="M5869" t="n">
        <v>0</v>
      </c>
      <c r="N5869" t="n">
        <v>0</v>
      </c>
      <c r="O5869" t="n">
        <v>0</v>
      </c>
      <c r="P5869" t="n">
        <v>0</v>
      </c>
      <c r="Q5869" t="n">
        <v>0</v>
      </c>
      <c r="R5869" s="2" t="inlineStr"/>
    </row>
    <row r="5870" ht="15" customHeight="1">
      <c r="A5870" t="inlineStr">
        <is>
          <t>A 56072-2022</t>
        </is>
      </c>
      <c r="B5870" s="1" t="n">
        <v>44889.60342592592</v>
      </c>
      <c r="C5870" s="1" t="n">
        <v>45971</v>
      </c>
      <c r="D5870" t="inlineStr">
        <is>
          <t>VÄSTERBOTTENS LÄN</t>
        </is>
      </c>
      <c r="E5870" t="inlineStr">
        <is>
          <t>SKELLEFTEÅ</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11875-2024</t>
        </is>
      </c>
      <c r="B5871" s="1" t="n">
        <v>45376</v>
      </c>
      <c r="C5871" s="1" t="n">
        <v>45971</v>
      </c>
      <c r="D5871" t="inlineStr">
        <is>
          <t>VÄSTERBOTTENS LÄN</t>
        </is>
      </c>
      <c r="E5871" t="inlineStr">
        <is>
          <t>SKELLEFTEÅ</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21098-2023</t>
        </is>
      </c>
      <c r="B5872" s="1" t="n">
        <v>45061.92824074074</v>
      </c>
      <c r="C5872" s="1" t="n">
        <v>45971</v>
      </c>
      <c r="D5872" t="inlineStr">
        <is>
          <t>VÄSTERBOTTENS LÄN</t>
        </is>
      </c>
      <c r="E5872" t="inlineStr">
        <is>
          <t>VINDELN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10911-2024</t>
        </is>
      </c>
      <c r="B5873" s="1" t="n">
        <v>45370</v>
      </c>
      <c r="C5873" s="1" t="n">
        <v>45971</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35213-2024</t>
        </is>
      </c>
      <c r="B5874" s="1" t="n">
        <v>45530</v>
      </c>
      <c r="C5874" s="1" t="n">
        <v>45971</v>
      </c>
      <c r="D5874" t="inlineStr">
        <is>
          <t>VÄSTERBOTTENS LÄN</t>
        </is>
      </c>
      <c r="E5874" t="inlineStr">
        <is>
          <t>SKELLEFTEÅ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13126-2025</t>
        </is>
      </c>
      <c r="B5875" s="1" t="n">
        <v>45734.86883101852</v>
      </c>
      <c r="C5875" s="1" t="n">
        <v>45971</v>
      </c>
      <c r="D5875" t="inlineStr">
        <is>
          <t>VÄSTERBOTTENS LÄN</t>
        </is>
      </c>
      <c r="E5875" t="inlineStr">
        <is>
          <t>SKELLEFTEÅ</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1964-2025</t>
        </is>
      </c>
      <c r="B5876" s="1" t="n">
        <v>45672.37693287037</v>
      </c>
      <c r="C5876" s="1" t="n">
        <v>45971</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13753-2025</t>
        </is>
      </c>
      <c r="B5877" s="1" t="n">
        <v>45737.41443287037</v>
      </c>
      <c r="C5877" s="1" t="n">
        <v>45971</v>
      </c>
      <c r="D5877" t="inlineStr">
        <is>
          <t>VÄSTERBOTTENS LÄN</t>
        </is>
      </c>
      <c r="E5877" t="inlineStr">
        <is>
          <t>VINDELN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13766-2025</t>
        </is>
      </c>
      <c r="B5878" s="1" t="n">
        <v>45737.43314814815</v>
      </c>
      <c r="C5878" s="1" t="n">
        <v>45971</v>
      </c>
      <c r="D5878" t="inlineStr">
        <is>
          <t>VÄSTERBOTTENS LÄN</t>
        </is>
      </c>
      <c r="E5878" t="inlineStr">
        <is>
          <t>UMEÅ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43048-2024</t>
        </is>
      </c>
      <c r="B5879" s="1" t="n">
        <v>45567</v>
      </c>
      <c r="C5879" s="1" t="n">
        <v>45971</v>
      </c>
      <c r="D5879" t="inlineStr">
        <is>
          <t>VÄSTERBOTTENS LÄN</t>
        </is>
      </c>
      <c r="E5879" t="inlineStr">
        <is>
          <t>ÅSELE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41523-2024</t>
        </is>
      </c>
      <c r="B5880" s="1" t="n">
        <v>45560.48015046296</v>
      </c>
      <c r="C5880" s="1" t="n">
        <v>45971</v>
      </c>
      <c r="D5880" t="inlineStr">
        <is>
          <t>VÄSTERBOTTENS LÄN</t>
        </is>
      </c>
      <c r="E5880" t="inlineStr">
        <is>
          <t>LYCKSELE</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15214-2025</t>
        </is>
      </c>
      <c r="B5881" s="1" t="n">
        <v>45744.57880787037</v>
      </c>
      <c r="C5881" s="1" t="n">
        <v>45971</v>
      </c>
      <c r="D5881" t="inlineStr">
        <is>
          <t>VÄSTERBOTTENS LÄN</t>
        </is>
      </c>
      <c r="E5881" t="inlineStr">
        <is>
          <t>BJURHOLM</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248-2025</t>
        </is>
      </c>
      <c r="B5882" s="1" t="n">
        <v>45660.419375</v>
      </c>
      <c r="C5882" s="1" t="n">
        <v>45971</v>
      </c>
      <c r="D5882" t="inlineStr">
        <is>
          <t>VÄSTERBOTTENS LÄN</t>
        </is>
      </c>
      <c r="E5882" t="inlineStr">
        <is>
          <t>VILHELMINA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4676-2023</t>
        </is>
      </c>
      <c r="B5883" s="1" t="n">
        <v>44953</v>
      </c>
      <c r="C5883" s="1" t="n">
        <v>45971</v>
      </c>
      <c r="D5883" t="inlineStr">
        <is>
          <t>VÄSTERBOTTENS LÄN</t>
        </is>
      </c>
      <c r="E5883" t="inlineStr">
        <is>
          <t>VÄNNÄS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17442-2021</t>
        </is>
      </c>
      <c r="B5884" s="1" t="n">
        <v>44298</v>
      </c>
      <c r="C5884" s="1" t="n">
        <v>45971</v>
      </c>
      <c r="D5884" t="inlineStr">
        <is>
          <t>VÄSTERBOTTENS LÄN</t>
        </is>
      </c>
      <c r="E5884" t="inlineStr">
        <is>
          <t>SORSELE</t>
        </is>
      </c>
      <c r="G5884" t="n">
        <v>86.09999999999999</v>
      </c>
      <c r="H5884" t="n">
        <v>0</v>
      </c>
      <c r="I5884" t="n">
        <v>0</v>
      </c>
      <c r="J5884" t="n">
        <v>0</v>
      </c>
      <c r="K5884" t="n">
        <v>0</v>
      </c>
      <c r="L5884" t="n">
        <v>0</v>
      </c>
      <c r="M5884" t="n">
        <v>0</v>
      </c>
      <c r="N5884" t="n">
        <v>0</v>
      </c>
      <c r="O5884" t="n">
        <v>0</v>
      </c>
      <c r="P5884" t="n">
        <v>0</v>
      </c>
      <c r="Q5884" t="n">
        <v>0</v>
      </c>
      <c r="R5884" s="2" t="inlineStr"/>
    </row>
    <row r="5885" ht="15" customHeight="1">
      <c r="A5885" t="inlineStr">
        <is>
          <t>A 40927-2024</t>
        </is>
      </c>
      <c r="B5885" s="1" t="n">
        <v>45558.64018518518</v>
      </c>
      <c r="C5885" s="1" t="n">
        <v>45971</v>
      </c>
      <c r="D5885" t="inlineStr">
        <is>
          <t>VÄSTERBOTTENS LÄN</t>
        </is>
      </c>
      <c r="E5885" t="inlineStr">
        <is>
          <t>SKELLEFTEÅ</t>
        </is>
      </c>
      <c r="F5885" t="inlineStr">
        <is>
          <t>Holmen skog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10291-2023</t>
        </is>
      </c>
      <c r="B5886" s="1" t="n">
        <v>44986</v>
      </c>
      <c r="C5886" s="1" t="n">
        <v>45971</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55698-2024</t>
        </is>
      </c>
      <c r="B5887" s="1" t="n">
        <v>45622.68798611111</v>
      </c>
      <c r="C5887" s="1" t="n">
        <v>45971</v>
      </c>
      <c r="D5887" t="inlineStr">
        <is>
          <t>VÄSTERBOTTENS LÄN</t>
        </is>
      </c>
      <c r="E5887" t="inlineStr">
        <is>
          <t>NORDMALING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55701-2024</t>
        </is>
      </c>
      <c r="B5888" s="1" t="n">
        <v>45622.69039351852</v>
      </c>
      <c r="C5888" s="1" t="n">
        <v>45971</v>
      </c>
      <c r="D5888" t="inlineStr">
        <is>
          <t>VÄSTERBOTTENS LÄN</t>
        </is>
      </c>
      <c r="E5888" t="inlineStr">
        <is>
          <t>NORDMALING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15706-2023</t>
        </is>
      </c>
      <c r="B5889" s="1" t="n">
        <v>45020</v>
      </c>
      <c r="C5889" s="1" t="n">
        <v>45971</v>
      </c>
      <c r="D5889" t="inlineStr">
        <is>
          <t>VÄSTERBOTTENS LÄN</t>
        </is>
      </c>
      <c r="E5889" t="inlineStr">
        <is>
          <t>SKELLEFTEÅ</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41992-2022</t>
        </is>
      </c>
      <c r="B5890" s="1" t="n">
        <v>44830.44271990741</v>
      </c>
      <c r="C5890" s="1" t="n">
        <v>45971</v>
      </c>
      <c r="D5890" t="inlineStr">
        <is>
          <t>VÄSTERBOTTENS LÄN</t>
        </is>
      </c>
      <c r="E5890" t="inlineStr">
        <is>
          <t>LYCKSELE</t>
        </is>
      </c>
      <c r="F5890" t="inlineStr">
        <is>
          <t>Holmen skog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57191-2023</t>
        </is>
      </c>
      <c r="B5891" s="1" t="n">
        <v>45245</v>
      </c>
      <c r="C5891" s="1" t="n">
        <v>45971</v>
      </c>
      <c r="D5891" t="inlineStr">
        <is>
          <t>VÄSTERBOTTENS LÄN</t>
        </is>
      </c>
      <c r="E5891" t="inlineStr">
        <is>
          <t>SKELLEFTEÅ</t>
        </is>
      </c>
      <c r="F5891" t="inlineStr">
        <is>
          <t>Sveaskog</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32464-2023</t>
        </is>
      </c>
      <c r="B5892" s="1" t="n">
        <v>45120.92650462963</v>
      </c>
      <c r="C5892" s="1" t="n">
        <v>45971</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9534-2023</t>
        </is>
      </c>
      <c r="B5893" s="1" t="n">
        <v>44981.72646990741</v>
      </c>
      <c r="C5893" s="1" t="n">
        <v>45971</v>
      </c>
      <c r="D5893" t="inlineStr">
        <is>
          <t>VÄSTERBOTTENS LÄN</t>
        </is>
      </c>
      <c r="E5893" t="inlineStr">
        <is>
          <t>VILHELMINA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9607-2023</t>
        </is>
      </c>
      <c r="B5894" s="1" t="n">
        <v>44983</v>
      </c>
      <c r="C5894" s="1" t="n">
        <v>45971</v>
      </c>
      <c r="D5894" t="inlineStr">
        <is>
          <t>VÄSTERBOTTENS LÄN</t>
        </is>
      </c>
      <c r="E5894" t="inlineStr">
        <is>
          <t>UMEÅ</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48424-2023</t>
        </is>
      </c>
      <c r="B5895" s="1" t="n">
        <v>45205</v>
      </c>
      <c r="C5895" s="1" t="n">
        <v>45971</v>
      </c>
      <c r="D5895" t="inlineStr">
        <is>
          <t>VÄSTERBOTTENS LÄN</t>
        </is>
      </c>
      <c r="E5895" t="inlineStr">
        <is>
          <t>VILHELMINA</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44836-2024</t>
        </is>
      </c>
      <c r="B5896" s="1" t="n">
        <v>45574.70622685185</v>
      </c>
      <c r="C5896" s="1" t="n">
        <v>45971</v>
      </c>
      <c r="D5896" t="inlineStr">
        <is>
          <t>VÄSTERBOTTENS LÄN</t>
        </is>
      </c>
      <c r="E5896" t="inlineStr">
        <is>
          <t>UMEÅ</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17688-2025</t>
        </is>
      </c>
      <c r="B5897" s="1" t="n">
        <v>45758.39929398148</v>
      </c>
      <c r="C5897" s="1" t="n">
        <v>45971</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3222-2025</t>
        </is>
      </c>
      <c r="B5898" s="1" t="n">
        <v>45679</v>
      </c>
      <c r="C5898" s="1" t="n">
        <v>45971</v>
      </c>
      <c r="D5898" t="inlineStr">
        <is>
          <t>VÄSTERBOTTENS LÄN</t>
        </is>
      </c>
      <c r="E5898" t="inlineStr">
        <is>
          <t>ROBERTSFORS</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1289-2022</t>
        </is>
      </c>
      <c r="B5899" s="1" t="n">
        <v>44572.68023148148</v>
      </c>
      <c r="C5899" s="1" t="n">
        <v>45971</v>
      </c>
      <c r="D5899" t="inlineStr">
        <is>
          <t>VÄSTERBOTTENS LÄN</t>
        </is>
      </c>
      <c r="E5899" t="inlineStr">
        <is>
          <t>LYCKSELE</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46287-2022</t>
        </is>
      </c>
      <c r="B5900" s="1" t="n">
        <v>44847</v>
      </c>
      <c r="C5900" s="1" t="n">
        <v>45971</v>
      </c>
      <c r="D5900" t="inlineStr">
        <is>
          <t>VÄSTERBOTTENS LÄN</t>
        </is>
      </c>
      <c r="E5900" t="inlineStr">
        <is>
          <t>UMEÅ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46316-2022</t>
        </is>
      </c>
      <c r="B5901" s="1" t="n">
        <v>44847</v>
      </c>
      <c r="C5901" s="1" t="n">
        <v>45971</v>
      </c>
      <c r="D5901" t="inlineStr">
        <is>
          <t>VÄSTERBOTTENS LÄN</t>
        </is>
      </c>
      <c r="E5901" t="inlineStr">
        <is>
          <t>VILHELMINA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59389-2022</t>
        </is>
      </c>
      <c r="B5902" s="1" t="n">
        <v>44905</v>
      </c>
      <c r="C5902" s="1" t="n">
        <v>45971</v>
      </c>
      <c r="D5902" t="inlineStr">
        <is>
          <t>VÄSTERBOTTENS LÄN</t>
        </is>
      </c>
      <c r="E5902" t="inlineStr">
        <is>
          <t>NORDMALING</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13090-2024</t>
        </is>
      </c>
      <c r="B5903" s="1" t="n">
        <v>45385</v>
      </c>
      <c r="C5903" s="1" t="n">
        <v>45971</v>
      </c>
      <c r="D5903" t="inlineStr">
        <is>
          <t>VÄSTERBOTTENS LÄN</t>
        </is>
      </c>
      <c r="E5903" t="inlineStr">
        <is>
          <t>UMEÅ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10330-2024</t>
        </is>
      </c>
      <c r="B5904" s="1" t="n">
        <v>45365</v>
      </c>
      <c r="C5904" s="1" t="n">
        <v>45971</v>
      </c>
      <c r="D5904" t="inlineStr">
        <is>
          <t>VÄSTERBOTTENS LÄN</t>
        </is>
      </c>
      <c r="E5904" t="inlineStr">
        <is>
          <t>ROBERTSFORS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60502-2022</t>
        </is>
      </c>
      <c r="B5905" s="1" t="n">
        <v>44911.44655092592</v>
      </c>
      <c r="C5905" s="1" t="n">
        <v>45971</v>
      </c>
      <c r="D5905" t="inlineStr">
        <is>
          <t>VÄSTERBOTTENS LÄN</t>
        </is>
      </c>
      <c r="E5905" t="inlineStr">
        <is>
          <t>SKELLEFTEÅ</t>
        </is>
      </c>
      <c r="F5905" t="inlineStr">
        <is>
          <t>Sveaskog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22733-2023</t>
        </is>
      </c>
      <c r="B5906" s="1" t="n">
        <v>45071</v>
      </c>
      <c r="C5906" s="1" t="n">
        <v>45971</v>
      </c>
      <c r="D5906" t="inlineStr">
        <is>
          <t>VÄSTERBOTTENS LÄN</t>
        </is>
      </c>
      <c r="E5906" t="inlineStr">
        <is>
          <t>DOROTEA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22735-2023</t>
        </is>
      </c>
      <c r="B5907" s="1" t="n">
        <v>45071</v>
      </c>
      <c r="C5907" s="1" t="n">
        <v>45971</v>
      </c>
      <c r="D5907" t="inlineStr">
        <is>
          <t>VÄSTERBOTTENS LÄN</t>
        </is>
      </c>
      <c r="E5907" t="inlineStr">
        <is>
          <t>SKELLEFTEÅ</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531-2023</t>
        </is>
      </c>
      <c r="B5908" s="1" t="n">
        <v>44925</v>
      </c>
      <c r="C5908" s="1" t="n">
        <v>45971</v>
      </c>
      <c r="D5908" t="inlineStr">
        <is>
          <t>VÄSTERBOTTENS LÄN</t>
        </is>
      </c>
      <c r="E5908" t="inlineStr">
        <is>
          <t>SKELLEFTEÅ</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44714-2021</t>
        </is>
      </c>
      <c r="B5909" s="1" t="n">
        <v>44435</v>
      </c>
      <c r="C5909" s="1" t="n">
        <v>45971</v>
      </c>
      <c r="D5909" t="inlineStr">
        <is>
          <t>VÄSTERBOTTENS LÄN</t>
        </is>
      </c>
      <c r="E5909" t="inlineStr">
        <is>
          <t>VILHELMINA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56743-2023</t>
        </is>
      </c>
      <c r="B5910" s="1" t="n">
        <v>45244</v>
      </c>
      <c r="C5910" s="1" t="n">
        <v>45971</v>
      </c>
      <c r="D5910" t="inlineStr">
        <is>
          <t>VÄSTERBOTTENS LÄN</t>
        </is>
      </c>
      <c r="E5910" t="inlineStr">
        <is>
          <t>UMEÅ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5232-2025</t>
        </is>
      </c>
      <c r="B5911" s="1" t="n">
        <v>45691</v>
      </c>
      <c r="C5911" s="1" t="n">
        <v>45971</v>
      </c>
      <c r="D5911" t="inlineStr">
        <is>
          <t>VÄSTERBOTTENS LÄN</t>
        </is>
      </c>
      <c r="E5911" t="inlineStr">
        <is>
          <t>UMEÅ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56747-2023</t>
        </is>
      </c>
      <c r="B5912" s="1" t="n">
        <v>45238</v>
      </c>
      <c r="C5912" s="1" t="n">
        <v>45971</v>
      </c>
      <c r="D5912" t="inlineStr">
        <is>
          <t>VÄSTERBOTTENS LÄN</t>
        </is>
      </c>
      <c r="E5912" t="inlineStr">
        <is>
          <t>VILHELMINA</t>
        </is>
      </c>
      <c r="F5912" t="inlineStr">
        <is>
          <t>Allmännings- och besparingsskogar</t>
        </is>
      </c>
      <c r="G5912" t="n">
        <v>16.2</v>
      </c>
      <c r="H5912" t="n">
        <v>0</v>
      </c>
      <c r="I5912" t="n">
        <v>0</v>
      </c>
      <c r="J5912" t="n">
        <v>0</v>
      </c>
      <c r="K5912" t="n">
        <v>0</v>
      </c>
      <c r="L5912" t="n">
        <v>0</v>
      </c>
      <c r="M5912" t="n">
        <v>0</v>
      </c>
      <c r="N5912" t="n">
        <v>0</v>
      </c>
      <c r="O5912" t="n">
        <v>0</v>
      </c>
      <c r="P5912" t="n">
        <v>0</v>
      </c>
      <c r="Q5912" t="n">
        <v>0</v>
      </c>
      <c r="R5912" s="2" t="inlineStr"/>
    </row>
    <row r="5913" ht="15" customHeight="1">
      <c r="A5913" t="inlineStr">
        <is>
          <t>A 56879-2021</t>
        </is>
      </c>
      <c r="B5913" s="1" t="n">
        <v>44481</v>
      </c>
      <c r="C5913" s="1" t="n">
        <v>45971</v>
      </c>
      <c r="D5913" t="inlineStr">
        <is>
          <t>VÄSTERBOTTENS LÄN</t>
        </is>
      </c>
      <c r="E5913" t="inlineStr">
        <is>
          <t>STORUMAN</t>
        </is>
      </c>
      <c r="G5913" t="n">
        <v>32.2</v>
      </c>
      <c r="H5913" t="n">
        <v>0</v>
      </c>
      <c r="I5913" t="n">
        <v>0</v>
      </c>
      <c r="J5913" t="n">
        <v>0</v>
      </c>
      <c r="K5913" t="n">
        <v>0</v>
      </c>
      <c r="L5913" t="n">
        <v>0</v>
      </c>
      <c r="M5913" t="n">
        <v>0</v>
      </c>
      <c r="N5913" t="n">
        <v>0</v>
      </c>
      <c r="O5913" t="n">
        <v>0</v>
      </c>
      <c r="P5913" t="n">
        <v>0</v>
      </c>
      <c r="Q5913" t="n">
        <v>0</v>
      </c>
      <c r="R5913" s="2" t="inlineStr"/>
    </row>
    <row r="5914" ht="15" customHeight="1">
      <c r="A5914" t="inlineStr">
        <is>
          <t>A 56758-2023</t>
        </is>
      </c>
      <c r="B5914" s="1" t="n">
        <v>45238</v>
      </c>
      <c r="C5914" s="1" t="n">
        <v>45971</v>
      </c>
      <c r="D5914" t="inlineStr">
        <is>
          <t>VÄSTERBOTTENS LÄN</t>
        </is>
      </c>
      <c r="E5914" t="inlineStr">
        <is>
          <t>VILHELMINA</t>
        </is>
      </c>
      <c r="F5914" t="inlineStr">
        <is>
          <t>Allmännings- och besparingsskogar</t>
        </is>
      </c>
      <c r="G5914" t="n">
        <v>371.4</v>
      </c>
      <c r="H5914" t="n">
        <v>0</v>
      </c>
      <c r="I5914" t="n">
        <v>0</v>
      </c>
      <c r="J5914" t="n">
        <v>0</v>
      </c>
      <c r="K5914" t="n">
        <v>0</v>
      </c>
      <c r="L5914" t="n">
        <v>0</v>
      </c>
      <c r="M5914" t="n">
        <v>0</v>
      </c>
      <c r="N5914" t="n">
        <v>0</v>
      </c>
      <c r="O5914" t="n">
        <v>0</v>
      </c>
      <c r="P5914" t="n">
        <v>0</v>
      </c>
      <c r="Q5914" t="n">
        <v>0</v>
      </c>
      <c r="R5914" s="2" t="inlineStr"/>
    </row>
    <row r="5915" ht="15" customHeight="1">
      <c r="A5915" t="inlineStr">
        <is>
          <t>A 14928-2023</t>
        </is>
      </c>
      <c r="B5915" s="1" t="n">
        <v>45014</v>
      </c>
      <c r="C5915" s="1" t="n">
        <v>45971</v>
      </c>
      <c r="D5915" t="inlineStr">
        <is>
          <t>VÄSTERBOTTENS LÄN</t>
        </is>
      </c>
      <c r="E5915" t="inlineStr">
        <is>
          <t>UMEÅ</t>
        </is>
      </c>
      <c r="F5915" t="inlineStr">
        <is>
          <t>Kommuner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14983-2023</t>
        </is>
      </c>
      <c r="B5916" s="1" t="n">
        <v>45014</v>
      </c>
      <c r="C5916" s="1" t="n">
        <v>45971</v>
      </c>
      <c r="D5916" t="inlineStr">
        <is>
          <t>VÄSTERBOTTENS LÄN</t>
        </is>
      </c>
      <c r="E5916" t="inlineStr">
        <is>
          <t>SKELLEFTEÅ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47062-2024</t>
        </is>
      </c>
      <c r="B5917" s="1" t="n">
        <v>45585</v>
      </c>
      <c r="C5917" s="1" t="n">
        <v>45971</v>
      </c>
      <c r="D5917" t="inlineStr">
        <is>
          <t>VÄSTERBOTTENS LÄN</t>
        </is>
      </c>
      <c r="E5917" t="inlineStr">
        <is>
          <t>SKELLEFTEÅ</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46714-2024</t>
        </is>
      </c>
      <c r="B5918" s="1" t="n">
        <v>45583.4488425926</v>
      </c>
      <c r="C5918" s="1" t="n">
        <v>45971</v>
      </c>
      <c r="D5918" t="inlineStr">
        <is>
          <t>VÄSTERBOTTENS LÄN</t>
        </is>
      </c>
      <c r="E5918" t="inlineStr">
        <is>
          <t>VINDELN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39260-2024</t>
        </is>
      </c>
      <c r="B5919" s="1" t="n">
        <v>45551.33335648148</v>
      </c>
      <c r="C5919" s="1" t="n">
        <v>45971</v>
      </c>
      <c r="D5919" t="inlineStr">
        <is>
          <t>VÄSTERBOTTENS LÄN</t>
        </is>
      </c>
      <c r="E5919" t="inlineStr">
        <is>
          <t>STORUMAN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35630-2023</t>
        </is>
      </c>
      <c r="B5920" s="1" t="n">
        <v>45147</v>
      </c>
      <c r="C5920" s="1" t="n">
        <v>45971</v>
      </c>
      <c r="D5920" t="inlineStr">
        <is>
          <t>VÄSTERBOTTENS LÄN</t>
        </is>
      </c>
      <c r="E5920" t="inlineStr">
        <is>
          <t>NORSJÖ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977-2022</t>
        </is>
      </c>
      <c r="B5921" s="1" t="n">
        <v>44571</v>
      </c>
      <c r="C5921" s="1" t="n">
        <v>45971</v>
      </c>
      <c r="D5921" t="inlineStr">
        <is>
          <t>VÄSTERBOTTENS LÄN</t>
        </is>
      </c>
      <c r="E5921" t="inlineStr">
        <is>
          <t>ROBERTSFORS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23971-2024</t>
        </is>
      </c>
      <c r="B5922" s="1" t="n">
        <v>45455</v>
      </c>
      <c r="C5922" s="1" t="n">
        <v>45971</v>
      </c>
      <c r="D5922" t="inlineStr">
        <is>
          <t>VÄSTERBOTTENS LÄN</t>
        </is>
      </c>
      <c r="E5922" t="inlineStr">
        <is>
          <t>LYCKSELE</t>
        </is>
      </c>
      <c r="F5922" t="inlineStr">
        <is>
          <t>SCA</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8508-2025</t>
        </is>
      </c>
      <c r="B5923" s="1" t="n">
        <v>45709.53199074074</v>
      </c>
      <c r="C5923" s="1" t="n">
        <v>45971</v>
      </c>
      <c r="D5923" t="inlineStr">
        <is>
          <t>VÄSTERBOTTENS LÄN</t>
        </is>
      </c>
      <c r="E5923" t="inlineStr">
        <is>
          <t>SORSELE</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5597-2021</t>
        </is>
      </c>
      <c r="B5924" s="1" t="n">
        <v>44230</v>
      </c>
      <c r="C5924" s="1" t="n">
        <v>45971</v>
      </c>
      <c r="D5924" t="inlineStr">
        <is>
          <t>VÄSTERBOTTENS LÄN</t>
        </is>
      </c>
      <c r="E5924" t="inlineStr">
        <is>
          <t>ÅSELE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9015-2025</t>
        </is>
      </c>
      <c r="B5925" s="1" t="n">
        <v>45713.59037037037</v>
      </c>
      <c r="C5925" s="1" t="n">
        <v>45971</v>
      </c>
      <c r="D5925" t="inlineStr">
        <is>
          <t>VÄSTERBOTTENS LÄN</t>
        </is>
      </c>
      <c r="E5925" t="inlineStr">
        <is>
          <t>NORDMALING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47592-2024</t>
        </is>
      </c>
      <c r="B5926" s="1" t="n">
        <v>45587.8405324074</v>
      </c>
      <c r="C5926" s="1" t="n">
        <v>45971</v>
      </c>
      <c r="D5926" t="inlineStr">
        <is>
          <t>VÄSTERBOTTENS LÄN</t>
        </is>
      </c>
      <c r="E5926" t="inlineStr">
        <is>
          <t>BJURHOLM</t>
        </is>
      </c>
      <c r="G5926" t="n">
        <v>2</v>
      </c>
      <c r="H5926" t="n">
        <v>0</v>
      </c>
      <c r="I5926" t="n">
        <v>0</v>
      </c>
      <c r="J5926" t="n">
        <v>0</v>
      </c>
      <c r="K5926" t="n">
        <v>0</v>
      </c>
      <c r="L5926" t="n">
        <v>0</v>
      </c>
      <c r="M5926" t="n">
        <v>0</v>
      </c>
      <c r="N5926" t="n">
        <v>0</v>
      </c>
      <c r="O5926" t="n">
        <v>0</v>
      </c>
      <c r="P5926" t="n">
        <v>0</v>
      </c>
      <c r="Q5926" t="n">
        <v>0</v>
      </c>
      <c r="R5926" s="2" t="inlineStr"/>
      <c r="U5926">
        <f>HYPERLINK("https://klasma.github.io/Logging_2403/knärot/A 47592-2024 karta knärot.png", "A 47592-2024")</f>
        <v/>
      </c>
      <c r="V5926">
        <f>HYPERLINK("https://klasma.github.io/Logging_2403/klagomål/A 47592-2024 FSC-klagomål.docx", "A 47592-2024")</f>
        <v/>
      </c>
      <c r="W5926">
        <f>HYPERLINK("https://klasma.github.io/Logging_2403/klagomålsmail/A 47592-2024 FSC-klagomål mail.docx", "A 47592-2024")</f>
        <v/>
      </c>
      <c r="X5926">
        <f>HYPERLINK("https://klasma.github.io/Logging_2403/tillsyn/A 47592-2024 tillsynsbegäran.docx", "A 47592-2024")</f>
        <v/>
      </c>
      <c r="Y5926">
        <f>HYPERLINK("https://klasma.github.io/Logging_2403/tillsynsmail/A 47592-2024 tillsynsbegäran mail.docx", "A 47592-2024")</f>
        <v/>
      </c>
    </row>
    <row r="5927" ht="15" customHeight="1">
      <c r="A5927" t="inlineStr">
        <is>
          <t>A 56444-2024</t>
        </is>
      </c>
      <c r="B5927" s="1" t="n">
        <v>45625.42461805556</v>
      </c>
      <c r="C5927" s="1" t="n">
        <v>45971</v>
      </c>
      <c r="D5927" t="inlineStr">
        <is>
          <t>VÄSTERBOTTENS LÄN</t>
        </is>
      </c>
      <c r="E5927" t="inlineStr">
        <is>
          <t>SKELLEFTEÅ</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47593-2024</t>
        </is>
      </c>
      <c r="B5928" s="1" t="n">
        <v>45587.84275462963</v>
      </c>
      <c r="C5928" s="1" t="n">
        <v>45971</v>
      </c>
      <c r="D5928" t="inlineStr">
        <is>
          <t>VÄSTERBOTTENS LÄN</t>
        </is>
      </c>
      <c r="E5928" t="inlineStr">
        <is>
          <t>BJURHOLM</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47594-2024</t>
        </is>
      </c>
      <c r="B5929" s="1" t="n">
        <v>45587.848125</v>
      </c>
      <c r="C5929" s="1" t="n">
        <v>45971</v>
      </c>
      <c r="D5929" t="inlineStr">
        <is>
          <t>VÄSTERBOTTENS LÄN</t>
        </is>
      </c>
      <c r="E5929" t="inlineStr">
        <is>
          <t>BJURHOLM</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62106-2022</t>
        </is>
      </c>
      <c r="B5930" s="1" t="n">
        <v>44920</v>
      </c>
      <c r="C5930" s="1" t="n">
        <v>45971</v>
      </c>
      <c r="D5930" t="inlineStr">
        <is>
          <t>VÄSTERBOTTENS LÄN</t>
        </is>
      </c>
      <c r="E5930" t="inlineStr">
        <is>
          <t>UMEÅ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26582-2023</t>
        </is>
      </c>
      <c r="B5931" s="1" t="n">
        <v>45090</v>
      </c>
      <c r="C5931" s="1" t="n">
        <v>45971</v>
      </c>
      <c r="D5931" t="inlineStr">
        <is>
          <t>VÄSTERBOTTENS LÄN</t>
        </is>
      </c>
      <c r="E5931" t="inlineStr">
        <is>
          <t>SORSELE</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52832-2024</t>
        </is>
      </c>
      <c r="B5932" s="1" t="n">
        <v>45610.59431712963</v>
      </c>
      <c r="C5932" s="1" t="n">
        <v>45971</v>
      </c>
      <c r="D5932" t="inlineStr">
        <is>
          <t>VÄSTERBOTTENS LÄN</t>
        </is>
      </c>
      <c r="E5932" t="inlineStr">
        <is>
          <t>ROBERTSFORS</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47420-2024</t>
        </is>
      </c>
      <c r="B5933" s="1" t="n">
        <v>45587</v>
      </c>
      <c r="C5933" s="1" t="n">
        <v>45971</v>
      </c>
      <c r="D5933" t="inlineStr">
        <is>
          <t>VÄSTERBOTTENS LÄN</t>
        </is>
      </c>
      <c r="E5933" t="inlineStr">
        <is>
          <t>ROBERTSFORS</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10334-2023</t>
        </is>
      </c>
      <c r="B5934" s="1" t="n">
        <v>44980</v>
      </c>
      <c r="C5934" s="1" t="n">
        <v>45971</v>
      </c>
      <c r="D5934" t="inlineStr">
        <is>
          <t>VÄSTERBOTTENS LÄN</t>
        </is>
      </c>
      <c r="E5934" t="inlineStr">
        <is>
          <t>ROBERTSFORS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41190-2024</t>
        </is>
      </c>
      <c r="B5935" s="1" t="n">
        <v>45559.50627314814</v>
      </c>
      <c r="C5935" s="1" t="n">
        <v>45971</v>
      </c>
      <c r="D5935" t="inlineStr">
        <is>
          <t>VÄSTERBOTTENS LÄN</t>
        </is>
      </c>
      <c r="E5935" t="inlineStr">
        <is>
          <t>SKELLEFTEÅ</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60723-2022</t>
        </is>
      </c>
      <c r="B5936" s="1" t="n">
        <v>44913.44049768519</v>
      </c>
      <c r="C5936" s="1" t="n">
        <v>45971</v>
      </c>
      <c r="D5936" t="inlineStr">
        <is>
          <t>VÄSTERBOTTENS LÄN</t>
        </is>
      </c>
      <c r="E5936" t="inlineStr">
        <is>
          <t>LYCKSELE</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61467-2022</t>
        </is>
      </c>
      <c r="B5937" s="1" t="n">
        <v>44916</v>
      </c>
      <c r="C5937" s="1" t="n">
        <v>45971</v>
      </c>
      <c r="D5937" t="inlineStr">
        <is>
          <t>VÄSTERBOTTENS LÄN</t>
        </is>
      </c>
      <c r="E5937" t="inlineStr">
        <is>
          <t>SKELLEFTEÅ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61475-2022</t>
        </is>
      </c>
      <c r="B5938" s="1" t="n">
        <v>44916</v>
      </c>
      <c r="C5938" s="1" t="n">
        <v>45971</v>
      </c>
      <c r="D5938" t="inlineStr">
        <is>
          <t>VÄSTERBOTTENS LÄN</t>
        </is>
      </c>
      <c r="E5938" t="inlineStr">
        <is>
          <t>VINDELN</t>
        </is>
      </c>
      <c r="F5938" t="inlineStr">
        <is>
          <t>Holmen skog AB</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22931-2024</t>
        </is>
      </c>
      <c r="B5939" s="1" t="n">
        <v>45448.9278125</v>
      </c>
      <c r="C5939" s="1" t="n">
        <v>45971</v>
      </c>
      <c r="D5939" t="inlineStr">
        <is>
          <t>VÄSTERBOTTENS LÄN</t>
        </is>
      </c>
      <c r="E5939" t="inlineStr">
        <is>
          <t>DOROTEA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22942-2024</t>
        </is>
      </c>
      <c r="B5940" s="1" t="n">
        <v>45448.94540509259</v>
      </c>
      <c r="C5940" s="1" t="n">
        <v>45971</v>
      </c>
      <c r="D5940" t="inlineStr">
        <is>
          <t>VÄSTERBOTTENS LÄN</t>
        </is>
      </c>
      <c r="E5940" t="inlineStr">
        <is>
          <t>DOROTEA</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44620-2024</t>
        </is>
      </c>
      <c r="B5941" s="1" t="n">
        <v>45574.51318287037</v>
      </c>
      <c r="C5941" s="1" t="n">
        <v>45971</v>
      </c>
      <c r="D5941" t="inlineStr">
        <is>
          <t>VÄSTERBOTTENS LÄN</t>
        </is>
      </c>
      <c r="E5941" t="inlineStr">
        <is>
          <t>DOROTEA</t>
        </is>
      </c>
      <c r="F5941" t="inlineStr">
        <is>
          <t>SCA</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22945-2024</t>
        </is>
      </c>
      <c r="B5942" s="1" t="n">
        <v>45448.94569444445</v>
      </c>
      <c r="C5942" s="1" t="n">
        <v>45971</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57362-2022</t>
        </is>
      </c>
      <c r="B5943" s="1" t="n">
        <v>44896.43010416667</v>
      </c>
      <c r="C5943" s="1" t="n">
        <v>45971</v>
      </c>
      <c r="D5943" t="inlineStr">
        <is>
          <t>VÄSTERBOTTENS LÄN</t>
        </is>
      </c>
      <c r="E5943" t="inlineStr">
        <is>
          <t>SKELLEFTEÅ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60542-2024</t>
        </is>
      </c>
      <c r="B5944" s="1" t="n">
        <v>45643.79216435185</v>
      </c>
      <c r="C5944" s="1" t="n">
        <v>45971</v>
      </c>
      <c r="D5944" t="inlineStr">
        <is>
          <t>VÄSTERBOTTENS LÄN</t>
        </is>
      </c>
      <c r="E5944" t="inlineStr">
        <is>
          <t>LYCKSELE</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39995-2021</t>
        </is>
      </c>
      <c r="B5945" s="1" t="n">
        <v>44417</v>
      </c>
      <c r="C5945" s="1" t="n">
        <v>45971</v>
      </c>
      <c r="D5945" t="inlineStr">
        <is>
          <t>VÄSTERBOTTENS LÄN</t>
        </is>
      </c>
      <c r="E5945" t="inlineStr">
        <is>
          <t>NORSJÖ</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2429-2025</t>
        </is>
      </c>
      <c r="B5946" s="1" t="n">
        <v>45674.40556712963</v>
      </c>
      <c r="C5946" s="1" t="n">
        <v>45971</v>
      </c>
      <c r="D5946" t="inlineStr">
        <is>
          <t>VÄSTERBOTTENS LÄN</t>
        </is>
      </c>
      <c r="E5946" t="inlineStr">
        <is>
          <t>VINDELN</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11184-2024</t>
        </is>
      </c>
      <c r="B5947" s="1" t="n">
        <v>45371</v>
      </c>
      <c r="C5947" s="1" t="n">
        <v>45971</v>
      </c>
      <c r="D5947" t="inlineStr">
        <is>
          <t>VÄSTERBOTTENS LÄN</t>
        </is>
      </c>
      <c r="E5947" t="inlineStr">
        <is>
          <t>UMEÅ</t>
        </is>
      </c>
      <c r="F5947" t="inlineStr">
        <is>
          <t>Övriga statliga verk och myndigheter</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10647-2023</t>
        </is>
      </c>
      <c r="B5948" s="1" t="n">
        <v>44984</v>
      </c>
      <c r="C5948" s="1" t="n">
        <v>45971</v>
      </c>
      <c r="D5948" t="inlineStr">
        <is>
          <t>VÄSTERBOTTENS LÄN</t>
        </is>
      </c>
      <c r="E5948" t="inlineStr">
        <is>
          <t>SKELLEFTEÅ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46482-2024</t>
        </is>
      </c>
      <c r="B5949" s="1" t="n">
        <v>45582.57383101852</v>
      </c>
      <c r="C5949" s="1" t="n">
        <v>45971</v>
      </c>
      <c r="D5949" t="inlineStr">
        <is>
          <t>VÄSTERBOTTENS LÄN</t>
        </is>
      </c>
      <c r="E5949" t="inlineStr">
        <is>
          <t>SKELLEFTEÅ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16806-2025</t>
        </is>
      </c>
      <c r="B5950" s="1" t="n">
        <v>45754.62675925926</v>
      </c>
      <c r="C5950" s="1" t="n">
        <v>45971</v>
      </c>
      <c r="D5950" t="inlineStr">
        <is>
          <t>VÄSTERBOTTENS LÄN</t>
        </is>
      </c>
      <c r="E5950" t="inlineStr">
        <is>
          <t>ÅSELE</t>
        </is>
      </c>
      <c r="F5950" t="inlineStr">
        <is>
          <t>Holmen skog AB</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17344-2025</t>
        </is>
      </c>
      <c r="B5951" s="1" t="n">
        <v>45756.67138888889</v>
      </c>
      <c r="C5951" s="1" t="n">
        <v>45971</v>
      </c>
      <c r="D5951" t="inlineStr">
        <is>
          <t>VÄSTERBOTTENS LÄN</t>
        </is>
      </c>
      <c r="E5951" t="inlineStr">
        <is>
          <t>UMEÅ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28337-2022</t>
        </is>
      </c>
      <c r="B5952" s="1" t="n">
        <v>44747.42982638889</v>
      </c>
      <c r="C5952" s="1" t="n">
        <v>45971</v>
      </c>
      <c r="D5952" t="inlineStr">
        <is>
          <t>VÄSTERBOTTENS LÄN</t>
        </is>
      </c>
      <c r="E5952" t="inlineStr">
        <is>
          <t>VÄNNÄS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61283-2023</t>
        </is>
      </c>
      <c r="B5953" s="1" t="n">
        <v>45264</v>
      </c>
      <c r="C5953" s="1" t="n">
        <v>45971</v>
      </c>
      <c r="D5953" t="inlineStr">
        <is>
          <t>VÄSTERBOTTENS LÄN</t>
        </is>
      </c>
      <c r="E5953" t="inlineStr">
        <is>
          <t>NORDMALING</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55542-2022</t>
        </is>
      </c>
      <c r="B5954" s="1" t="n">
        <v>44887</v>
      </c>
      <c r="C5954" s="1" t="n">
        <v>45971</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57057-2022</t>
        </is>
      </c>
      <c r="B5955" s="1" t="n">
        <v>44895</v>
      </c>
      <c r="C5955" s="1" t="n">
        <v>45971</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70186-2021</t>
        </is>
      </c>
      <c r="B5956" s="1" t="n">
        <v>44533.94483796296</v>
      </c>
      <c r="C5956" s="1" t="n">
        <v>45971</v>
      </c>
      <c r="D5956" t="inlineStr">
        <is>
          <t>VÄSTERBOTTENS LÄN</t>
        </is>
      </c>
      <c r="E5956" t="inlineStr">
        <is>
          <t>ÅSELE</t>
        </is>
      </c>
      <c r="F5956" t="inlineStr">
        <is>
          <t>SCA</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55315-2024</t>
        </is>
      </c>
      <c r="B5957" s="1" t="n">
        <v>45621.6587037037</v>
      </c>
      <c r="C5957" s="1" t="n">
        <v>45971</v>
      </c>
      <c r="D5957" t="inlineStr">
        <is>
          <t>VÄSTERBOTTENS LÄN</t>
        </is>
      </c>
      <c r="E5957" t="inlineStr">
        <is>
          <t>LYCKSELE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47329-2024</t>
        </is>
      </c>
      <c r="B5958" s="1" t="n">
        <v>45587.38643518519</v>
      </c>
      <c r="C5958" s="1" t="n">
        <v>45971</v>
      </c>
      <c r="D5958" t="inlineStr">
        <is>
          <t>VÄSTERBOTTENS LÄN</t>
        </is>
      </c>
      <c r="E5958" t="inlineStr">
        <is>
          <t>ROBERTSFORS</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45643-2024</t>
        </is>
      </c>
      <c r="B5959" s="1" t="n">
        <v>45579</v>
      </c>
      <c r="C5959" s="1" t="n">
        <v>45971</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7251-2024</t>
        </is>
      </c>
      <c r="B5960" s="1" t="n">
        <v>45344</v>
      </c>
      <c r="C5960" s="1" t="n">
        <v>45971</v>
      </c>
      <c r="D5960" t="inlineStr">
        <is>
          <t>VÄSTERBOTTENS LÄN</t>
        </is>
      </c>
      <c r="E5960" t="inlineStr">
        <is>
          <t>NORDMALING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61631-2022</t>
        </is>
      </c>
      <c r="B5961" s="1" t="n">
        <v>44916.69783564815</v>
      </c>
      <c r="C5961" s="1" t="n">
        <v>45971</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61635-2022</t>
        </is>
      </c>
      <c r="B5962" s="1" t="n">
        <v>44916.71002314815</v>
      </c>
      <c r="C5962" s="1" t="n">
        <v>45971</v>
      </c>
      <c r="D5962" t="inlineStr">
        <is>
          <t>VÄSTERBOTTENS LÄN</t>
        </is>
      </c>
      <c r="E5962" t="inlineStr">
        <is>
          <t>SKELLEFTEÅ</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30815-2024</t>
        </is>
      </c>
      <c r="B5963" s="1" t="n">
        <v>45497</v>
      </c>
      <c r="C5963" s="1" t="n">
        <v>45971</v>
      </c>
      <c r="D5963" t="inlineStr">
        <is>
          <t>VÄSTERBOTTENS LÄN</t>
        </is>
      </c>
      <c r="E5963" t="inlineStr">
        <is>
          <t>STORUMAN</t>
        </is>
      </c>
      <c r="G5963" t="n">
        <v>25.8</v>
      </c>
      <c r="H5963" t="n">
        <v>0</v>
      </c>
      <c r="I5963" t="n">
        <v>0</v>
      </c>
      <c r="J5963" t="n">
        <v>0</v>
      </c>
      <c r="K5963" t="n">
        <v>0</v>
      </c>
      <c r="L5963" t="n">
        <v>0</v>
      </c>
      <c r="M5963" t="n">
        <v>0</v>
      </c>
      <c r="N5963" t="n">
        <v>0</v>
      </c>
      <c r="O5963" t="n">
        <v>0</v>
      </c>
      <c r="P5963" t="n">
        <v>0</v>
      </c>
      <c r="Q5963" t="n">
        <v>0</v>
      </c>
      <c r="R5963" s="2" t="inlineStr"/>
    </row>
    <row r="5964" ht="15" customHeight="1">
      <c r="A5964" t="inlineStr">
        <is>
          <t>A 8326-2022</t>
        </is>
      </c>
      <c r="B5964" s="1" t="n">
        <v>44610</v>
      </c>
      <c r="C5964" s="1" t="n">
        <v>45971</v>
      </c>
      <c r="D5964" t="inlineStr">
        <is>
          <t>VÄSTERBOTTENS LÄN</t>
        </is>
      </c>
      <c r="E5964" t="inlineStr">
        <is>
          <t>VINDELN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39319-2024</t>
        </is>
      </c>
      <c r="B5965" s="1" t="n">
        <v>45551.41037037037</v>
      </c>
      <c r="C5965" s="1" t="n">
        <v>45971</v>
      </c>
      <c r="D5965" t="inlineStr">
        <is>
          <t>VÄSTERBOTTENS LÄN</t>
        </is>
      </c>
      <c r="E5965" t="inlineStr">
        <is>
          <t>VINDELN</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31738-2023</t>
        </is>
      </c>
      <c r="B5966" s="1" t="n">
        <v>45117.95247685185</v>
      </c>
      <c r="C5966" s="1" t="n">
        <v>45971</v>
      </c>
      <c r="D5966" t="inlineStr">
        <is>
          <t>VÄSTERBOTTENS LÄN</t>
        </is>
      </c>
      <c r="E5966" t="inlineStr">
        <is>
          <t>BJURHOLM</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19221-2025</t>
        </is>
      </c>
      <c r="B5967" s="1" t="n">
        <v>45769</v>
      </c>
      <c r="C5967" s="1" t="n">
        <v>45971</v>
      </c>
      <c r="D5967" t="inlineStr">
        <is>
          <t>VÄSTERBOTTENS LÄN</t>
        </is>
      </c>
      <c r="E5967" t="inlineStr">
        <is>
          <t>VILHELMINA</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28279-2023</t>
        </is>
      </c>
      <c r="B5968" s="1" t="n">
        <v>45099.62826388889</v>
      </c>
      <c r="C5968" s="1" t="n">
        <v>45971</v>
      </c>
      <c r="D5968" t="inlineStr">
        <is>
          <t>VÄSTERBOTTENS LÄN</t>
        </is>
      </c>
      <c r="E5968" t="inlineStr">
        <is>
          <t>ÅSELE</t>
        </is>
      </c>
      <c r="F5968" t="inlineStr">
        <is>
          <t>Sveaskog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58456-2023</t>
        </is>
      </c>
      <c r="B5969" s="1" t="n">
        <v>45250.96092592592</v>
      </c>
      <c r="C5969" s="1" t="n">
        <v>45971</v>
      </c>
      <c r="D5969" t="inlineStr">
        <is>
          <t>VÄSTERBOTTENS LÄN</t>
        </is>
      </c>
      <c r="E5969" t="inlineStr">
        <is>
          <t>VILHELMINA</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43302-2024</t>
        </is>
      </c>
      <c r="B5970" s="1" t="n">
        <v>45568.43364583333</v>
      </c>
      <c r="C5970" s="1" t="n">
        <v>45971</v>
      </c>
      <c r="D5970" t="inlineStr">
        <is>
          <t>VÄSTERBOTTENS LÄN</t>
        </is>
      </c>
      <c r="E5970" t="inlineStr">
        <is>
          <t>LYCKSELE</t>
        </is>
      </c>
      <c r="F5970" t="inlineStr">
        <is>
          <t>Sveaskog</t>
        </is>
      </c>
      <c r="G5970" t="n">
        <v>58.3</v>
      </c>
      <c r="H5970" t="n">
        <v>0</v>
      </c>
      <c r="I5970" t="n">
        <v>0</v>
      </c>
      <c r="J5970" t="n">
        <v>0</v>
      </c>
      <c r="K5970" t="n">
        <v>0</v>
      </c>
      <c r="L5970" t="n">
        <v>0</v>
      </c>
      <c r="M5970" t="n">
        <v>0</v>
      </c>
      <c r="N5970" t="n">
        <v>0</v>
      </c>
      <c r="O5970" t="n">
        <v>0</v>
      </c>
      <c r="P5970" t="n">
        <v>0</v>
      </c>
      <c r="Q5970" t="n">
        <v>0</v>
      </c>
      <c r="R5970" s="2" t="inlineStr"/>
    </row>
    <row r="5971" ht="15" customHeight="1">
      <c r="A5971" t="inlineStr">
        <is>
          <t>A 49992-2022</t>
        </is>
      </c>
      <c r="B5971" s="1" t="n">
        <v>44860</v>
      </c>
      <c r="C5971" s="1" t="n">
        <v>45971</v>
      </c>
      <c r="D5971" t="inlineStr">
        <is>
          <t>VÄSTERBOTTENS LÄN</t>
        </is>
      </c>
      <c r="E5971" t="inlineStr">
        <is>
          <t>SKELLEFTEÅ</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43321-2024</t>
        </is>
      </c>
      <c r="B5972" s="1" t="n">
        <v>45568</v>
      </c>
      <c r="C5972" s="1" t="n">
        <v>45971</v>
      </c>
      <c r="D5972" t="inlineStr">
        <is>
          <t>VÄSTERBOTTENS LÄN</t>
        </is>
      </c>
      <c r="E5972" t="inlineStr">
        <is>
          <t>BJURHOLM</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19765-2025</t>
        </is>
      </c>
      <c r="B5973" s="1" t="n">
        <v>45771.4071875</v>
      </c>
      <c r="C5973" s="1" t="n">
        <v>45971</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8556-2025</t>
        </is>
      </c>
      <c r="B5974" s="1" t="n">
        <v>45709</v>
      </c>
      <c r="C5974" s="1" t="n">
        <v>45971</v>
      </c>
      <c r="D5974" t="inlineStr">
        <is>
          <t>VÄSTERBOTTENS LÄN</t>
        </is>
      </c>
      <c r="E5974" t="inlineStr">
        <is>
          <t>VILHELMINA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60577-2022</t>
        </is>
      </c>
      <c r="B5975" s="1" t="n">
        <v>44911</v>
      </c>
      <c r="C5975" s="1" t="n">
        <v>45971</v>
      </c>
      <c r="D5975" t="inlineStr">
        <is>
          <t>VÄSTERBOTTENS LÄN</t>
        </is>
      </c>
      <c r="E5975" t="inlineStr">
        <is>
          <t>MALÅ</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31068-2023</t>
        </is>
      </c>
      <c r="B5976" s="1" t="n">
        <v>45113</v>
      </c>
      <c r="C5976" s="1" t="n">
        <v>45971</v>
      </c>
      <c r="D5976" t="inlineStr">
        <is>
          <t>VÄSTERBOTTENS LÄN</t>
        </is>
      </c>
      <c r="E5976" t="inlineStr">
        <is>
          <t>UMEÅ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36473-2024</t>
        </is>
      </c>
      <c r="B5977" s="1" t="n">
        <v>45537.36001157408</v>
      </c>
      <c r="C5977" s="1" t="n">
        <v>45971</v>
      </c>
      <c r="D5977" t="inlineStr">
        <is>
          <t>VÄSTERBOTTENS LÄN</t>
        </is>
      </c>
      <c r="E5977" t="inlineStr">
        <is>
          <t>NORSJÖ</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57324-2022</t>
        </is>
      </c>
      <c r="B5978" s="1" t="n">
        <v>44889</v>
      </c>
      <c r="C5978" s="1" t="n">
        <v>45971</v>
      </c>
      <c r="D5978" t="inlineStr">
        <is>
          <t>VÄSTERBOTTENS LÄN</t>
        </is>
      </c>
      <c r="E5978" t="inlineStr">
        <is>
          <t>VILHELMINA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73995-2021</t>
        </is>
      </c>
      <c r="B5979" s="1" t="n">
        <v>44556.8244212963</v>
      </c>
      <c r="C5979" s="1" t="n">
        <v>45971</v>
      </c>
      <c r="D5979" t="inlineStr">
        <is>
          <t>VÄSTERBOTTENS LÄN</t>
        </is>
      </c>
      <c r="E5979" t="inlineStr">
        <is>
          <t>NORSJÖ</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38949-2024</t>
        </is>
      </c>
      <c r="B5980" s="1" t="n">
        <v>45548</v>
      </c>
      <c r="C5980" s="1" t="n">
        <v>45971</v>
      </c>
      <c r="D5980" t="inlineStr">
        <is>
          <t>VÄSTERBOTTENS LÄN</t>
        </is>
      </c>
      <c r="E5980" t="inlineStr">
        <is>
          <t>ROBERTSFORS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46205-2024</t>
        </is>
      </c>
      <c r="B5981" s="1" t="n">
        <v>45581.54357638889</v>
      </c>
      <c r="C5981" s="1" t="n">
        <v>45971</v>
      </c>
      <c r="D5981" t="inlineStr">
        <is>
          <t>VÄSTERBOTTENS LÄN</t>
        </is>
      </c>
      <c r="E5981" t="inlineStr">
        <is>
          <t>VÄNNÄS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56277-2023</t>
        </is>
      </c>
      <c r="B5982" s="1" t="n">
        <v>45241.61490740741</v>
      </c>
      <c r="C5982" s="1" t="n">
        <v>45971</v>
      </c>
      <c r="D5982" t="inlineStr">
        <is>
          <t>VÄSTERBOTTENS LÄN</t>
        </is>
      </c>
      <c r="E5982" t="inlineStr">
        <is>
          <t>NORDMALING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45944-2024</t>
        </is>
      </c>
      <c r="B5983" s="1" t="n">
        <v>45580.54452546296</v>
      </c>
      <c r="C5983" s="1" t="n">
        <v>45971</v>
      </c>
      <c r="D5983" t="inlineStr">
        <is>
          <t>VÄSTERBOTTENS LÄN</t>
        </is>
      </c>
      <c r="E5983" t="inlineStr">
        <is>
          <t>NORSJÖ</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38012-2024</t>
        </is>
      </c>
      <c r="B5984" s="1" t="n">
        <v>45544.62537037037</v>
      </c>
      <c r="C5984" s="1" t="n">
        <v>45971</v>
      </c>
      <c r="D5984" t="inlineStr">
        <is>
          <t>VÄSTERBOTTENS LÄN</t>
        </is>
      </c>
      <c r="E5984" t="inlineStr">
        <is>
          <t>NORSJÖ</t>
        </is>
      </c>
      <c r="F5984" t="inlineStr">
        <is>
          <t>Naturvårdsverket</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2922-2025</t>
        </is>
      </c>
      <c r="B5985" s="1" t="n">
        <v>45678.32327546296</v>
      </c>
      <c r="C5985" s="1" t="n">
        <v>45971</v>
      </c>
      <c r="D5985" t="inlineStr">
        <is>
          <t>VÄSTERBOTTENS LÄN</t>
        </is>
      </c>
      <c r="E5985" t="inlineStr">
        <is>
          <t>NORDMALING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9465-2024</t>
        </is>
      </c>
      <c r="B5986" s="1" t="n">
        <v>45359.54578703704</v>
      </c>
      <c r="C5986" s="1" t="n">
        <v>45971</v>
      </c>
      <c r="D5986" t="inlineStr">
        <is>
          <t>VÄSTERBOTTENS LÄN</t>
        </is>
      </c>
      <c r="E5986" t="inlineStr">
        <is>
          <t>SKELLEFTEÅ</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2963-2025</t>
        </is>
      </c>
      <c r="B5987" s="1" t="n">
        <v>45678.45770833334</v>
      </c>
      <c r="C5987" s="1" t="n">
        <v>45971</v>
      </c>
      <c r="D5987" t="inlineStr">
        <is>
          <t>VÄSTERBOTTENS LÄN</t>
        </is>
      </c>
      <c r="E5987" t="inlineStr">
        <is>
          <t>SKELLEFTEÅ</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2964-2025</t>
        </is>
      </c>
      <c r="B5988" s="1" t="n">
        <v>45678.45819444444</v>
      </c>
      <c r="C5988" s="1" t="n">
        <v>45971</v>
      </c>
      <c r="D5988" t="inlineStr">
        <is>
          <t>VÄSTERBOTTENS LÄN</t>
        </is>
      </c>
      <c r="E5988" t="inlineStr">
        <is>
          <t>NORSJÖ</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31664-2023</t>
        </is>
      </c>
      <c r="B5989" s="1" t="n">
        <v>45105</v>
      </c>
      <c r="C5989" s="1" t="n">
        <v>45971</v>
      </c>
      <c r="D5989" t="inlineStr">
        <is>
          <t>VÄSTERBOTTENS LÄN</t>
        </is>
      </c>
      <c r="E5989" t="inlineStr">
        <is>
          <t>VINDELN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31672-2023</t>
        </is>
      </c>
      <c r="B5990" s="1" t="n">
        <v>45117.65966435185</v>
      </c>
      <c r="C5990" s="1" t="n">
        <v>45971</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43388-2024</t>
        </is>
      </c>
      <c r="B5991" s="1" t="n">
        <v>45568</v>
      </c>
      <c r="C5991" s="1" t="n">
        <v>45971</v>
      </c>
      <c r="D5991" t="inlineStr">
        <is>
          <t>VÄSTERBOTTENS LÄN</t>
        </is>
      </c>
      <c r="E5991" t="inlineStr">
        <is>
          <t>SORSELE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25558-2024</t>
        </is>
      </c>
      <c r="B5992" s="1" t="n">
        <v>45463.58045138889</v>
      </c>
      <c r="C5992" s="1" t="n">
        <v>45971</v>
      </c>
      <c r="D5992" t="inlineStr">
        <is>
          <t>VÄSTERBOTTENS LÄN</t>
        </is>
      </c>
      <c r="E5992" t="inlineStr">
        <is>
          <t>ÅSELE</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34615-2024</t>
        </is>
      </c>
      <c r="B5993" s="1" t="n">
        <v>45526.41416666667</v>
      </c>
      <c r="C5993" s="1" t="n">
        <v>45971</v>
      </c>
      <c r="D5993" t="inlineStr">
        <is>
          <t>VÄSTERBOTTENS LÄN</t>
        </is>
      </c>
      <c r="E5993" t="inlineStr">
        <is>
          <t>SKELLEFTEÅ</t>
        </is>
      </c>
      <c r="F5993" t="inlineStr">
        <is>
          <t>Holmen skog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22907-2024</t>
        </is>
      </c>
      <c r="B5994" s="1" t="n">
        <v>45448</v>
      </c>
      <c r="C5994" s="1" t="n">
        <v>45971</v>
      </c>
      <c r="D5994" t="inlineStr">
        <is>
          <t>VÄSTERBOTTENS LÄN</t>
        </is>
      </c>
      <c r="E5994" t="inlineStr">
        <is>
          <t>VINDELN</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14254-2025</t>
        </is>
      </c>
      <c r="B5995" s="1" t="n">
        <v>45740.61644675926</v>
      </c>
      <c r="C5995" s="1" t="n">
        <v>45971</v>
      </c>
      <c r="D5995" t="inlineStr">
        <is>
          <t>VÄSTERBOTTENS LÄN</t>
        </is>
      </c>
      <c r="E5995" t="inlineStr">
        <is>
          <t>VILHELMINA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46122-2024</t>
        </is>
      </c>
      <c r="B5996" s="1" t="n">
        <v>45581.41333333333</v>
      </c>
      <c r="C5996" s="1" t="n">
        <v>45971</v>
      </c>
      <c r="D5996" t="inlineStr">
        <is>
          <t>VÄSTERBOTTENS LÄN</t>
        </is>
      </c>
      <c r="E5996" t="inlineStr">
        <is>
          <t>UMEÅ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9916-2021</t>
        </is>
      </c>
      <c r="B5997" s="1" t="n">
        <v>44253</v>
      </c>
      <c r="C5997" s="1" t="n">
        <v>45971</v>
      </c>
      <c r="D5997" t="inlineStr">
        <is>
          <t>VÄSTERBOTTENS LÄN</t>
        </is>
      </c>
      <c r="E5997" t="inlineStr">
        <is>
          <t>VILHELMINA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60558-2022</t>
        </is>
      </c>
      <c r="B5998" s="1" t="n">
        <v>44904</v>
      </c>
      <c r="C5998" s="1" t="n">
        <v>45971</v>
      </c>
      <c r="D5998" t="inlineStr">
        <is>
          <t>VÄSTERBOTTENS LÄN</t>
        </is>
      </c>
      <c r="E5998" t="inlineStr">
        <is>
          <t>SKELLEFTEÅ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43680-2024</t>
        </is>
      </c>
      <c r="B5999" s="1" t="n">
        <v>45569.57216435186</v>
      </c>
      <c r="C5999" s="1" t="n">
        <v>45971</v>
      </c>
      <c r="D5999" t="inlineStr">
        <is>
          <t>VÄSTERBOTTENS LÄN</t>
        </is>
      </c>
      <c r="E5999" t="inlineStr">
        <is>
          <t>STORUMAN</t>
        </is>
      </c>
      <c r="F5999" t="inlineStr">
        <is>
          <t>Holmen skog AB</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14043-2024</t>
        </is>
      </c>
      <c r="B6000" s="1" t="n">
        <v>45392</v>
      </c>
      <c r="C6000" s="1" t="n">
        <v>45971</v>
      </c>
      <c r="D6000" t="inlineStr">
        <is>
          <t>VÄSTERBOTTENS LÄN</t>
        </is>
      </c>
      <c r="E6000" t="inlineStr">
        <is>
          <t>UMEÅ</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14304-2025</t>
        </is>
      </c>
      <c r="B6001" s="1" t="n">
        <v>45740.69827546296</v>
      </c>
      <c r="C6001" s="1" t="n">
        <v>45971</v>
      </c>
      <c r="D6001" t="inlineStr">
        <is>
          <t>VÄSTERBOTTENS LÄN</t>
        </is>
      </c>
      <c r="E6001" t="inlineStr">
        <is>
          <t>MALÅ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19959-2023</t>
        </is>
      </c>
      <c r="B6002" s="1" t="n">
        <v>45054</v>
      </c>
      <c r="C6002" s="1" t="n">
        <v>45971</v>
      </c>
      <c r="D6002" t="inlineStr">
        <is>
          <t>VÄSTERBOTTENS LÄN</t>
        </is>
      </c>
      <c r="E6002" t="inlineStr">
        <is>
          <t>SORSELE</t>
        </is>
      </c>
      <c r="F6002" t="inlineStr">
        <is>
          <t>Sveaskog</t>
        </is>
      </c>
      <c r="G6002" t="n">
        <v>36.9</v>
      </c>
      <c r="H6002" t="n">
        <v>0</v>
      </c>
      <c r="I6002" t="n">
        <v>0</v>
      </c>
      <c r="J6002" t="n">
        <v>0</v>
      </c>
      <c r="K6002" t="n">
        <v>0</v>
      </c>
      <c r="L6002" t="n">
        <v>0</v>
      </c>
      <c r="M6002" t="n">
        <v>0</v>
      </c>
      <c r="N6002" t="n">
        <v>0</v>
      </c>
      <c r="O6002" t="n">
        <v>0</v>
      </c>
      <c r="P6002" t="n">
        <v>0</v>
      </c>
      <c r="Q6002" t="n">
        <v>0</v>
      </c>
      <c r="R6002" s="2" t="inlineStr"/>
    </row>
    <row r="6003" ht="15" customHeight="1">
      <c r="A6003" t="inlineStr">
        <is>
          <t>A 8641-2023</t>
        </is>
      </c>
      <c r="B6003" s="1" t="n">
        <v>44977.98305555555</v>
      </c>
      <c r="C6003" s="1" t="n">
        <v>45971</v>
      </c>
      <c r="D6003" t="inlineStr">
        <is>
          <t>VÄSTERBOTTENS LÄN</t>
        </is>
      </c>
      <c r="E6003" t="inlineStr">
        <is>
          <t>NORDMALING</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50441-2024</t>
        </is>
      </c>
      <c r="B6004" s="1" t="n">
        <v>45601.41592592592</v>
      </c>
      <c r="C6004" s="1" t="n">
        <v>45971</v>
      </c>
      <c r="D6004" t="inlineStr">
        <is>
          <t>VÄSTERBOTTENS LÄN</t>
        </is>
      </c>
      <c r="E6004" t="inlineStr">
        <is>
          <t>BJURHOLM</t>
        </is>
      </c>
      <c r="F6004" t="inlineStr">
        <is>
          <t>Sveaskog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60143-2022</t>
        </is>
      </c>
      <c r="B6005" s="1" t="n">
        <v>44909</v>
      </c>
      <c r="C6005" s="1" t="n">
        <v>45971</v>
      </c>
      <c r="D6005" t="inlineStr">
        <is>
          <t>VÄSTERBOTTENS LÄN</t>
        </is>
      </c>
      <c r="E6005" t="inlineStr">
        <is>
          <t>LYCKSELE</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15105-2024</t>
        </is>
      </c>
      <c r="B6006" s="1" t="n">
        <v>45399</v>
      </c>
      <c r="C6006" s="1" t="n">
        <v>45971</v>
      </c>
      <c r="D6006" t="inlineStr">
        <is>
          <t>VÄSTERBOTTENS LÄN</t>
        </is>
      </c>
      <c r="E6006" t="inlineStr">
        <is>
          <t>UMEÅ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3435-2021</t>
        </is>
      </c>
      <c r="B6007" s="1" t="n">
        <v>44216</v>
      </c>
      <c r="C6007" s="1" t="n">
        <v>45971</v>
      </c>
      <c r="D6007" t="inlineStr">
        <is>
          <t>VÄSTERBOTTENS LÄN</t>
        </is>
      </c>
      <c r="E6007" t="inlineStr">
        <is>
          <t>VILHELMINA</t>
        </is>
      </c>
      <c r="G6007" t="n">
        <v>20.5</v>
      </c>
      <c r="H6007" t="n">
        <v>0</v>
      </c>
      <c r="I6007" t="n">
        <v>0</v>
      </c>
      <c r="J6007" t="n">
        <v>0</v>
      </c>
      <c r="K6007" t="n">
        <v>0</v>
      </c>
      <c r="L6007" t="n">
        <v>0</v>
      </c>
      <c r="M6007" t="n">
        <v>0</v>
      </c>
      <c r="N6007" t="n">
        <v>0</v>
      </c>
      <c r="O6007" t="n">
        <v>0</v>
      </c>
      <c r="P6007" t="n">
        <v>0</v>
      </c>
      <c r="Q6007" t="n">
        <v>0</v>
      </c>
      <c r="R6007" s="2" t="inlineStr"/>
    </row>
    <row r="6008" ht="15" customHeight="1">
      <c r="A6008" t="inlineStr">
        <is>
          <t>A 31031-2024</t>
        </is>
      </c>
      <c r="B6008" s="1" t="n">
        <v>45501.40922453703</v>
      </c>
      <c r="C6008" s="1" t="n">
        <v>45971</v>
      </c>
      <c r="D6008" t="inlineStr">
        <is>
          <t>VÄSTERBOTTENS LÄN</t>
        </is>
      </c>
      <c r="E6008" t="inlineStr">
        <is>
          <t>UMEÅ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31928-2024</t>
        </is>
      </c>
      <c r="B6009" s="1" t="n">
        <v>45510.40539351852</v>
      </c>
      <c r="C6009" s="1" t="n">
        <v>45971</v>
      </c>
      <c r="D6009" t="inlineStr">
        <is>
          <t>VÄSTERBOTTENS LÄN</t>
        </is>
      </c>
      <c r="E6009" t="inlineStr">
        <is>
          <t>UMEÅ</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12278-2023</t>
        </is>
      </c>
      <c r="B6010" s="1" t="n">
        <v>44998</v>
      </c>
      <c r="C6010" s="1" t="n">
        <v>45971</v>
      </c>
      <c r="D6010" t="inlineStr">
        <is>
          <t>VÄSTERBOTTENS LÄN</t>
        </is>
      </c>
      <c r="E6010" t="inlineStr">
        <is>
          <t>DOROTEA</t>
        </is>
      </c>
      <c r="G6010" t="n">
        <v>12.5</v>
      </c>
      <c r="H6010" t="n">
        <v>0</v>
      </c>
      <c r="I6010" t="n">
        <v>0</v>
      </c>
      <c r="J6010" t="n">
        <v>0</v>
      </c>
      <c r="K6010" t="n">
        <v>0</v>
      </c>
      <c r="L6010" t="n">
        <v>0</v>
      </c>
      <c r="M6010" t="n">
        <v>0</v>
      </c>
      <c r="N6010" t="n">
        <v>0</v>
      </c>
      <c r="O6010" t="n">
        <v>0</v>
      </c>
      <c r="P6010" t="n">
        <v>0</v>
      </c>
      <c r="Q6010" t="n">
        <v>0</v>
      </c>
      <c r="R6010" s="2" t="inlineStr"/>
    </row>
    <row r="6011" ht="15" customHeight="1">
      <c r="A6011" t="inlineStr">
        <is>
          <t>A 58420-2022</t>
        </is>
      </c>
      <c r="B6011" s="1" t="n">
        <v>44901.92403935185</v>
      </c>
      <c r="C6011" s="1" t="n">
        <v>45971</v>
      </c>
      <c r="D6011" t="inlineStr">
        <is>
          <t>VÄSTERBOTTENS LÄN</t>
        </is>
      </c>
      <c r="E6011" t="inlineStr">
        <is>
          <t>BJURHOLM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39971-2025</t>
        </is>
      </c>
      <c r="B6012" s="1" t="n">
        <v>45892.69835648148</v>
      </c>
      <c r="C6012" s="1" t="n">
        <v>45971</v>
      </c>
      <c r="D6012" t="inlineStr">
        <is>
          <t>VÄSTERBOTTENS LÄN</t>
        </is>
      </c>
      <c r="E6012" t="inlineStr">
        <is>
          <t>ÅSELE</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15239-2025</t>
        </is>
      </c>
      <c r="B6013" s="1" t="n">
        <v>45744.61188657407</v>
      </c>
      <c r="C6013" s="1" t="n">
        <v>45971</v>
      </c>
      <c r="D6013" t="inlineStr">
        <is>
          <t>VÄSTERBOTTENS LÄN</t>
        </is>
      </c>
      <c r="E6013" t="inlineStr">
        <is>
          <t>LYCKSELE</t>
        </is>
      </c>
      <c r="F6013" t="inlineStr">
        <is>
          <t>Holmen skog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58439-2022</t>
        </is>
      </c>
      <c r="B6014" s="1" t="n">
        <v>44901</v>
      </c>
      <c r="C6014" s="1" t="n">
        <v>45971</v>
      </c>
      <c r="D6014" t="inlineStr">
        <is>
          <t>VÄSTERBOTTENS LÄN</t>
        </is>
      </c>
      <c r="E6014" t="inlineStr">
        <is>
          <t>LYCKSELE</t>
        </is>
      </c>
      <c r="F6014" t="inlineStr">
        <is>
          <t>SCA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12335-2024</t>
        </is>
      </c>
      <c r="B6015" s="1" t="n">
        <v>45378.71258101852</v>
      </c>
      <c r="C6015" s="1" t="n">
        <v>45971</v>
      </c>
      <c r="D6015" t="inlineStr">
        <is>
          <t>VÄSTERBOTTENS LÄN</t>
        </is>
      </c>
      <c r="E6015" t="inlineStr">
        <is>
          <t>LYCKSELE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41732-2023</t>
        </is>
      </c>
      <c r="B6016" s="1" t="n">
        <v>45176</v>
      </c>
      <c r="C6016" s="1" t="n">
        <v>45971</v>
      </c>
      <c r="D6016" t="inlineStr">
        <is>
          <t>VÄSTERBOTTENS LÄN</t>
        </is>
      </c>
      <c r="E6016" t="inlineStr">
        <is>
          <t>UMEÅ</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14998-2024</t>
        </is>
      </c>
      <c r="B6017" s="1" t="n">
        <v>45399.41329861111</v>
      </c>
      <c r="C6017" s="1" t="n">
        <v>45971</v>
      </c>
      <c r="D6017" t="inlineStr">
        <is>
          <t>VÄSTERBOTTENS LÄN</t>
        </is>
      </c>
      <c r="E6017" t="inlineStr">
        <is>
          <t>NORSJÖ</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32679-2023</t>
        </is>
      </c>
      <c r="B6018" s="1" t="n">
        <v>45111</v>
      </c>
      <c r="C6018" s="1" t="n">
        <v>45971</v>
      </c>
      <c r="D6018" t="inlineStr">
        <is>
          <t>VÄSTERBOTTENS LÄN</t>
        </is>
      </c>
      <c r="E6018" t="inlineStr">
        <is>
          <t>MALÅ</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48722-2022</t>
        </is>
      </c>
      <c r="B6019" s="1" t="n">
        <v>44855</v>
      </c>
      <c r="C6019" s="1" t="n">
        <v>45971</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43491-2024</t>
        </is>
      </c>
      <c r="B6020" s="1" t="n">
        <v>45568</v>
      </c>
      <c r="C6020" s="1" t="n">
        <v>45971</v>
      </c>
      <c r="D6020" t="inlineStr">
        <is>
          <t>VÄSTERBOTTENS LÄN</t>
        </is>
      </c>
      <c r="E6020" t="inlineStr">
        <is>
          <t>NORDMALING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43492-2024</t>
        </is>
      </c>
      <c r="B6021" s="1" t="n">
        <v>45568.92467592593</v>
      </c>
      <c r="C6021" s="1" t="n">
        <v>45971</v>
      </c>
      <c r="D6021" t="inlineStr">
        <is>
          <t>VÄSTERBOTTENS LÄN</t>
        </is>
      </c>
      <c r="E6021" t="inlineStr">
        <is>
          <t>NORDMALING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3017-2024</t>
        </is>
      </c>
      <c r="B6022" s="1" t="n">
        <v>45315.9491087963</v>
      </c>
      <c r="C6022" s="1" t="n">
        <v>45971</v>
      </c>
      <c r="D6022" t="inlineStr">
        <is>
          <t>VÄSTERBOTTENS LÄN</t>
        </is>
      </c>
      <c r="E6022" t="inlineStr">
        <is>
          <t>DOROTEA</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11715-2025</t>
        </is>
      </c>
      <c r="B6023" s="1" t="n">
        <v>45727.60585648148</v>
      </c>
      <c r="C6023" s="1" t="n">
        <v>45971</v>
      </c>
      <c r="D6023" t="inlineStr">
        <is>
          <t>VÄSTERBOTTENS LÄN</t>
        </is>
      </c>
      <c r="E6023" t="inlineStr">
        <is>
          <t>BJURHOLM</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22935-2024</t>
        </is>
      </c>
      <c r="B6024" s="1" t="n">
        <v>45448.94409722222</v>
      </c>
      <c r="C6024" s="1" t="n">
        <v>45971</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19412-2024</t>
        </is>
      </c>
      <c r="B6025" s="1" t="n">
        <v>45429.40755787037</v>
      </c>
      <c r="C6025" s="1" t="n">
        <v>45971</v>
      </c>
      <c r="D6025" t="inlineStr">
        <is>
          <t>VÄSTERBOTTENS LÄN</t>
        </is>
      </c>
      <c r="E6025" t="inlineStr">
        <is>
          <t>NORSJÖ</t>
        </is>
      </c>
      <c r="F6025" t="inlineStr">
        <is>
          <t>Holmen skog AB</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47472-2024</t>
        </is>
      </c>
      <c r="B6026" s="1" t="n">
        <v>45587.5741087963</v>
      </c>
      <c r="C6026" s="1" t="n">
        <v>45971</v>
      </c>
      <c r="D6026" t="inlineStr">
        <is>
          <t>VÄSTERBOTTENS LÄN</t>
        </is>
      </c>
      <c r="E6026" t="inlineStr">
        <is>
          <t>VÄNNÄS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17893-2024</t>
        </is>
      </c>
      <c r="B6027" s="1" t="n">
        <v>45419.48121527778</v>
      </c>
      <c r="C6027" s="1" t="n">
        <v>45971</v>
      </c>
      <c r="D6027" t="inlineStr">
        <is>
          <t>VÄSTERBOTTENS LÄN</t>
        </is>
      </c>
      <c r="E6027" t="inlineStr">
        <is>
          <t>NORDMALING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34894-2023</t>
        </is>
      </c>
      <c r="B6028" s="1" t="n">
        <v>45141</v>
      </c>
      <c r="C6028" s="1" t="n">
        <v>45971</v>
      </c>
      <c r="D6028" t="inlineStr">
        <is>
          <t>VÄSTERBOTTENS LÄN</t>
        </is>
      </c>
      <c r="E6028" t="inlineStr">
        <is>
          <t>NORDMALING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34903-2023</t>
        </is>
      </c>
      <c r="B6029" s="1" t="n">
        <v>45142</v>
      </c>
      <c r="C6029" s="1" t="n">
        <v>45971</v>
      </c>
      <c r="D6029" t="inlineStr">
        <is>
          <t>VÄSTERBOTTENS LÄN</t>
        </is>
      </c>
      <c r="E6029" t="inlineStr">
        <is>
          <t>LYCKSELE</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43541-2024</t>
        </is>
      </c>
      <c r="B6030" s="1" t="n">
        <v>45569.36511574074</v>
      </c>
      <c r="C6030" s="1" t="n">
        <v>45971</v>
      </c>
      <c r="D6030" t="inlineStr">
        <is>
          <t>VÄSTERBOTTENS LÄN</t>
        </is>
      </c>
      <c r="E6030" t="inlineStr">
        <is>
          <t>NORDMALING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43592-2024</t>
        </is>
      </c>
      <c r="B6031" s="1" t="n">
        <v>45569.44123842593</v>
      </c>
      <c r="C6031" s="1" t="n">
        <v>45971</v>
      </c>
      <c r="D6031" t="inlineStr">
        <is>
          <t>VÄSTERBOTTENS LÄN</t>
        </is>
      </c>
      <c r="E6031" t="inlineStr">
        <is>
          <t>NORSJÖ</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58775-2024</t>
        </is>
      </c>
      <c r="B6032" s="1" t="n">
        <v>45635.80533564815</v>
      </c>
      <c r="C6032" s="1" t="n">
        <v>45971</v>
      </c>
      <c r="D6032" t="inlineStr">
        <is>
          <t>VÄSTERBOTTENS LÄN</t>
        </is>
      </c>
      <c r="E6032" t="inlineStr">
        <is>
          <t>SKELLEFTEÅ</t>
        </is>
      </c>
      <c r="F6032" t="inlineStr">
        <is>
          <t>Sveaskog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38478-2024</t>
        </is>
      </c>
      <c r="B6033" s="1" t="n">
        <v>45546</v>
      </c>
      <c r="C6033" s="1" t="n">
        <v>45971</v>
      </c>
      <c r="D6033" t="inlineStr">
        <is>
          <t>VÄSTERBOTTENS LÄN</t>
        </is>
      </c>
      <c r="E6033" t="inlineStr">
        <is>
          <t>LYCKSELE</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9192-2021</t>
        </is>
      </c>
      <c r="B6034" s="1" t="n">
        <v>44249</v>
      </c>
      <c r="C6034" s="1" t="n">
        <v>45971</v>
      </c>
      <c r="D6034" t="inlineStr">
        <is>
          <t>VÄSTERBOTTENS LÄN</t>
        </is>
      </c>
      <c r="E6034" t="inlineStr">
        <is>
          <t>SKELLEFTEÅ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55613-2023</t>
        </is>
      </c>
      <c r="B6035" s="1" t="n">
        <v>45238.74128472222</v>
      </c>
      <c r="C6035" s="1" t="n">
        <v>45971</v>
      </c>
      <c r="D6035" t="inlineStr">
        <is>
          <t>VÄSTERBOTTENS LÄN</t>
        </is>
      </c>
      <c r="E6035" t="inlineStr">
        <is>
          <t>SKELLEFTEÅ</t>
        </is>
      </c>
      <c r="F6035" t="inlineStr">
        <is>
          <t>Sveaskog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7475-2025</t>
        </is>
      </c>
      <c r="B6036" s="1" t="n">
        <v>45705.46724537037</v>
      </c>
      <c r="C6036" s="1" t="n">
        <v>45971</v>
      </c>
      <c r="D6036" t="inlineStr">
        <is>
          <t>VÄSTERBOTTENS LÄN</t>
        </is>
      </c>
      <c r="E6036" t="inlineStr">
        <is>
          <t>ÅSELE</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47224-2024</t>
        </is>
      </c>
      <c r="B6037" s="1" t="n">
        <v>45586.67015046296</v>
      </c>
      <c r="C6037" s="1" t="n">
        <v>45971</v>
      </c>
      <c r="D6037" t="inlineStr">
        <is>
          <t>VÄSTERBOTTENS LÄN</t>
        </is>
      </c>
      <c r="E6037" t="inlineStr">
        <is>
          <t>NORSJÖ</t>
        </is>
      </c>
      <c r="F6037" t="inlineStr">
        <is>
          <t>Sveaskog</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17307-2025</t>
        </is>
      </c>
      <c r="B6038" s="1" t="n">
        <v>45756</v>
      </c>
      <c r="C6038" s="1" t="n">
        <v>45971</v>
      </c>
      <c r="D6038" t="inlineStr">
        <is>
          <t>VÄSTERBOTTENS LÄN</t>
        </is>
      </c>
      <c r="E6038" t="inlineStr">
        <is>
          <t>VILHELMINA</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28237-2021</t>
        </is>
      </c>
      <c r="B6039" s="1" t="n">
        <v>44355.66364583333</v>
      </c>
      <c r="C6039" s="1" t="n">
        <v>45971</v>
      </c>
      <c r="D6039" t="inlineStr">
        <is>
          <t>VÄSTERBOTTENS LÄN</t>
        </is>
      </c>
      <c r="E6039" t="inlineStr">
        <is>
          <t>ROBERTSFORS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7621-2025</t>
        </is>
      </c>
      <c r="B6040" s="1" t="n">
        <v>45705.71922453704</v>
      </c>
      <c r="C6040" s="1" t="n">
        <v>45971</v>
      </c>
      <c r="D6040" t="inlineStr">
        <is>
          <t>VÄSTERBOTTENS LÄN</t>
        </is>
      </c>
      <c r="E6040" t="inlineStr">
        <is>
          <t>ÅSELE</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7623-2025</t>
        </is>
      </c>
      <c r="B6041" s="1" t="n">
        <v>45705.72366898148</v>
      </c>
      <c r="C6041" s="1" t="n">
        <v>45971</v>
      </c>
      <c r="D6041" t="inlineStr">
        <is>
          <t>VÄSTERBOTTENS LÄN</t>
        </is>
      </c>
      <c r="E6041" t="inlineStr">
        <is>
          <t>LYCKSELE</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59664-2022</t>
        </is>
      </c>
      <c r="B6042" s="1" t="n">
        <v>44908.33321759259</v>
      </c>
      <c r="C6042" s="1" t="n">
        <v>45971</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40108-2025</t>
        </is>
      </c>
      <c r="B6043" s="1" t="n">
        <v>45894.49003472222</v>
      </c>
      <c r="C6043" s="1" t="n">
        <v>45971</v>
      </c>
      <c r="D6043" t="inlineStr">
        <is>
          <t>VÄSTERBOTTENS LÄN</t>
        </is>
      </c>
      <c r="E6043" t="inlineStr">
        <is>
          <t>NORSJÖ</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40125-2025</t>
        </is>
      </c>
      <c r="B6044" s="1" t="n">
        <v>45894.53178240741</v>
      </c>
      <c r="C6044" s="1" t="n">
        <v>45971</v>
      </c>
      <c r="D6044" t="inlineStr">
        <is>
          <t>VÄSTERBOTTENS LÄN</t>
        </is>
      </c>
      <c r="E6044" t="inlineStr">
        <is>
          <t>ÅSELE</t>
        </is>
      </c>
      <c r="F6044" t="inlineStr">
        <is>
          <t>SCA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20560-2025</t>
        </is>
      </c>
      <c r="B6045" s="1" t="n">
        <v>45775.65394675926</v>
      </c>
      <c r="C6045" s="1" t="n">
        <v>45971</v>
      </c>
      <c r="D6045" t="inlineStr">
        <is>
          <t>VÄSTERBOTTENS LÄN</t>
        </is>
      </c>
      <c r="E6045" t="inlineStr">
        <is>
          <t>LYCKSELE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58386-2022</t>
        </is>
      </c>
      <c r="B6046" s="1" t="n">
        <v>44894</v>
      </c>
      <c r="C6046" s="1" t="n">
        <v>45971</v>
      </c>
      <c r="D6046" t="inlineStr">
        <is>
          <t>VÄSTERBOTTENS LÄN</t>
        </is>
      </c>
      <c r="E6046" t="inlineStr">
        <is>
          <t>ÅSELE</t>
        </is>
      </c>
      <c r="F6046" t="inlineStr">
        <is>
          <t>Kommuner</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61967-2022</t>
        </is>
      </c>
      <c r="B6047" s="1" t="n">
        <v>44918.35616898148</v>
      </c>
      <c r="C6047" s="1" t="n">
        <v>45971</v>
      </c>
      <c r="D6047" t="inlineStr">
        <is>
          <t>VÄSTERBOTTENS LÄN</t>
        </is>
      </c>
      <c r="E6047" t="inlineStr">
        <is>
          <t>SORSELE</t>
        </is>
      </c>
      <c r="F6047" t="inlineStr">
        <is>
          <t>Sveaskog</t>
        </is>
      </c>
      <c r="G6047" t="n">
        <v>17.5</v>
      </c>
      <c r="H6047" t="n">
        <v>0</v>
      </c>
      <c r="I6047" t="n">
        <v>0</v>
      </c>
      <c r="J6047" t="n">
        <v>0</v>
      </c>
      <c r="K6047" t="n">
        <v>0</v>
      </c>
      <c r="L6047" t="n">
        <v>0</v>
      </c>
      <c r="M6047" t="n">
        <v>0</v>
      </c>
      <c r="N6047" t="n">
        <v>0</v>
      </c>
      <c r="O6047" t="n">
        <v>0</v>
      </c>
      <c r="P6047" t="n">
        <v>0</v>
      </c>
      <c r="Q6047" t="n">
        <v>0</v>
      </c>
      <c r="R6047" s="2" t="inlineStr"/>
    </row>
    <row r="6048" ht="15" customHeight="1">
      <c r="A6048" t="inlineStr">
        <is>
          <t>A 40144-2025</t>
        </is>
      </c>
      <c r="B6048" s="1" t="n">
        <v>45894.57322916666</v>
      </c>
      <c r="C6048" s="1" t="n">
        <v>45971</v>
      </c>
      <c r="D6048" t="inlineStr">
        <is>
          <t>VÄSTERBOTTENS LÄN</t>
        </is>
      </c>
      <c r="E6048" t="inlineStr">
        <is>
          <t>VILHELMINA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20751-2025</t>
        </is>
      </c>
      <c r="B6049" s="1" t="n">
        <v>45776</v>
      </c>
      <c r="C6049" s="1" t="n">
        <v>45971</v>
      </c>
      <c r="D6049" t="inlineStr">
        <is>
          <t>VÄSTERBOTTENS LÄN</t>
        </is>
      </c>
      <c r="E6049" t="inlineStr">
        <is>
          <t>ROBERTSFORS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2609-2024</t>
        </is>
      </c>
      <c r="B6050" s="1" t="n">
        <v>45313</v>
      </c>
      <c r="C6050" s="1" t="n">
        <v>45971</v>
      </c>
      <c r="D6050" t="inlineStr">
        <is>
          <t>VÄSTERBOTTENS LÄN</t>
        </is>
      </c>
      <c r="E6050" t="inlineStr">
        <is>
          <t>ÅSELE</t>
        </is>
      </c>
      <c r="F6050" t="inlineStr">
        <is>
          <t>Övriga Aktiebolag</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46775-2021</t>
        </is>
      </c>
      <c r="B6051" s="1" t="n">
        <v>44445.92061342593</v>
      </c>
      <c r="C6051" s="1" t="n">
        <v>45971</v>
      </c>
      <c r="D6051" t="inlineStr">
        <is>
          <t>VÄSTERBOTTENS LÄN</t>
        </is>
      </c>
      <c r="E6051" t="inlineStr">
        <is>
          <t>NORSJÖ</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45061-2024</t>
        </is>
      </c>
      <c r="B6052" s="1" t="n">
        <v>45575</v>
      </c>
      <c r="C6052" s="1" t="n">
        <v>45971</v>
      </c>
      <c r="D6052" t="inlineStr">
        <is>
          <t>VÄSTERBOTTENS LÄN</t>
        </is>
      </c>
      <c r="E6052" t="inlineStr">
        <is>
          <t>NORDMALING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29867-2022</t>
        </is>
      </c>
      <c r="B6053" s="1" t="n">
        <v>44756</v>
      </c>
      <c r="C6053" s="1" t="n">
        <v>45971</v>
      </c>
      <c r="D6053" t="inlineStr">
        <is>
          <t>VÄSTERBOTTENS LÄN</t>
        </is>
      </c>
      <c r="E6053" t="inlineStr">
        <is>
          <t>BJURHOLM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20084-2025</t>
        </is>
      </c>
      <c r="B6054" s="1" t="n">
        <v>45772.45416666667</v>
      </c>
      <c r="C6054" s="1" t="n">
        <v>45971</v>
      </c>
      <c r="D6054" t="inlineStr">
        <is>
          <t>VÄSTERBOTTENS LÄN</t>
        </is>
      </c>
      <c r="E6054" t="inlineStr">
        <is>
          <t>SKELLEFTEÅ</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60663-2024</t>
        </is>
      </c>
      <c r="B6055" s="1" t="n">
        <v>45644</v>
      </c>
      <c r="C6055" s="1" t="n">
        <v>45971</v>
      </c>
      <c r="D6055" t="inlineStr">
        <is>
          <t>VÄSTERBOTTENS LÄN</t>
        </is>
      </c>
      <c r="E6055" t="inlineStr">
        <is>
          <t>NORSJÖ</t>
        </is>
      </c>
      <c r="F6055" t="inlineStr">
        <is>
          <t>Kommuner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10402-2025</t>
        </is>
      </c>
      <c r="B6056" s="1" t="n">
        <v>45720.61511574074</v>
      </c>
      <c r="C6056" s="1" t="n">
        <v>45971</v>
      </c>
      <c r="D6056" t="inlineStr">
        <is>
          <t>VÄSTERBOTTENS LÄN</t>
        </is>
      </c>
      <c r="E6056" t="inlineStr">
        <is>
          <t>DOROTEA</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15879-2024</t>
        </is>
      </c>
      <c r="B6057" s="1" t="n">
        <v>45405</v>
      </c>
      <c r="C6057" s="1" t="n">
        <v>45971</v>
      </c>
      <c r="D6057" t="inlineStr">
        <is>
          <t>VÄSTERBOTTENS LÄN</t>
        </is>
      </c>
      <c r="E6057" t="inlineStr">
        <is>
          <t>ROBERTSFORS</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7254-2024</t>
        </is>
      </c>
      <c r="B6058" s="1" t="n">
        <v>45344</v>
      </c>
      <c r="C6058" s="1" t="n">
        <v>45971</v>
      </c>
      <c r="D6058" t="inlineStr">
        <is>
          <t>VÄSTERBOTTENS LÄN</t>
        </is>
      </c>
      <c r="E6058" t="inlineStr">
        <is>
          <t>NORDMALING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35128-2024</t>
        </is>
      </c>
      <c r="B6059" s="1" t="n">
        <v>45530</v>
      </c>
      <c r="C6059" s="1" t="n">
        <v>45971</v>
      </c>
      <c r="D6059" t="inlineStr">
        <is>
          <t>VÄSTERBOTTENS LÄN</t>
        </is>
      </c>
      <c r="E6059" t="inlineStr">
        <is>
          <t>VINDELN</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35135-2024</t>
        </is>
      </c>
      <c r="B6060" s="1" t="n">
        <v>45530.34371527778</v>
      </c>
      <c r="C6060" s="1" t="n">
        <v>45971</v>
      </c>
      <c r="D6060" t="inlineStr">
        <is>
          <t>VÄSTERBOTTENS LÄN</t>
        </is>
      </c>
      <c r="E6060" t="inlineStr">
        <is>
          <t>SKELLEFTEÅ</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37327-2023</t>
        </is>
      </c>
      <c r="B6061" s="1" t="n">
        <v>45154</v>
      </c>
      <c r="C6061" s="1" t="n">
        <v>45971</v>
      </c>
      <c r="D6061" t="inlineStr">
        <is>
          <t>VÄSTERBOTTENS LÄN</t>
        </is>
      </c>
      <c r="E6061" t="inlineStr">
        <is>
          <t>MALÅ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80-2025</t>
        </is>
      </c>
      <c r="B6062" s="1" t="n">
        <v>45659.44478009259</v>
      </c>
      <c r="C6062" s="1" t="n">
        <v>45971</v>
      </c>
      <c r="D6062" t="inlineStr">
        <is>
          <t>VÄSTERBOTTENS LÄN</t>
        </is>
      </c>
      <c r="E6062" t="inlineStr">
        <is>
          <t>BJURHOLM</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41668-2024</t>
        </is>
      </c>
      <c r="B6063" s="1" t="n">
        <v>45560.65291666667</v>
      </c>
      <c r="C6063" s="1" t="n">
        <v>45971</v>
      </c>
      <c r="D6063" t="inlineStr">
        <is>
          <t>VÄSTERBOTTENS LÄN</t>
        </is>
      </c>
      <c r="E6063" t="inlineStr">
        <is>
          <t>VINDELN</t>
        </is>
      </c>
      <c r="F6063" t="inlineStr">
        <is>
          <t>Sveaskog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6286-2025</t>
        </is>
      </c>
      <c r="B6064" s="1" t="n">
        <v>45698</v>
      </c>
      <c r="C6064" s="1" t="n">
        <v>45971</v>
      </c>
      <c r="D6064" t="inlineStr">
        <is>
          <t>VÄSTERBOTTENS LÄN</t>
        </is>
      </c>
      <c r="E6064" t="inlineStr">
        <is>
          <t>SKELLEFTEÅ</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64668-2023</t>
        </is>
      </c>
      <c r="B6065" s="1" t="n">
        <v>45281</v>
      </c>
      <c r="C6065" s="1" t="n">
        <v>45971</v>
      </c>
      <c r="D6065" t="inlineStr">
        <is>
          <t>VÄSTERBOTTENS LÄN</t>
        </is>
      </c>
      <c r="E6065" t="inlineStr">
        <is>
          <t>LYCKSELE</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27439-2024</t>
        </is>
      </c>
      <c r="B6066" s="1" t="n">
        <v>45474</v>
      </c>
      <c r="C6066" s="1" t="n">
        <v>45971</v>
      </c>
      <c r="D6066" t="inlineStr">
        <is>
          <t>VÄSTERBOTTENS LÄN</t>
        </is>
      </c>
      <c r="E6066" t="inlineStr">
        <is>
          <t>SKELLEFTEÅ</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46108-2024</t>
        </is>
      </c>
      <c r="B6067" s="1" t="n">
        <v>45581</v>
      </c>
      <c r="C6067" s="1" t="n">
        <v>45971</v>
      </c>
      <c r="D6067" t="inlineStr">
        <is>
          <t>VÄSTERBOTTENS LÄN</t>
        </is>
      </c>
      <c r="E6067" t="inlineStr">
        <is>
          <t>SKELLEFTEÅ</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50861-2023</t>
        </is>
      </c>
      <c r="B6068" s="1" t="n">
        <v>45218.34753472222</v>
      </c>
      <c r="C6068" s="1" t="n">
        <v>45971</v>
      </c>
      <c r="D6068" t="inlineStr">
        <is>
          <t>VÄSTERBOTTENS LÄN</t>
        </is>
      </c>
      <c r="E6068" t="inlineStr">
        <is>
          <t>ÅSELE</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50879-2023</t>
        </is>
      </c>
      <c r="B6069" s="1" t="n">
        <v>45211</v>
      </c>
      <c r="C6069" s="1" t="n">
        <v>45971</v>
      </c>
      <c r="D6069" t="inlineStr">
        <is>
          <t>VÄSTERBOTTENS LÄN</t>
        </is>
      </c>
      <c r="E6069" t="inlineStr">
        <is>
          <t>UMEÅ</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46012-2024</t>
        </is>
      </c>
      <c r="B6070" s="1" t="n">
        <v>45580</v>
      </c>
      <c r="C6070" s="1" t="n">
        <v>45971</v>
      </c>
      <c r="D6070" t="inlineStr">
        <is>
          <t>VÄSTERBOTTENS LÄN</t>
        </is>
      </c>
      <c r="E6070" t="inlineStr">
        <is>
          <t>VINDELN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5834-2023</t>
        </is>
      </c>
      <c r="B6071" s="1" t="n">
        <v>44958</v>
      </c>
      <c r="C6071" s="1" t="n">
        <v>45971</v>
      </c>
      <c r="D6071" t="inlineStr">
        <is>
          <t>VÄSTERBOTTENS LÄN</t>
        </is>
      </c>
      <c r="E6071" t="inlineStr">
        <is>
          <t>DOROTEA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37543-2024</t>
        </is>
      </c>
      <c r="B6072" s="1" t="n">
        <v>45541.42739583334</v>
      </c>
      <c r="C6072" s="1" t="n">
        <v>45971</v>
      </c>
      <c r="D6072" t="inlineStr">
        <is>
          <t>VÄSTERBOTTENS LÄN</t>
        </is>
      </c>
      <c r="E6072" t="inlineStr">
        <is>
          <t>VINDELN</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37544-2024</t>
        </is>
      </c>
      <c r="B6073" s="1" t="n">
        <v>45541.42741898148</v>
      </c>
      <c r="C6073" s="1" t="n">
        <v>45971</v>
      </c>
      <c r="D6073" t="inlineStr">
        <is>
          <t>VÄSTERBOTTENS LÄN</t>
        </is>
      </c>
      <c r="E6073" t="inlineStr">
        <is>
          <t>VINDELN</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63123-2023</t>
        </is>
      </c>
      <c r="B6074" s="1" t="n">
        <v>45272</v>
      </c>
      <c r="C6074" s="1" t="n">
        <v>45971</v>
      </c>
      <c r="D6074" t="inlineStr">
        <is>
          <t>VÄSTERBOTTENS LÄN</t>
        </is>
      </c>
      <c r="E6074" t="inlineStr">
        <is>
          <t>DOROTEA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48248-2024</t>
        </is>
      </c>
      <c r="B6075" s="1" t="n">
        <v>45590.40659722222</v>
      </c>
      <c r="C6075" s="1" t="n">
        <v>45971</v>
      </c>
      <c r="D6075" t="inlineStr">
        <is>
          <t>VÄSTERBOTTENS LÄN</t>
        </is>
      </c>
      <c r="E6075" t="inlineStr">
        <is>
          <t>ÅSELE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48314-2024</t>
        </is>
      </c>
      <c r="B6076" s="1" t="n">
        <v>45590.48991898148</v>
      </c>
      <c r="C6076" s="1" t="n">
        <v>45971</v>
      </c>
      <c r="D6076" t="inlineStr">
        <is>
          <t>VÄSTERBOTTENS LÄN</t>
        </is>
      </c>
      <c r="E6076" t="inlineStr">
        <is>
          <t>BJURHOLM</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33737-2024</t>
        </is>
      </c>
      <c r="B6077" s="1" t="n">
        <v>45520.55659722222</v>
      </c>
      <c r="C6077" s="1" t="n">
        <v>45971</v>
      </c>
      <c r="D6077" t="inlineStr">
        <is>
          <t>VÄSTERBOTTENS LÄN</t>
        </is>
      </c>
      <c r="E6077" t="inlineStr">
        <is>
          <t>STORUMAN</t>
        </is>
      </c>
      <c r="F6077" t="inlineStr">
        <is>
          <t>Sveaskog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751-2023</t>
        </is>
      </c>
      <c r="B6078" s="1" t="n">
        <v>44931.3587962963</v>
      </c>
      <c r="C6078" s="1" t="n">
        <v>45971</v>
      </c>
      <c r="D6078" t="inlineStr">
        <is>
          <t>VÄSTERBOTTENS LÄN</t>
        </is>
      </c>
      <c r="E6078" t="inlineStr">
        <is>
          <t>UMEÅ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26288-2024</t>
        </is>
      </c>
      <c r="B6079" s="1" t="n">
        <v>45468</v>
      </c>
      <c r="C6079" s="1" t="n">
        <v>45971</v>
      </c>
      <c r="D6079" t="inlineStr">
        <is>
          <t>VÄSTERBOTTENS LÄN</t>
        </is>
      </c>
      <c r="E6079" t="inlineStr">
        <is>
          <t>MALÅ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36880-2023</t>
        </is>
      </c>
      <c r="B6080" s="1" t="n">
        <v>45154.58393518518</v>
      </c>
      <c r="C6080" s="1" t="n">
        <v>45971</v>
      </c>
      <c r="D6080" t="inlineStr">
        <is>
          <t>VÄSTERBOTTENS LÄN</t>
        </is>
      </c>
      <c r="E6080" t="inlineStr">
        <is>
          <t>ÅSELE</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23718-2023</t>
        </is>
      </c>
      <c r="B6081" s="1" t="n">
        <v>45077.66282407408</v>
      </c>
      <c r="C6081" s="1" t="n">
        <v>45971</v>
      </c>
      <c r="D6081" t="inlineStr">
        <is>
          <t>VÄSTERBOTTENS LÄN</t>
        </is>
      </c>
      <c r="E6081" t="inlineStr">
        <is>
          <t>UMEÅ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2794-2025</t>
        </is>
      </c>
      <c r="B6082" s="1" t="n">
        <v>45677.56866898148</v>
      </c>
      <c r="C6082" s="1" t="n">
        <v>45971</v>
      </c>
      <c r="D6082" t="inlineStr">
        <is>
          <t>VÄSTERBOTTENS LÄN</t>
        </is>
      </c>
      <c r="E6082" t="inlineStr">
        <is>
          <t>LYCKSELE</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55327-2023</t>
        </is>
      </c>
      <c r="B6083" s="1" t="n">
        <v>45237.97375</v>
      </c>
      <c r="C6083" s="1" t="n">
        <v>45971</v>
      </c>
      <c r="D6083" t="inlineStr">
        <is>
          <t>VÄSTERBOTTENS LÄN</t>
        </is>
      </c>
      <c r="E6083" t="inlineStr">
        <is>
          <t>VILHELMINA</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9102-2023</t>
        </is>
      </c>
      <c r="B6084" s="1" t="n">
        <v>44979</v>
      </c>
      <c r="C6084" s="1" t="n">
        <v>45971</v>
      </c>
      <c r="D6084" t="inlineStr">
        <is>
          <t>VÄSTERBOTTENS LÄN</t>
        </is>
      </c>
      <c r="E6084" t="inlineStr">
        <is>
          <t>DOROTEA</t>
        </is>
      </c>
      <c r="F6084" t="inlineStr">
        <is>
          <t>SCA</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61048-2022</t>
        </is>
      </c>
      <c r="B6085" s="1" t="n">
        <v>44914</v>
      </c>
      <c r="C6085" s="1" t="n">
        <v>45971</v>
      </c>
      <c r="D6085" t="inlineStr">
        <is>
          <t>VÄSTERBOTTENS LÄN</t>
        </is>
      </c>
      <c r="E6085" t="inlineStr">
        <is>
          <t>VILHELMINA</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59799-2021</t>
        </is>
      </c>
      <c r="B6086" s="1" t="n">
        <v>44491</v>
      </c>
      <c r="C6086" s="1" t="n">
        <v>45971</v>
      </c>
      <c r="D6086" t="inlineStr">
        <is>
          <t>VÄSTERBOTTENS LÄN</t>
        </is>
      </c>
      <c r="E6086" t="inlineStr">
        <is>
          <t>VINDELN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25575-2022</t>
        </is>
      </c>
      <c r="B6087" s="1" t="n">
        <v>44732</v>
      </c>
      <c r="C6087" s="1" t="n">
        <v>45971</v>
      </c>
      <c r="D6087" t="inlineStr">
        <is>
          <t>VÄSTERBOTTENS LÄN</t>
        </is>
      </c>
      <c r="E6087" t="inlineStr">
        <is>
          <t>ROBERTSFORS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22351-2023</t>
        </is>
      </c>
      <c r="B6088" s="1" t="n">
        <v>45068</v>
      </c>
      <c r="C6088" s="1" t="n">
        <v>45971</v>
      </c>
      <c r="D6088" t="inlineStr">
        <is>
          <t>VÄSTERBOTTENS LÄN</t>
        </is>
      </c>
      <c r="E6088" t="inlineStr">
        <is>
          <t>SKELLEFTEÅ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23842-2024</t>
        </is>
      </c>
      <c r="B6089" s="1" t="n">
        <v>45455.52168981481</v>
      </c>
      <c r="C6089" s="1" t="n">
        <v>45971</v>
      </c>
      <c r="D6089" t="inlineStr">
        <is>
          <t>VÄSTERBOTTENS LÄN</t>
        </is>
      </c>
      <c r="E6089" t="inlineStr">
        <is>
          <t>UMEÅ</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33822-2024</t>
        </is>
      </c>
      <c r="B6090" s="1" t="n">
        <v>45520.61289351852</v>
      </c>
      <c r="C6090" s="1" t="n">
        <v>45971</v>
      </c>
      <c r="D6090" t="inlineStr">
        <is>
          <t>VÄSTERBOTTENS LÄN</t>
        </is>
      </c>
      <c r="E6090" t="inlineStr">
        <is>
          <t>VINDELN</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54143-2024</t>
        </is>
      </c>
      <c r="B6091" s="1" t="n">
        <v>45616</v>
      </c>
      <c r="C6091" s="1" t="n">
        <v>45971</v>
      </c>
      <c r="D6091" t="inlineStr">
        <is>
          <t>VÄSTERBOTTENS LÄN</t>
        </is>
      </c>
      <c r="E6091" t="inlineStr">
        <is>
          <t>UMEÅ</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35006-2023</t>
        </is>
      </c>
      <c r="B6092" s="1" t="n">
        <v>45142.95103009259</v>
      </c>
      <c r="C6092" s="1" t="n">
        <v>45971</v>
      </c>
      <c r="D6092" t="inlineStr">
        <is>
          <t>VÄSTERBOTTENS LÄN</t>
        </is>
      </c>
      <c r="E6092" t="inlineStr">
        <is>
          <t>VILHELMINA</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33836-2024</t>
        </is>
      </c>
      <c r="B6093" s="1" t="n">
        <v>45520.62395833333</v>
      </c>
      <c r="C6093" s="1" t="n">
        <v>45971</v>
      </c>
      <c r="D6093" t="inlineStr">
        <is>
          <t>VÄSTERBOTTENS LÄN</t>
        </is>
      </c>
      <c r="E6093" t="inlineStr">
        <is>
          <t>STORUMAN</t>
        </is>
      </c>
      <c r="F6093" t="inlineStr">
        <is>
          <t>Sveaskog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252-2025</t>
        </is>
      </c>
      <c r="B6094" s="1" t="n">
        <v>45660.42734953704</v>
      </c>
      <c r="C6094" s="1" t="n">
        <v>45971</v>
      </c>
      <c r="D6094" t="inlineStr">
        <is>
          <t>VÄSTERBOTTENS LÄN</t>
        </is>
      </c>
      <c r="E6094" t="inlineStr">
        <is>
          <t>VILHELMINA</t>
        </is>
      </c>
      <c r="F6094" t="inlineStr">
        <is>
          <t>SCA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39794-2023</t>
        </is>
      </c>
      <c r="B6095" s="1" t="n">
        <v>45167</v>
      </c>
      <c r="C6095" s="1" t="n">
        <v>45971</v>
      </c>
      <c r="D6095" t="inlineStr">
        <is>
          <t>VÄSTERBOTTENS LÄN</t>
        </is>
      </c>
      <c r="E6095" t="inlineStr">
        <is>
          <t>MALÅ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36655-2024</t>
        </is>
      </c>
      <c r="B6096" s="1" t="n">
        <v>45537</v>
      </c>
      <c r="C6096" s="1" t="n">
        <v>45971</v>
      </c>
      <c r="D6096" t="inlineStr">
        <is>
          <t>VÄSTERBOTTENS LÄN</t>
        </is>
      </c>
      <c r="E6096" t="inlineStr">
        <is>
          <t>VINDELN</t>
        </is>
      </c>
      <c r="F6096" t="inlineStr">
        <is>
          <t>Sveaskog</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12229-2022</t>
        </is>
      </c>
      <c r="B6097" s="1" t="n">
        <v>44637</v>
      </c>
      <c r="C6097" s="1" t="n">
        <v>45971</v>
      </c>
      <c r="D6097" t="inlineStr">
        <is>
          <t>VÄSTERBOTTENS LÄN</t>
        </is>
      </c>
      <c r="E6097" t="inlineStr">
        <is>
          <t>VILHELMINA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36657-2024</t>
        </is>
      </c>
      <c r="B6098" s="1" t="n">
        <v>45537</v>
      </c>
      <c r="C6098" s="1" t="n">
        <v>45971</v>
      </c>
      <c r="D6098" t="inlineStr">
        <is>
          <t>VÄSTERBOTTENS LÄN</t>
        </is>
      </c>
      <c r="E6098" t="inlineStr">
        <is>
          <t>VINDELN</t>
        </is>
      </c>
      <c r="F6098" t="inlineStr">
        <is>
          <t>Sveaskog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4210-2025</t>
        </is>
      </c>
      <c r="B6099" s="1" t="n">
        <v>45685.48523148148</v>
      </c>
      <c r="C6099" s="1" t="n">
        <v>45971</v>
      </c>
      <c r="D6099" t="inlineStr">
        <is>
          <t>VÄSTERBOTTENS LÄN</t>
        </is>
      </c>
      <c r="E6099" t="inlineStr">
        <is>
          <t>VINDELN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50187-2023</t>
        </is>
      </c>
      <c r="B6100" s="1" t="n">
        <v>45215.78850694445</v>
      </c>
      <c r="C6100" s="1" t="n">
        <v>45971</v>
      </c>
      <c r="D6100" t="inlineStr">
        <is>
          <t>VÄSTERBOTTENS LÄN</t>
        </is>
      </c>
      <c r="E6100" t="inlineStr">
        <is>
          <t>ROBERTSFORS</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27887-2023</t>
        </is>
      </c>
      <c r="B6101" s="1" t="n">
        <v>45098</v>
      </c>
      <c r="C6101" s="1" t="n">
        <v>45971</v>
      </c>
      <c r="D6101" t="inlineStr">
        <is>
          <t>VÄSTERBOTTENS LÄN</t>
        </is>
      </c>
      <c r="E6101" t="inlineStr">
        <is>
          <t>VINDELN</t>
        </is>
      </c>
      <c r="F6101" t="inlineStr">
        <is>
          <t>Sveaskog</t>
        </is>
      </c>
      <c r="G6101" t="n">
        <v>15.3</v>
      </c>
      <c r="H6101" t="n">
        <v>0</v>
      </c>
      <c r="I6101" t="n">
        <v>0</v>
      </c>
      <c r="J6101" t="n">
        <v>0</v>
      </c>
      <c r="K6101" t="n">
        <v>0</v>
      </c>
      <c r="L6101" t="n">
        <v>0</v>
      </c>
      <c r="M6101" t="n">
        <v>0</v>
      </c>
      <c r="N6101" t="n">
        <v>0</v>
      </c>
      <c r="O6101" t="n">
        <v>0</v>
      </c>
      <c r="P6101" t="n">
        <v>0</v>
      </c>
      <c r="Q6101" t="n">
        <v>0</v>
      </c>
      <c r="R6101" s="2" t="inlineStr"/>
    </row>
    <row r="6102" ht="15" customHeight="1">
      <c r="A6102" t="inlineStr">
        <is>
          <t>A 27898-2023</t>
        </is>
      </c>
      <c r="B6102" s="1" t="n">
        <v>45098</v>
      </c>
      <c r="C6102" s="1" t="n">
        <v>45971</v>
      </c>
      <c r="D6102" t="inlineStr">
        <is>
          <t>VÄSTERBOTTENS LÄN</t>
        </is>
      </c>
      <c r="E6102" t="inlineStr">
        <is>
          <t>NORSJÖ</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728-2025</t>
        </is>
      </c>
      <c r="B6103" s="1" t="n">
        <v>45665</v>
      </c>
      <c r="C6103" s="1" t="n">
        <v>45971</v>
      </c>
      <c r="D6103" t="inlineStr">
        <is>
          <t>VÄSTERBOTTENS LÄN</t>
        </is>
      </c>
      <c r="E6103" t="inlineStr">
        <is>
          <t>VINDELN</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45007-2024</t>
        </is>
      </c>
      <c r="B6104" s="1" t="n">
        <v>45575.49100694444</v>
      </c>
      <c r="C6104" s="1" t="n">
        <v>45971</v>
      </c>
      <c r="D6104" t="inlineStr">
        <is>
          <t>VÄSTERBOTTENS LÄN</t>
        </is>
      </c>
      <c r="E6104" t="inlineStr">
        <is>
          <t>VILHELMINA</t>
        </is>
      </c>
      <c r="F6104" t="inlineStr">
        <is>
          <t>SCA</t>
        </is>
      </c>
      <c r="G6104" t="n">
        <v>14.8</v>
      </c>
      <c r="H6104" t="n">
        <v>0</v>
      </c>
      <c r="I6104" t="n">
        <v>0</v>
      </c>
      <c r="J6104" t="n">
        <v>0</v>
      </c>
      <c r="K6104" t="n">
        <v>0</v>
      </c>
      <c r="L6104" t="n">
        <v>0</v>
      </c>
      <c r="M6104" t="n">
        <v>0</v>
      </c>
      <c r="N6104" t="n">
        <v>0</v>
      </c>
      <c r="O6104" t="n">
        <v>0</v>
      </c>
      <c r="P6104" t="n">
        <v>0</v>
      </c>
      <c r="Q6104" t="n">
        <v>0</v>
      </c>
      <c r="R6104" s="2" t="inlineStr"/>
    </row>
    <row r="6105" ht="15" customHeight="1">
      <c r="A6105" t="inlineStr">
        <is>
          <t>A 12928-2021</t>
        </is>
      </c>
      <c r="B6105" s="1" t="n">
        <v>44270</v>
      </c>
      <c r="C6105" s="1" t="n">
        <v>45971</v>
      </c>
      <c r="D6105" t="inlineStr">
        <is>
          <t>VÄSTERBOTTENS LÄN</t>
        </is>
      </c>
      <c r="E6105" t="inlineStr">
        <is>
          <t>SKELLEFTEÅ</t>
        </is>
      </c>
      <c r="G6105" t="n">
        <v>17.8</v>
      </c>
      <c r="H6105" t="n">
        <v>0</v>
      </c>
      <c r="I6105" t="n">
        <v>0</v>
      </c>
      <c r="J6105" t="n">
        <v>0</v>
      </c>
      <c r="K6105" t="n">
        <v>0</v>
      </c>
      <c r="L6105" t="n">
        <v>0</v>
      </c>
      <c r="M6105" t="n">
        <v>0</v>
      </c>
      <c r="N6105" t="n">
        <v>0</v>
      </c>
      <c r="O6105" t="n">
        <v>0</v>
      </c>
      <c r="P6105" t="n">
        <v>0</v>
      </c>
      <c r="Q6105" t="n">
        <v>0</v>
      </c>
      <c r="R6105" s="2" t="inlineStr"/>
    </row>
    <row r="6106" ht="15" customHeight="1">
      <c r="A6106" t="inlineStr">
        <is>
          <t>A 10954-2025</t>
        </is>
      </c>
      <c r="B6106" s="1" t="n">
        <v>45723.36034722222</v>
      </c>
      <c r="C6106" s="1" t="n">
        <v>45971</v>
      </c>
      <c r="D6106" t="inlineStr">
        <is>
          <t>VÄSTERBOTTENS LÄN</t>
        </is>
      </c>
      <c r="E6106" t="inlineStr">
        <is>
          <t>BJURHOLM</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60864-2024</t>
        </is>
      </c>
      <c r="B6107" s="1" t="n">
        <v>45644.69378472222</v>
      </c>
      <c r="C6107" s="1" t="n">
        <v>45971</v>
      </c>
      <c r="D6107" t="inlineStr">
        <is>
          <t>VÄSTERBOTTENS LÄN</t>
        </is>
      </c>
      <c r="E6107" t="inlineStr">
        <is>
          <t>VINDELN</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11061-2025</t>
        </is>
      </c>
      <c r="B6108" s="1" t="n">
        <v>45723.51538194445</v>
      </c>
      <c r="C6108" s="1" t="n">
        <v>45971</v>
      </c>
      <c r="D6108" t="inlineStr">
        <is>
          <t>VÄSTERBOTTENS LÄN</t>
        </is>
      </c>
      <c r="E6108" t="inlineStr">
        <is>
          <t>UMEÅ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3951-2021</t>
        </is>
      </c>
      <c r="B6109" s="1" t="n">
        <v>44217</v>
      </c>
      <c r="C6109" s="1" t="n">
        <v>45971</v>
      </c>
      <c r="D6109" t="inlineStr">
        <is>
          <t>VÄSTERBOTTENS LÄN</t>
        </is>
      </c>
      <c r="E6109" t="inlineStr">
        <is>
          <t>SKELLEFTEÅ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10899-2025</t>
        </is>
      </c>
      <c r="B6110" s="1" t="n">
        <v>45722</v>
      </c>
      <c r="C6110" s="1" t="n">
        <v>45971</v>
      </c>
      <c r="D6110" t="inlineStr">
        <is>
          <t>VÄSTERBOTTENS LÄN</t>
        </is>
      </c>
      <c r="E6110" t="inlineStr">
        <is>
          <t>UMEÅ</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59877-2022</t>
        </is>
      </c>
      <c r="B6111" s="1" t="n">
        <v>44901</v>
      </c>
      <c r="C6111" s="1" t="n">
        <v>45971</v>
      </c>
      <c r="D6111" t="inlineStr">
        <is>
          <t>VÄSTERBOTTENS LÄN</t>
        </is>
      </c>
      <c r="E6111" t="inlineStr">
        <is>
          <t>ROBERTSFORS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65242-2021</t>
        </is>
      </c>
      <c r="B6112" s="1" t="n">
        <v>44515.55709490741</v>
      </c>
      <c r="C6112" s="1" t="n">
        <v>45971</v>
      </c>
      <c r="D6112" t="inlineStr">
        <is>
          <t>VÄSTERBOTTENS LÄN</t>
        </is>
      </c>
      <c r="E6112" t="inlineStr">
        <is>
          <t>UMEÅ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46195-2024</t>
        </is>
      </c>
      <c r="B6113" s="1" t="n">
        <v>45581.51873842593</v>
      </c>
      <c r="C6113" s="1" t="n">
        <v>45971</v>
      </c>
      <c r="D6113" t="inlineStr">
        <is>
          <t>VÄSTERBOTTENS LÄN</t>
        </is>
      </c>
      <c r="E6113" t="inlineStr">
        <is>
          <t>VÄNNÄS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62025-2022</t>
        </is>
      </c>
      <c r="B6114" s="1" t="n">
        <v>44914</v>
      </c>
      <c r="C6114" s="1" t="n">
        <v>45971</v>
      </c>
      <c r="D6114" t="inlineStr">
        <is>
          <t>VÄSTERBOTTENS LÄN</t>
        </is>
      </c>
      <c r="E6114" t="inlineStr">
        <is>
          <t>SKELLEFTEÅ</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62028-2022</t>
        </is>
      </c>
      <c r="B6115" s="1" t="n">
        <v>44914</v>
      </c>
      <c r="C6115" s="1" t="n">
        <v>45971</v>
      </c>
      <c r="D6115" t="inlineStr">
        <is>
          <t>VÄSTERBOTTENS LÄN</t>
        </is>
      </c>
      <c r="E6115" t="inlineStr">
        <is>
          <t>SKELLEFTEÅ</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22267-2023</t>
        </is>
      </c>
      <c r="B6116" s="1" t="n">
        <v>45068</v>
      </c>
      <c r="C6116" s="1" t="n">
        <v>45971</v>
      </c>
      <c r="D6116" t="inlineStr">
        <is>
          <t>VÄSTERBOTTENS LÄN</t>
        </is>
      </c>
      <c r="E6116" t="inlineStr">
        <is>
          <t>ÅSELE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57131-2024</t>
        </is>
      </c>
      <c r="B6117" s="1" t="n">
        <v>45629.38340277778</v>
      </c>
      <c r="C6117" s="1" t="n">
        <v>45971</v>
      </c>
      <c r="D6117" t="inlineStr">
        <is>
          <t>VÄSTERBOTTENS LÄN</t>
        </is>
      </c>
      <c r="E6117" t="inlineStr">
        <is>
          <t>SKELLEFTEÅ</t>
        </is>
      </c>
      <c r="F6117" t="inlineStr">
        <is>
          <t>Holmen skog AB</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2393-2023</t>
        </is>
      </c>
      <c r="B6118" s="1" t="n">
        <v>44942.9234375</v>
      </c>
      <c r="C6118" s="1" t="n">
        <v>45971</v>
      </c>
      <c r="D6118" t="inlineStr">
        <is>
          <t>VÄSTERBOTTENS LÄN</t>
        </is>
      </c>
      <c r="E6118" t="inlineStr">
        <is>
          <t>SKELLEFTEÅ</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57246-2024</t>
        </is>
      </c>
      <c r="B6119" s="1" t="n">
        <v>45629.55165509259</v>
      </c>
      <c r="C6119" s="1" t="n">
        <v>45971</v>
      </c>
      <c r="D6119" t="inlineStr">
        <is>
          <t>VÄSTERBOTTENS LÄN</t>
        </is>
      </c>
      <c r="E6119" t="inlineStr">
        <is>
          <t>LYCKSELE</t>
        </is>
      </c>
      <c r="F6119" t="inlineStr">
        <is>
          <t>Sveaskog</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29967-2024</t>
        </is>
      </c>
      <c r="B6120" s="1" t="n">
        <v>45488.4725925926</v>
      </c>
      <c r="C6120" s="1" t="n">
        <v>45971</v>
      </c>
      <c r="D6120" t="inlineStr">
        <is>
          <t>VÄSTERBOTTENS LÄN</t>
        </is>
      </c>
      <c r="E6120" t="inlineStr">
        <is>
          <t>ÅSELE</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29862-2022</t>
        </is>
      </c>
      <c r="B6121" s="1" t="n">
        <v>44756.38809027777</v>
      </c>
      <c r="C6121" s="1" t="n">
        <v>45971</v>
      </c>
      <c r="D6121" t="inlineStr">
        <is>
          <t>VÄSTERBOTTENS LÄN</t>
        </is>
      </c>
      <c r="E6121" t="inlineStr">
        <is>
          <t>DOROTEA</t>
        </is>
      </c>
      <c r="G6121" t="n">
        <v>13.6</v>
      </c>
      <c r="H6121" t="n">
        <v>0</v>
      </c>
      <c r="I6121" t="n">
        <v>0</v>
      </c>
      <c r="J6121" t="n">
        <v>0</v>
      </c>
      <c r="K6121" t="n">
        <v>0</v>
      </c>
      <c r="L6121" t="n">
        <v>0</v>
      </c>
      <c r="M6121" t="n">
        <v>0</v>
      </c>
      <c r="N6121" t="n">
        <v>0</v>
      </c>
      <c r="O6121" t="n">
        <v>0</v>
      </c>
      <c r="P6121" t="n">
        <v>0</v>
      </c>
      <c r="Q6121" t="n">
        <v>0</v>
      </c>
      <c r="R6121" s="2" t="inlineStr"/>
    </row>
    <row r="6122" ht="15" customHeight="1">
      <c r="A6122" t="inlineStr">
        <is>
          <t>A 41913-2023</t>
        </is>
      </c>
      <c r="B6122" s="1" t="n">
        <v>45176</v>
      </c>
      <c r="C6122" s="1" t="n">
        <v>45971</v>
      </c>
      <c r="D6122" t="inlineStr">
        <is>
          <t>VÄSTERBOTTENS LÄN</t>
        </is>
      </c>
      <c r="E6122" t="inlineStr">
        <is>
          <t>MALÅ</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36379-2024</t>
        </is>
      </c>
      <c r="B6123" s="1" t="n">
        <v>45534.6965162037</v>
      </c>
      <c r="C6123" s="1" t="n">
        <v>45971</v>
      </c>
      <c r="D6123" t="inlineStr">
        <is>
          <t>VÄSTERBOTTENS LÄN</t>
        </is>
      </c>
      <c r="E6123" t="inlineStr">
        <is>
          <t>SKELLEFTEÅ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30027-2024</t>
        </is>
      </c>
      <c r="B6124" s="1" t="n">
        <v>45488.65130787037</v>
      </c>
      <c r="C6124" s="1" t="n">
        <v>45971</v>
      </c>
      <c r="D6124" t="inlineStr">
        <is>
          <t>VÄSTERBOTTENS LÄN</t>
        </is>
      </c>
      <c r="E6124" t="inlineStr">
        <is>
          <t>NORSJÖ</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16036-2025</t>
        </is>
      </c>
      <c r="B6125" s="1" t="n">
        <v>45748</v>
      </c>
      <c r="C6125" s="1" t="n">
        <v>45971</v>
      </c>
      <c r="D6125" t="inlineStr">
        <is>
          <t>VÄSTERBOTTENS LÄN</t>
        </is>
      </c>
      <c r="E6125" t="inlineStr">
        <is>
          <t>NORSJÖ</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4447-2023</t>
        </is>
      </c>
      <c r="B6126" s="1" t="n">
        <v>44951</v>
      </c>
      <c r="C6126" s="1" t="n">
        <v>45971</v>
      </c>
      <c r="D6126" t="inlineStr">
        <is>
          <t>VÄSTERBOTTENS LÄN</t>
        </is>
      </c>
      <c r="E6126" t="inlineStr">
        <is>
          <t>SKELLEFTEÅ</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4458-2023</t>
        </is>
      </c>
      <c r="B6127" s="1" t="n">
        <v>44952</v>
      </c>
      <c r="C6127" s="1" t="n">
        <v>45971</v>
      </c>
      <c r="D6127" t="inlineStr">
        <is>
          <t>VÄSTERBOTTENS LÄN</t>
        </is>
      </c>
      <c r="E6127" t="inlineStr">
        <is>
          <t>SKELLEFTEÅ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29547-2022</t>
        </is>
      </c>
      <c r="B6128" s="1" t="n">
        <v>44753.94399305555</v>
      </c>
      <c r="C6128" s="1" t="n">
        <v>45971</v>
      </c>
      <c r="D6128" t="inlineStr">
        <is>
          <t>VÄSTERBOTTENS LÄN</t>
        </is>
      </c>
      <c r="E6128" t="inlineStr">
        <is>
          <t>NORDMALING</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37496-2023</t>
        </is>
      </c>
      <c r="B6129" s="1" t="n">
        <v>45157</v>
      </c>
      <c r="C6129" s="1" t="n">
        <v>45971</v>
      </c>
      <c r="D6129" t="inlineStr">
        <is>
          <t>VÄSTERBOTTENS LÄN</t>
        </is>
      </c>
      <c r="E6129" t="inlineStr">
        <is>
          <t>NORSJÖ</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37537-2023</t>
        </is>
      </c>
      <c r="B6130" s="1" t="n">
        <v>45158</v>
      </c>
      <c r="C6130" s="1" t="n">
        <v>45971</v>
      </c>
      <c r="D6130" t="inlineStr">
        <is>
          <t>VÄSTERBOTTENS LÄN</t>
        </is>
      </c>
      <c r="E6130" t="inlineStr">
        <is>
          <t>MALÅ</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48230-2023</t>
        </is>
      </c>
      <c r="B6131" s="1" t="n">
        <v>45205</v>
      </c>
      <c r="C6131" s="1" t="n">
        <v>45971</v>
      </c>
      <c r="D6131" t="inlineStr">
        <is>
          <t>VÄSTERBOTTENS LÄN</t>
        </is>
      </c>
      <c r="E6131" t="inlineStr">
        <is>
          <t>LYCKSELE</t>
        </is>
      </c>
      <c r="F6131" t="inlineStr">
        <is>
          <t>Holmen skog AB</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29726-2023</t>
        </is>
      </c>
      <c r="B6132" s="1" t="n">
        <v>45107.44431712963</v>
      </c>
      <c r="C6132" s="1" t="n">
        <v>45971</v>
      </c>
      <c r="D6132" t="inlineStr">
        <is>
          <t>VÄSTERBOTTENS LÄN</t>
        </is>
      </c>
      <c r="E6132" t="inlineStr">
        <is>
          <t>ÅSELE</t>
        </is>
      </c>
      <c r="F6132" t="inlineStr">
        <is>
          <t>Holmen skog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32618-2023</t>
        </is>
      </c>
      <c r="B6133" s="1" t="n">
        <v>45111</v>
      </c>
      <c r="C6133" s="1" t="n">
        <v>45971</v>
      </c>
      <c r="D6133" t="inlineStr">
        <is>
          <t>VÄSTERBOTTENS LÄN</t>
        </is>
      </c>
      <c r="E6133" t="inlineStr">
        <is>
          <t>MALÅ</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50284-2024</t>
        </is>
      </c>
      <c r="B6134" s="1" t="n">
        <v>45600.61493055556</v>
      </c>
      <c r="C6134" s="1" t="n">
        <v>45971</v>
      </c>
      <c r="D6134" t="inlineStr">
        <is>
          <t>VÄSTERBOTTENS LÄN</t>
        </is>
      </c>
      <c r="E6134" t="inlineStr">
        <is>
          <t>ÅSELE</t>
        </is>
      </c>
      <c r="F6134" t="inlineStr">
        <is>
          <t>SCA</t>
        </is>
      </c>
      <c r="G6134" t="n">
        <v>15.3</v>
      </c>
      <c r="H6134" t="n">
        <v>0</v>
      </c>
      <c r="I6134" t="n">
        <v>0</v>
      </c>
      <c r="J6134" t="n">
        <v>0</v>
      </c>
      <c r="K6134" t="n">
        <v>0</v>
      </c>
      <c r="L6134" t="n">
        <v>0</v>
      </c>
      <c r="M6134" t="n">
        <v>0</v>
      </c>
      <c r="N6134" t="n">
        <v>0</v>
      </c>
      <c r="O6134" t="n">
        <v>0</v>
      </c>
      <c r="P6134" t="n">
        <v>0</v>
      </c>
      <c r="Q6134" t="n">
        <v>0</v>
      </c>
      <c r="R6134" s="2" t="inlineStr"/>
    </row>
    <row r="6135" ht="15" customHeight="1">
      <c r="A6135" t="inlineStr">
        <is>
          <t>A 2382-2023</t>
        </is>
      </c>
      <c r="B6135" s="1" t="n">
        <v>44942</v>
      </c>
      <c r="C6135" s="1" t="n">
        <v>45971</v>
      </c>
      <c r="D6135" t="inlineStr">
        <is>
          <t>VÄSTERBOTTENS LÄN</t>
        </is>
      </c>
      <c r="E6135" t="inlineStr">
        <is>
          <t>VILHELMINA</t>
        </is>
      </c>
      <c r="G6135" t="n">
        <v>29.7</v>
      </c>
      <c r="H6135" t="n">
        <v>0</v>
      </c>
      <c r="I6135" t="n">
        <v>0</v>
      </c>
      <c r="J6135" t="n">
        <v>0</v>
      </c>
      <c r="K6135" t="n">
        <v>0</v>
      </c>
      <c r="L6135" t="n">
        <v>0</v>
      </c>
      <c r="M6135" t="n">
        <v>0</v>
      </c>
      <c r="N6135" t="n">
        <v>0</v>
      </c>
      <c r="O6135" t="n">
        <v>0</v>
      </c>
      <c r="P6135" t="n">
        <v>0</v>
      </c>
      <c r="Q6135" t="n">
        <v>0</v>
      </c>
      <c r="R6135" s="2" t="inlineStr"/>
    </row>
    <row r="6136" ht="15" customHeight="1">
      <c r="A6136" t="inlineStr">
        <is>
          <t>A 59777-2024</t>
        </is>
      </c>
      <c r="B6136" s="1" t="n">
        <v>45638</v>
      </c>
      <c r="C6136" s="1" t="n">
        <v>45971</v>
      </c>
      <c r="D6136" t="inlineStr">
        <is>
          <t>VÄSTERBOTTENS LÄN</t>
        </is>
      </c>
      <c r="E6136" t="inlineStr">
        <is>
          <t>STORUMAN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37467-2023</t>
        </is>
      </c>
      <c r="B6137" s="1" t="n">
        <v>45156</v>
      </c>
      <c r="C6137" s="1" t="n">
        <v>45971</v>
      </c>
      <c r="D6137" t="inlineStr">
        <is>
          <t>VÄSTERBOTTENS LÄN</t>
        </is>
      </c>
      <c r="E6137" t="inlineStr">
        <is>
          <t>NORSJÖ</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11743-2023</t>
        </is>
      </c>
      <c r="B6138" s="1" t="n">
        <v>44994.59267361111</v>
      </c>
      <c r="C6138" s="1" t="n">
        <v>45971</v>
      </c>
      <c r="D6138" t="inlineStr">
        <is>
          <t>VÄSTERBOTTENS LÄN</t>
        </is>
      </c>
      <c r="E6138" t="inlineStr">
        <is>
          <t>LYCKSELE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5143-2021</t>
        </is>
      </c>
      <c r="B6139" s="1" t="n">
        <v>44228</v>
      </c>
      <c r="C6139" s="1" t="n">
        <v>45971</v>
      </c>
      <c r="D6139" t="inlineStr">
        <is>
          <t>VÄSTERBOTTENS LÄN</t>
        </is>
      </c>
      <c r="E6139" t="inlineStr">
        <is>
          <t>SKELLEFTEÅ</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11707-2023</t>
        </is>
      </c>
      <c r="B6140" s="1" t="n">
        <v>44992</v>
      </c>
      <c r="C6140" s="1" t="n">
        <v>45971</v>
      </c>
      <c r="D6140" t="inlineStr">
        <is>
          <t>VÄSTERBOTTENS LÄN</t>
        </is>
      </c>
      <c r="E6140" t="inlineStr">
        <is>
          <t>SKELLEFTEÅ</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671-2024</t>
        </is>
      </c>
      <c r="B6141" s="1" t="n">
        <v>45299</v>
      </c>
      <c r="C6141" s="1" t="n">
        <v>45971</v>
      </c>
      <c r="D6141" t="inlineStr">
        <is>
          <t>VÄSTERBOTTENS LÄN</t>
        </is>
      </c>
      <c r="E6141" t="inlineStr">
        <is>
          <t>SKELLEFTEÅ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1231-2023</t>
        </is>
      </c>
      <c r="B6142" s="1" t="n">
        <v>44935</v>
      </c>
      <c r="C6142" s="1" t="n">
        <v>45971</v>
      </c>
      <c r="D6142" t="inlineStr">
        <is>
          <t>VÄSTERBOTTENS LÄN</t>
        </is>
      </c>
      <c r="E6142" t="inlineStr">
        <is>
          <t>VINDELN</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1232-2023</t>
        </is>
      </c>
      <c r="B6143" s="1" t="n">
        <v>44935</v>
      </c>
      <c r="C6143" s="1" t="n">
        <v>45971</v>
      </c>
      <c r="D6143" t="inlineStr">
        <is>
          <t>VÄSTERBOTTENS LÄN</t>
        </is>
      </c>
      <c r="E6143" t="inlineStr">
        <is>
          <t>VINDELN</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1233-2023</t>
        </is>
      </c>
      <c r="B6144" s="1" t="n">
        <v>44935</v>
      </c>
      <c r="C6144" s="1" t="n">
        <v>45971</v>
      </c>
      <c r="D6144" t="inlineStr">
        <is>
          <t>VÄSTERBOTTENS LÄN</t>
        </is>
      </c>
      <c r="E6144" t="inlineStr">
        <is>
          <t>VINDELN</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57197-2021</t>
        </is>
      </c>
      <c r="B6145" s="1" t="n">
        <v>44482.92284722222</v>
      </c>
      <c r="C6145" s="1" t="n">
        <v>45971</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26690-2023</t>
        </is>
      </c>
      <c r="B6146" s="1" t="n">
        <v>45093</v>
      </c>
      <c r="C6146" s="1" t="n">
        <v>45971</v>
      </c>
      <c r="D6146" t="inlineStr">
        <is>
          <t>VÄSTERBOTTENS LÄN</t>
        </is>
      </c>
      <c r="E6146" t="inlineStr">
        <is>
          <t>SKELLEFTEÅ</t>
        </is>
      </c>
      <c r="F6146" t="inlineStr">
        <is>
          <t>Kyrkan</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70849-2021</t>
        </is>
      </c>
      <c r="B6147" s="1" t="n">
        <v>44532</v>
      </c>
      <c r="C6147" s="1" t="n">
        <v>45971</v>
      </c>
      <c r="D6147" t="inlineStr">
        <is>
          <t>VÄSTERBOTTENS LÄN</t>
        </is>
      </c>
      <c r="E6147" t="inlineStr">
        <is>
          <t>VILHELMINA</t>
        </is>
      </c>
      <c r="G6147" t="n">
        <v>21.4</v>
      </c>
      <c r="H6147" t="n">
        <v>0</v>
      </c>
      <c r="I6147" t="n">
        <v>0</v>
      </c>
      <c r="J6147" t="n">
        <v>0</v>
      </c>
      <c r="K6147" t="n">
        <v>0</v>
      </c>
      <c r="L6147" t="n">
        <v>0</v>
      </c>
      <c r="M6147" t="n">
        <v>0</v>
      </c>
      <c r="N6147" t="n">
        <v>0</v>
      </c>
      <c r="O6147" t="n">
        <v>0</v>
      </c>
      <c r="P6147" t="n">
        <v>0</v>
      </c>
      <c r="Q6147" t="n">
        <v>0</v>
      </c>
      <c r="R6147" s="2" t="inlineStr"/>
    </row>
    <row r="6148" ht="15" customHeight="1">
      <c r="A6148" t="inlineStr">
        <is>
          <t>A 8442-2025</t>
        </is>
      </c>
      <c r="B6148" s="1" t="n">
        <v>45709.44940972222</v>
      </c>
      <c r="C6148" s="1" t="n">
        <v>45971</v>
      </c>
      <c r="D6148" t="inlineStr">
        <is>
          <t>VÄSTERBOTTENS LÄN</t>
        </is>
      </c>
      <c r="E6148" t="inlineStr">
        <is>
          <t>SKELLEFTEÅ</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45039-2023</t>
        </is>
      </c>
      <c r="B6149" s="1" t="n">
        <v>45191.32686342593</v>
      </c>
      <c r="C6149" s="1" t="n">
        <v>45971</v>
      </c>
      <c r="D6149" t="inlineStr">
        <is>
          <t>VÄSTERBOTTENS LÄN</t>
        </is>
      </c>
      <c r="E6149" t="inlineStr">
        <is>
          <t>SKELLEFTEÅ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56167-2024</t>
        </is>
      </c>
      <c r="B6150" s="1" t="n">
        <v>45624</v>
      </c>
      <c r="C6150" s="1" t="n">
        <v>45971</v>
      </c>
      <c r="D6150" t="inlineStr">
        <is>
          <t>VÄSTERBOTTENS LÄN</t>
        </is>
      </c>
      <c r="E6150" t="inlineStr">
        <is>
          <t>DOROTEA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12971-2025</t>
        </is>
      </c>
      <c r="B6151" s="1" t="n">
        <v>45734</v>
      </c>
      <c r="C6151" s="1" t="n">
        <v>45971</v>
      </c>
      <c r="D6151" t="inlineStr">
        <is>
          <t>VÄSTERBOTTENS LÄN</t>
        </is>
      </c>
      <c r="E6151" t="inlineStr">
        <is>
          <t>UMEÅ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15358-2023</t>
        </is>
      </c>
      <c r="B6152" s="1" t="n">
        <v>45016</v>
      </c>
      <c r="C6152" s="1" t="n">
        <v>45971</v>
      </c>
      <c r="D6152" t="inlineStr">
        <is>
          <t>VÄSTERBOTTENS LÄN</t>
        </is>
      </c>
      <c r="E6152" t="inlineStr">
        <is>
          <t>UMEÅ</t>
        </is>
      </c>
      <c r="F6152" t="inlineStr">
        <is>
          <t>Kommuner</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25569-2023</t>
        </is>
      </c>
      <c r="B6153" s="1" t="n">
        <v>45089</v>
      </c>
      <c r="C6153" s="1" t="n">
        <v>45971</v>
      </c>
      <c r="D6153" t="inlineStr">
        <is>
          <t>VÄSTERBOTTENS LÄN</t>
        </is>
      </c>
      <c r="E6153" t="inlineStr">
        <is>
          <t>ROBERTSFORS</t>
        </is>
      </c>
      <c r="F6153" t="inlineStr">
        <is>
          <t>Holmen skog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42649-2024</t>
        </is>
      </c>
      <c r="B6154" s="1" t="n">
        <v>45566</v>
      </c>
      <c r="C6154" s="1" t="n">
        <v>45971</v>
      </c>
      <c r="D6154" t="inlineStr">
        <is>
          <t>VÄSTERBOTTENS LÄN</t>
        </is>
      </c>
      <c r="E6154" t="inlineStr">
        <is>
          <t>UMEÅ</t>
        </is>
      </c>
      <c r="F6154" t="inlineStr">
        <is>
          <t>Holmen skog AB</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50840-2024</t>
        </is>
      </c>
      <c r="B6155" s="1" t="n">
        <v>45602.6030787037</v>
      </c>
      <c r="C6155" s="1" t="n">
        <v>45971</v>
      </c>
      <c r="D6155" t="inlineStr">
        <is>
          <t>VÄSTERBOTTENS LÄN</t>
        </is>
      </c>
      <c r="E6155" t="inlineStr">
        <is>
          <t>VINDELN</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50862-2024</t>
        </is>
      </c>
      <c r="B6156" s="1" t="n">
        <v>45602.6346412037</v>
      </c>
      <c r="C6156" s="1" t="n">
        <v>45971</v>
      </c>
      <c r="D6156" t="inlineStr">
        <is>
          <t>VÄSTERBOTTENS LÄN</t>
        </is>
      </c>
      <c r="E6156" t="inlineStr">
        <is>
          <t>SKELLEFTEÅ</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45444-2024</t>
        </is>
      </c>
      <c r="B6157" s="1" t="n">
        <v>45576.64476851852</v>
      </c>
      <c r="C6157" s="1" t="n">
        <v>45971</v>
      </c>
      <c r="D6157" t="inlineStr">
        <is>
          <t>VÄSTERBOTTENS LÄN</t>
        </is>
      </c>
      <c r="E6157" t="inlineStr">
        <is>
          <t>LYCKSELE</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60859-2022</t>
        </is>
      </c>
      <c r="B6158" s="1" t="n">
        <v>44908</v>
      </c>
      <c r="C6158" s="1" t="n">
        <v>45971</v>
      </c>
      <c r="D6158" t="inlineStr">
        <is>
          <t>VÄSTERBOTTENS LÄN</t>
        </is>
      </c>
      <c r="E6158" t="inlineStr">
        <is>
          <t>LYCKSELE</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45475-2024</t>
        </is>
      </c>
      <c r="B6159" s="1" t="n">
        <v>45576.82554398148</v>
      </c>
      <c r="C6159" s="1" t="n">
        <v>45971</v>
      </c>
      <c r="D6159" t="inlineStr">
        <is>
          <t>VÄSTERBOTTENS LÄN</t>
        </is>
      </c>
      <c r="E6159" t="inlineStr">
        <is>
          <t>ÅSELE</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52203-2023</t>
        </is>
      </c>
      <c r="B6160" s="1" t="n">
        <v>45224.42537037037</v>
      </c>
      <c r="C6160" s="1" t="n">
        <v>45971</v>
      </c>
      <c r="D6160" t="inlineStr">
        <is>
          <t>VÄSTERBOTTENS LÄN</t>
        </is>
      </c>
      <c r="E6160" t="inlineStr">
        <is>
          <t>SKELLEFTEÅ</t>
        </is>
      </c>
      <c r="F6160" t="inlineStr">
        <is>
          <t>Sveaskog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19300-2023</t>
        </is>
      </c>
      <c r="B6161" s="1" t="n">
        <v>45049</v>
      </c>
      <c r="C6161" s="1" t="n">
        <v>45971</v>
      </c>
      <c r="D6161" t="inlineStr">
        <is>
          <t>VÄSTERBOTTENS LÄN</t>
        </is>
      </c>
      <c r="E6161" t="inlineStr">
        <is>
          <t>NORDMALING</t>
        </is>
      </c>
      <c r="F6161" t="inlineStr">
        <is>
          <t>Kyrkan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40845-2024</t>
        </is>
      </c>
      <c r="B6162" s="1" t="n">
        <v>45558</v>
      </c>
      <c r="C6162" s="1" t="n">
        <v>45971</v>
      </c>
      <c r="D6162" t="inlineStr">
        <is>
          <t>VÄSTERBOTTENS LÄN</t>
        </is>
      </c>
      <c r="E6162" t="inlineStr">
        <is>
          <t>NORDMALING</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4618-2025</t>
        </is>
      </c>
      <c r="B6163" s="1" t="n">
        <v>45687.60042824074</v>
      </c>
      <c r="C6163" s="1" t="n">
        <v>45971</v>
      </c>
      <c r="D6163" t="inlineStr">
        <is>
          <t>VÄSTERBOTTENS LÄN</t>
        </is>
      </c>
      <c r="E6163" t="inlineStr">
        <is>
          <t>ROBERTSFORS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43602-2024</t>
        </is>
      </c>
      <c r="B6164" s="1" t="n">
        <v>45569.44695601852</v>
      </c>
      <c r="C6164" s="1" t="n">
        <v>45971</v>
      </c>
      <c r="D6164" t="inlineStr">
        <is>
          <t>VÄSTERBOTTENS LÄN</t>
        </is>
      </c>
      <c r="E6164" t="inlineStr">
        <is>
          <t>NORDMALING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43611-2024</t>
        </is>
      </c>
      <c r="B6165" s="1" t="n">
        <v>45569.46443287037</v>
      </c>
      <c r="C6165" s="1" t="n">
        <v>45971</v>
      </c>
      <c r="D6165" t="inlineStr">
        <is>
          <t>VÄSTERBOTTENS LÄN</t>
        </is>
      </c>
      <c r="E6165" t="inlineStr">
        <is>
          <t>VINDELN</t>
        </is>
      </c>
      <c r="F6165" t="inlineStr">
        <is>
          <t>Holmen skog AB</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48137-2025</t>
        </is>
      </c>
      <c r="B6166" s="1" t="n">
        <v>45933.3787037037</v>
      </c>
      <c r="C6166" s="1" t="n">
        <v>45971</v>
      </c>
      <c r="D6166" t="inlineStr">
        <is>
          <t>VÄSTERBOTTENS LÄN</t>
        </is>
      </c>
      <c r="E6166" t="inlineStr">
        <is>
          <t>LYCKSELE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37256-2023</t>
        </is>
      </c>
      <c r="B6167" s="1" t="n">
        <v>45155</v>
      </c>
      <c r="C6167" s="1" t="n">
        <v>45971</v>
      </c>
      <c r="D6167" t="inlineStr">
        <is>
          <t>VÄSTERBOTTENS LÄN</t>
        </is>
      </c>
      <c r="E6167" t="inlineStr">
        <is>
          <t>SORSELE</t>
        </is>
      </c>
      <c r="F6167" t="inlineStr">
        <is>
          <t>SCA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5908-2024</t>
        </is>
      </c>
      <c r="B6168" s="1" t="n">
        <v>45335</v>
      </c>
      <c r="C6168" s="1" t="n">
        <v>45971</v>
      </c>
      <c r="D6168" t="inlineStr">
        <is>
          <t>VÄSTERBOTTENS LÄN</t>
        </is>
      </c>
      <c r="E6168" t="inlineStr">
        <is>
          <t>STORUMAN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34736-2024</t>
        </is>
      </c>
      <c r="B6169" s="1" t="n">
        <v>45526</v>
      </c>
      <c r="C6169" s="1" t="n">
        <v>45971</v>
      </c>
      <c r="D6169" t="inlineStr">
        <is>
          <t>VÄSTERBOTTENS LÄN</t>
        </is>
      </c>
      <c r="E6169" t="inlineStr">
        <is>
          <t>VINDELN</t>
        </is>
      </c>
      <c r="F6169" t="inlineStr">
        <is>
          <t>Sveaskog</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61151-2024</t>
        </is>
      </c>
      <c r="B6170" s="1" t="n">
        <v>45645.58835648148</v>
      </c>
      <c r="C6170" s="1" t="n">
        <v>45971</v>
      </c>
      <c r="D6170" t="inlineStr">
        <is>
          <t>VÄSTERBOTTENS LÄN</t>
        </is>
      </c>
      <c r="E6170" t="inlineStr">
        <is>
          <t>BJURHOLM</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15678-2025</t>
        </is>
      </c>
      <c r="B6171" s="1" t="n">
        <v>45748.45042824074</v>
      </c>
      <c r="C6171" s="1" t="n">
        <v>45971</v>
      </c>
      <c r="D6171" t="inlineStr">
        <is>
          <t>VÄSTERBOTTENS LÄN</t>
        </is>
      </c>
      <c r="E6171" t="inlineStr">
        <is>
          <t>VÄNNÄS</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17702-2025</t>
        </is>
      </c>
      <c r="B6172" s="1" t="n">
        <v>45758.42686342593</v>
      </c>
      <c r="C6172" s="1" t="n">
        <v>45971</v>
      </c>
      <c r="D6172" t="inlineStr">
        <is>
          <t>VÄSTERBOTTENS LÄN</t>
        </is>
      </c>
      <c r="E6172" t="inlineStr">
        <is>
          <t>VINDELN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24010-2022</t>
        </is>
      </c>
      <c r="B6173" s="1" t="n">
        <v>44722.94122685185</v>
      </c>
      <c r="C6173" s="1" t="n">
        <v>45971</v>
      </c>
      <c r="D6173" t="inlineStr">
        <is>
          <t>VÄSTERBOTTENS LÄN</t>
        </is>
      </c>
      <c r="E6173" t="inlineStr">
        <is>
          <t>NORDMALING</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53874-2024</t>
        </is>
      </c>
      <c r="B6174" s="1" t="n">
        <v>45615.65667824074</v>
      </c>
      <c r="C6174" s="1" t="n">
        <v>45971</v>
      </c>
      <c r="D6174" t="inlineStr">
        <is>
          <t>VÄSTERBOTTENS LÄN</t>
        </is>
      </c>
      <c r="E6174" t="inlineStr">
        <is>
          <t>LYCKSELE</t>
        </is>
      </c>
      <c r="F6174" t="inlineStr">
        <is>
          <t>SCA</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53900-2024</t>
        </is>
      </c>
      <c r="B6175" s="1" t="n">
        <v>45615</v>
      </c>
      <c r="C6175" s="1" t="n">
        <v>45971</v>
      </c>
      <c r="D6175" t="inlineStr">
        <is>
          <t>VÄSTERBOTTENS LÄN</t>
        </is>
      </c>
      <c r="E6175" t="inlineStr">
        <is>
          <t>BJURHOLM</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47544-2024</t>
        </is>
      </c>
      <c r="B6176" s="1" t="n">
        <v>45587</v>
      </c>
      <c r="C6176" s="1" t="n">
        <v>45971</v>
      </c>
      <c r="D6176" t="inlineStr">
        <is>
          <t>VÄSTERBOTTENS LÄN</t>
        </is>
      </c>
      <c r="E6176" t="inlineStr">
        <is>
          <t>SKELLEFTEÅ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14623-2025</t>
        </is>
      </c>
      <c r="B6177" s="1" t="n">
        <v>45742.41636574074</v>
      </c>
      <c r="C6177" s="1" t="n">
        <v>45971</v>
      </c>
      <c r="D6177" t="inlineStr">
        <is>
          <t>VÄSTERBOTTENS LÄN</t>
        </is>
      </c>
      <c r="E6177" t="inlineStr">
        <is>
          <t>LYCKSELE</t>
        </is>
      </c>
      <c r="F6177" t="inlineStr">
        <is>
          <t>Naturvårdsverket</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48229-2024</t>
        </is>
      </c>
      <c r="B6178" s="1" t="n">
        <v>45590.37554398148</v>
      </c>
      <c r="C6178" s="1" t="n">
        <v>45971</v>
      </c>
      <c r="D6178" t="inlineStr">
        <is>
          <t>VÄSTERBOTTENS LÄN</t>
        </is>
      </c>
      <c r="E6178" t="inlineStr">
        <is>
          <t>VILHELMINA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48250-2024</t>
        </is>
      </c>
      <c r="B6179" s="1" t="n">
        <v>45590</v>
      </c>
      <c r="C6179" s="1" t="n">
        <v>45971</v>
      </c>
      <c r="D6179" t="inlineStr">
        <is>
          <t>VÄSTERBOTTENS LÄN</t>
        </is>
      </c>
      <c r="E6179" t="inlineStr">
        <is>
          <t>ÅSELE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26545-2022</t>
        </is>
      </c>
      <c r="B6180" s="1" t="n">
        <v>44739.46318287037</v>
      </c>
      <c r="C6180" s="1" t="n">
        <v>45971</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48165-2025</t>
        </is>
      </c>
      <c r="B6181" s="1" t="n">
        <v>45933.42789351852</v>
      </c>
      <c r="C6181" s="1" t="n">
        <v>45971</v>
      </c>
      <c r="D6181" t="inlineStr">
        <is>
          <t>VÄSTERBOTTENS LÄN</t>
        </is>
      </c>
      <c r="E6181" t="inlineStr">
        <is>
          <t>LYCKSELE</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56315-2023</t>
        </is>
      </c>
      <c r="B6182" s="1" t="n">
        <v>45236</v>
      </c>
      <c r="C6182" s="1" t="n">
        <v>45971</v>
      </c>
      <c r="D6182" t="inlineStr">
        <is>
          <t>VÄSTERBOTTENS LÄN</t>
        </is>
      </c>
      <c r="E6182" t="inlineStr">
        <is>
          <t>BJURHOLM</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63188-2023</t>
        </is>
      </c>
      <c r="B6183" s="1" t="n">
        <v>45272</v>
      </c>
      <c r="C6183" s="1" t="n">
        <v>45971</v>
      </c>
      <c r="D6183" t="inlineStr">
        <is>
          <t>VÄSTERBOTTENS LÄN</t>
        </is>
      </c>
      <c r="E6183" t="inlineStr">
        <is>
          <t>UMEÅ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36513-2024</t>
        </is>
      </c>
      <c r="B6184" s="1" t="n">
        <v>45537.42751157407</v>
      </c>
      <c r="C6184" s="1" t="n">
        <v>45971</v>
      </c>
      <c r="D6184" t="inlineStr">
        <is>
          <t>VÄSTERBOTTENS LÄN</t>
        </is>
      </c>
      <c r="E6184" t="inlineStr">
        <is>
          <t>SKELLEFTEÅ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12757-2022</t>
        </is>
      </c>
      <c r="B6185" s="1" t="n">
        <v>44641</v>
      </c>
      <c r="C6185" s="1" t="n">
        <v>45971</v>
      </c>
      <c r="D6185" t="inlineStr">
        <is>
          <t>VÄSTERBOTTENS LÄN</t>
        </is>
      </c>
      <c r="E6185" t="inlineStr">
        <is>
          <t>VINDELN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12760-2022</t>
        </is>
      </c>
      <c r="B6186" s="1" t="n">
        <v>44641</v>
      </c>
      <c r="C6186" s="1" t="n">
        <v>45971</v>
      </c>
      <c r="D6186" t="inlineStr">
        <is>
          <t>VÄSTERBOTTENS LÄN</t>
        </is>
      </c>
      <c r="E6186" t="inlineStr">
        <is>
          <t>LYCKSELE</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1955-2025</t>
        </is>
      </c>
      <c r="B6187" s="1" t="n">
        <v>45671</v>
      </c>
      <c r="C6187" s="1" t="n">
        <v>45971</v>
      </c>
      <c r="D6187" t="inlineStr">
        <is>
          <t>VÄSTERBOTTENS LÄN</t>
        </is>
      </c>
      <c r="E6187" t="inlineStr">
        <is>
          <t>SKELLEFTEÅ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2008-2025</t>
        </is>
      </c>
      <c r="B6188" s="1" t="n">
        <v>45672.45302083333</v>
      </c>
      <c r="C6188" s="1" t="n">
        <v>45971</v>
      </c>
      <c r="D6188" t="inlineStr">
        <is>
          <t>VÄSTERBOTTENS LÄN</t>
        </is>
      </c>
      <c r="E6188" t="inlineStr">
        <is>
          <t>VILHELMINA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53432-2024</t>
        </is>
      </c>
      <c r="B6189" s="1" t="n">
        <v>45614.52643518519</v>
      </c>
      <c r="C6189" s="1" t="n">
        <v>45971</v>
      </c>
      <c r="D6189" t="inlineStr">
        <is>
          <t>VÄSTERBOTTENS LÄN</t>
        </is>
      </c>
      <c r="E6189" t="inlineStr">
        <is>
          <t>ROBERTSFORS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19020-2025</t>
        </is>
      </c>
      <c r="B6190" s="1" t="n">
        <v>45764.61490740741</v>
      </c>
      <c r="C6190" s="1" t="n">
        <v>45971</v>
      </c>
      <c r="D6190" t="inlineStr">
        <is>
          <t>VÄSTERBOTTENS LÄN</t>
        </is>
      </c>
      <c r="E6190" t="inlineStr">
        <is>
          <t>DOROTEA</t>
        </is>
      </c>
      <c r="F6190" t="inlineStr">
        <is>
          <t>SCA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13641-2023</t>
        </is>
      </c>
      <c r="B6191" s="1" t="n">
        <v>45006</v>
      </c>
      <c r="C6191" s="1" t="n">
        <v>45971</v>
      </c>
      <c r="D6191" t="inlineStr">
        <is>
          <t>VÄSTERBOTTENS LÄN</t>
        </is>
      </c>
      <c r="E6191" t="inlineStr">
        <is>
          <t>SKELLEFTEÅ</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71850-2021</t>
        </is>
      </c>
      <c r="B6192" s="1" t="n">
        <v>44543.64056712963</v>
      </c>
      <c r="C6192" s="1" t="n">
        <v>45971</v>
      </c>
      <c r="D6192" t="inlineStr">
        <is>
          <t>VÄSTERBOTTENS LÄN</t>
        </is>
      </c>
      <c r="E6192" t="inlineStr">
        <is>
          <t>STORUMAN</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38350-2024</t>
        </is>
      </c>
      <c r="B6193" s="1" t="n">
        <v>45545</v>
      </c>
      <c r="C6193" s="1" t="n">
        <v>45971</v>
      </c>
      <c r="D6193" t="inlineStr">
        <is>
          <t>VÄSTERBOTTENS LÄN</t>
        </is>
      </c>
      <c r="E6193" t="inlineStr">
        <is>
          <t>ÅSELE</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50046-2024</t>
        </is>
      </c>
      <c r="B6194" s="1" t="n">
        <v>45600.31105324074</v>
      </c>
      <c r="C6194" s="1" t="n">
        <v>45971</v>
      </c>
      <c r="D6194" t="inlineStr">
        <is>
          <t>VÄSTERBOTTENS LÄN</t>
        </is>
      </c>
      <c r="E6194" t="inlineStr">
        <is>
          <t>ROBERTSFORS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3844-2025</t>
        </is>
      </c>
      <c r="B6195" s="1" t="n">
        <v>45683.67905092592</v>
      </c>
      <c r="C6195" s="1" t="n">
        <v>45971</v>
      </c>
      <c r="D6195" t="inlineStr">
        <is>
          <t>VÄSTERBOTTENS LÄN</t>
        </is>
      </c>
      <c r="E6195" t="inlineStr">
        <is>
          <t>SKELLEFTEÅ</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13566-2023</t>
        </is>
      </c>
      <c r="B6196" s="1" t="n">
        <v>45006.49</v>
      </c>
      <c r="C6196" s="1" t="n">
        <v>45971</v>
      </c>
      <c r="D6196" t="inlineStr">
        <is>
          <t>VÄSTERBOTTENS LÄN</t>
        </is>
      </c>
      <c r="E6196" t="inlineStr">
        <is>
          <t>LYCKSELE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4510-2025</t>
        </is>
      </c>
      <c r="B6197" s="1" t="n">
        <v>45686</v>
      </c>
      <c r="C6197" s="1" t="n">
        <v>45971</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16289-2025</t>
        </is>
      </c>
      <c r="B6198" s="1" t="n">
        <v>45751.32021990741</v>
      </c>
      <c r="C6198" s="1" t="n">
        <v>45971</v>
      </c>
      <c r="D6198" t="inlineStr">
        <is>
          <t>VÄSTERBOTTENS LÄN</t>
        </is>
      </c>
      <c r="E6198" t="inlineStr">
        <is>
          <t>LYCKSELE</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8964-2025</t>
        </is>
      </c>
      <c r="B6199" s="1" t="n">
        <v>45713</v>
      </c>
      <c r="C6199" s="1" t="n">
        <v>45971</v>
      </c>
      <c r="D6199" t="inlineStr">
        <is>
          <t>VÄSTERBOTTENS LÄN</t>
        </is>
      </c>
      <c r="E6199" t="inlineStr">
        <is>
          <t>ÅSELE</t>
        </is>
      </c>
      <c r="F6199" t="inlineStr">
        <is>
          <t>SCA</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6535-2025</t>
        </is>
      </c>
      <c r="B6200" s="1" t="n">
        <v>45699.67743055556</v>
      </c>
      <c r="C6200" s="1" t="n">
        <v>45971</v>
      </c>
      <c r="D6200" t="inlineStr">
        <is>
          <t>VÄSTERBOTTENS LÄN</t>
        </is>
      </c>
      <c r="E6200" t="inlineStr">
        <is>
          <t>ROBERTSFORS</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8980-2025</t>
        </is>
      </c>
      <c r="B6201" s="1" t="n">
        <v>45713.53248842592</v>
      </c>
      <c r="C6201" s="1" t="n">
        <v>45971</v>
      </c>
      <c r="D6201" t="inlineStr">
        <is>
          <t>VÄSTERBOTTENS LÄN</t>
        </is>
      </c>
      <c r="E6201" t="inlineStr">
        <is>
          <t>SORSELE</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8989-2025</t>
        </is>
      </c>
      <c r="B6202" s="1" t="n">
        <v>45713.5396412037</v>
      </c>
      <c r="C6202" s="1" t="n">
        <v>45971</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35803-2023</t>
        </is>
      </c>
      <c r="B6203" s="1" t="n">
        <v>45147</v>
      </c>
      <c r="C6203" s="1" t="n">
        <v>45971</v>
      </c>
      <c r="D6203" t="inlineStr">
        <is>
          <t>VÄSTERBOTTENS LÄN</t>
        </is>
      </c>
      <c r="E6203" t="inlineStr">
        <is>
          <t>NORDMALING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35829-2023</t>
        </is>
      </c>
      <c r="B6204" s="1" t="n">
        <v>45148.47032407407</v>
      </c>
      <c r="C6204" s="1" t="n">
        <v>45971</v>
      </c>
      <c r="D6204" t="inlineStr">
        <is>
          <t>VÄSTERBOTTENS LÄN</t>
        </is>
      </c>
      <c r="E6204" t="inlineStr">
        <is>
          <t>BJURHOLM</t>
        </is>
      </c>
      <c r="F6204" t="inlineStr">
        <is>
          <t>Holmen skog AB</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35835-2023</t>
        </is>
      </c>
      <c r="B6205" s="1" t="n">
        <v>45148</v>
      </c>
      <c r="C6205" s="1" t="n">
        <v>45971</v>
      </c>
      <c r="D6205" t="inlineStr">
        <is>
          <t>VÄSTERBOTTENS LÄN</t>
        </is>
      </c>
      <c r="E6205" t="inlineStr">
        <is>
          <t>BJURHOLM</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13820-2025</t>
        </is>
      </c>
      <c r="B6206" s="1" t="n">
        <v>45737.5315625</v>
      </c>
      <c r="C6206" s="1" t="n">
        <v>45971</v>
      </c>
      <c r="D6206" t="inlineStr">
        <is>
          <t>VÄSTERBOTTENS LÄN</t>
        </is>
      </c>
      <c r="E6206" t="inlineStr">
        <is>
          <t>UMEÅ</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26999-2022</t>
        </is>
      </c>
      <c r="B6207" s="1" t="n">
        <v>44740</v>
      </c>
      <c r="C6207" s="1" t="n">
        <v>45971</v>
      </c>
      <c r="D6207" t="inlineStr">
        <is>
          <t>VÄSTERBOTTENS LÄN</t>
        </is>
      </c>
      <c r="E6207" t="inlineStr">
        <is>
          <t>SKELLEFTEÅ</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37499-2024</t>
        </is>
      </c>
      <c r="B6208" s="1" t="n">
        <v>45541.36834490741</v>
      </c>
      <c r="C6208" s="1" t="n">
        <v>45971</v>
      </c>
      <c r="D6208" t="inlineStr">
        <is>
          <t>VÄSTERBOTTENS LÄN</t>
        </is>
      </c>
      <c r="E6208" t="inlineStr">
        <is>
          <t>SKELLEFTEÅ</t>
        </is>
      </c>
      <c r="F6208" t="inlineStr">
        <is>
          <t>Holmen skog AB</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19779-2025</t>
        </is>
      </c>
      <c r="B6209" s="1" t="n">
        <v>45771.42736111111</v>
      </c>
      <c r="C6209" s="1" t="n">
        <v>45971</v>
      </c>
      <c r="D6209" t="inlineStr">
        <is>
          <t>VÄSTERBOTTENS LÄN</t>
        </is>
      </c>
      <c r="E6209" t="inlineStr">
        <is>
          <t>SKELLEFTEÅ</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15294-2023</t>
        </is>
      </c>
      <c r="B6210" s="1" t="n">
        <v>45019</v>
      </c>
      <c r="C6210" s="1" t="n">
        <v>45971</v>
      </c>
      <c r="D6210" t="inlineStr">
        <is>
          <t>VÄSTERBOTTENS LÄN</t>
        </is>
      </c>
      <c r="E6210" t="inlineStr">
        <is>
          <t>ROBERTSFORS</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13195-2025</t>
        </is>
      </c>
      <c r="B6211" s="1" t="n">
        <v>45735</v>
      </c>
      <c r="C6211" s="1" t="n">
        <v>45971</v>
      </c>
      <c r="D6211" t="inlineStr">
        <is>
          <t>VÄSTERBOTTENS LÄN</t>
        </is>
      </c>
      <c r="E6211" t="inlineStr">
        <is>
          <t>UMEÅ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59394-2023</t>
        </is>
      </c>
      <c r="B6212" s="1" t="n">
        <v>45253</v>
      </c>
      <c r="C6212" s="1" t="n">
        <v>45971</v>
      </c>
      <c r="D6212" t="inlineStr">
        <is>
          <t>VÄSTERBOTTENS LÄN</t>
        </is>
      </c>
      <c r="E6212" t="inlineStr">
        <is>
          <t>DOROTEA</t>
        </is>
      </c>
      <c r="G6212" t="n">
        <v>28.8</v>
      </c>
      <c r="H6212" t="n">
        <v>0</v>
      </c>
      <c r="I6212" t="n">
        <v>0</v>
      </c>
      <c r="J6212" t="n">
        <v>0</v>
      </c>
      <c r="K6212" t="n">
        <v>0</v>
      </c>
      <c r="L6212" t="n">
        <v>0</v>
      </c>
      <c r="M6212" t="n">
        <v>0</v>
      </c>
      <c r="N6212" t="n">
        <v>0</v>
      </c>
      <c r="O6212" t="n">
        <v>0</v>
      </c>
      <c r="P6212" t="n">
        <v>0</v>
      </c>
      <c r="Q6212" t="n">
        <v>0</v>
      </c>
      <c r="R6212" s="2" t="inlineStr"/>
    </row>
    <row r="6213" ht="15" customHeight="1">
      <c r="A6213" t="inlineStr">
        <is>
          <t>A 59404-2023</t>
        </is>
      </c>
      <c r="B6213" s="1" t="n">
        <v>45253.9267824074</v>
      </c>
      <c r="C6213" s="1" t="n">
        <v>45971</v>
      </c>
      <c r="D6213" t="inlineStr">
        <is>
          <t>VÄSTERBOTTENS LÄN</t>
        </is>
      </c>
      <c r="E6213" t="inlineStr">
        <is>
          <t>SKELLEFTEÅ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59405-2023</t>
        </is>
      </c>
      <c r="B6214" s="1" t="n">
        <v>45253.9268287037</v>
      </c>
      <c r="C6214" s="1" t="n">
        <v>45971</v>
      </c>
      <c r="D6214" t="inlineStr">
        <is>
          <t>VÄSTERBOTTENS LÄN</t>
        </is>
      </c>
      <c r="E6214" t="inlineStr">
        <is>
          <t>SKELLEFTEÅ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19029-2025</t>
        </is>
      </c>
      <c r="B6215" s="1" t="n">
        <v>45764.6515162037</v>
      </c>
      <c r="C6215" s="1" t="n">
        <v>45971</v>
      </c>
      <c r="D6215" t="inlineStr">
        <is>
          <t>VÄSTERBOTTENS LÄN</t>
        </is>
      </c>
      <c r="E6215" t="inlineStr">
        <is>
          <t>NORDMALING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19107-2025</t>
        </is>
      </c>
      <c r="B6216" s="1" t="n">
        <v>45768.37873842593</v>
      </c>
      <c r="C6216" s="1" t="n">
        <v>45971</v>
      </c>
      <c r="D6216" t="inlineStr">
        <is>
          <t>VÄSTERBOTTENS LÄN</t>
        </is>
      </c>
      <c r="E6216" t="inlineStr">
        <is>
          <t>SKELLEFTEÅ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37678-2023</t>
        </is>
      </c>
      <c r="B6217" s="1" t="n">
        <v>45156</v>
      </c>
      <c r="C6217" s="1" t="n">
        <v>45971</v>
      </c>
      <c r="D6217" t="inlineStr">
        <is>
          <t>VÄSTERBOTTENS LÄN</t>
        </is>
      </c>
      <c r="E6217" t="inlineStr">
        <is>
          <t>MALÅ</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18889-2025</t>
        </is>
      </c>
      <c r="B6218" s="1" t="n">
        <v>45764.44584490741</v>
      </c>
      <c r="C6218" s="1" t="n">
        <v>45971</v>
      </c>
      <c r="D6218" t="inlineStr">
        <is>
          <t>VÄSTERBOTTENS LÄN</t>
        </is>
      </c>
      <c r="E6218" t="inlineStr">
        <is>
          <t>UMEÅ</t>
        </is>
      </c>
      <c r="F6218" t="inlineStr">
        <is>
          <t>Holmen skog AB</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13005-2023</t>
        </is>
      </c>
      <c r="B6219" s="1" t="n">
        <v>45002</v>
      </c>
      <c r="C6219" s="1" t="n">
        <v>45971</v>
      </c>
      <c r="D6219" t="inlineStr">
        <is>
          <t>VÄSTERBOTTENS LÄN</t>
        </is>
      </c>
      <c r="E6219" t="inlineStr">
        <is>
          <t>MALÅ</t>
        </is>
      </c>
      <c r="F6219" t="inlineStr">
        <is>
          <t>SCA</t>
        </is>
      </c>
      <c r="G6219" t="n">
        <v>18.6</v>
      </c>
      <c r="H6219" t="n">
        <v>0</v>
      </c>
      <c r="I6219" t="n">
        <v>0</v>
      </c>
      <c r="J6219" t="n">
        <v>0</v>
      </c>
      <c r="K6219" t="n">
        <v>0</v>
      </c>
      <c r="L6219" t="n">
        <v>0</v>
      </c>
      <c r="M6219" t="n">
        <v>0</v>
      </c>
      <c r="N6219" t="n">
        <v>0</v>
      </c>
      <c r="O6219" t="n">
        <v>0</v>
      </c>
      <c r="P6219" t="n">
        <v>0</v>
      </c>
      <c r="Q6219" t="n">
        <v>0</v>
      </c>
      <c r="R6219" s="2" t="inlineStr"/>
    </row>
    <row r="6220" ht="15" customHeight="1">
      <c r="A6220" t="inlineStr">
        <is>
          <t>A 45618-2021</t>
        </is>
      </c>
      <c r="B6220" s="1" t="n">
        <v>44440.9255324074</v>
      </c>
      <c r="C6220" s="1" t="n">
        <v>45971</v>
      </c>
      <c r="D6220" t="inlineStr">
        <is>
          <t>VÄSTERBOTTENS LÄN</t>
        </is>
      </c>
      <c r="E6220" t="inlineStr">
        <is>
          <t>NORSJÖ</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52834-2024</t>
        </is>
      </c>
      <c r="B6221" s="1" t="n">
        <v>45610.59465277778</v>
      </c>
      <c r="C6221" s="1" t="n">
        <v>45971</v>
      </c>
      <c r="D6221" t="inlineStr">
        <is>
          <t>VÄSTERBOTTENS LÄN</t>
        </is>
      </c>
      <c r="E6221" t="inlineStr">
        <is>
          <t>ROBERTSFORS</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27941-2024</t>
        </is>
      </c>
      <c r="B6222" s="1" t="n">
        <v>45475</v>
      </c>
      <c r="C6222" s="1" t="n">
        <v>45971</v>
      </c>
      <c r="D6222" t="inlineStr">
        <is>
          <t>VÄSTERBOTTENS LÄN</t>
        </is>
      </c>
      <c r="E6222" t="inlineStr">
        <is>
          <t>UMEÅ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20245-2025</t>
        </is>
      </c>
      <c r="B6223" s="1" t="n">
        <v>45772</v>
      </c>
      <c r="C6223" s="1" t="n">
        <v>45971</v>
      </c>
      <c r="D6223" t="inlineStr">
        <is>
          <t>VÄSTERBOTTENS LÄN</t>
        </is>
      </c>
      <c r="E6223" t="inlineStr">
        <is>
          <t>SKELLEFTEÅ</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43701-2024</t>
        </is>
      </c>
      <c r="B6224" s="1" t="n">
        <v>45569</v>
      </c>
      <c r="C6224" s="1" t="n">
        <v>45971</v>
      </c>
      <c r="D6224" t="inlineStr">
        <is>
          <t>VÄSTERBOTTENS LÄN</t>
        </is>
      </c>
      <c r="E6224" t="inlineStr">
        <is>
          <t>SKELLEFTEÅ</t>
        </is>
      </c>
      <c r="F6224" t="inlineStr">
        <is>
          <t>Kommuner</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8247-2024</t>
        </is>
      </c>
      <c r="B6225" s="1" t="n">
        <v>45351.9859375</v>
      </c>
      <c r="C6225" s="1" t="n">
        <v>45971</v>
      </c>
      <c r="D6225" t="inlineStr">
        <is>
          <t>VÄSTERBOTTENS LÄN</t>
        </is>
      </c>
      <c r="E6225" t="inlineStr">
        <is>
          <t>DOROTEA</t>
        </is>
      </c>
      <c r="F6225" t="inlineStr">
        <is>
          <t>SCA</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18398-2025</t>
        </is>
      </c>
      <c r="B6226" s="1" t="n">
        <v>45762.59491898148</v>
      </c>
      <c r="C6226" s="1" t="n">
        <v>45971</v>
      </c>
      <c r="D6226" t="inlineStr">
        <is>
          <t>VÄSTERBOTTENS LÄN</t>
        </is>
      </c>
      <c r="E6226" t="inlineStr">
        <is>
          <t>VILHELMINA</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38671-2023</t>
        </is>
      </c>
      <c r="B6227" s="1" t="n">
        <v>45162</v>
      </c>
      <c r="C6227" s="1" t="n">
        <v>45971</v>
      </c>
      <c r="D6227" t="inlineStr">
        <is>
          <t>VÄSTERBOTTENS LÄN</t>
        </is>
      </c>
      <c r="E6227" t="inlineStr">
        <is>
          <t>NORSJÖ</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38674-2023</t>
        </is>
      </c>
      <c r="B6228" s="1" t="n">
        <v>45162.94335648148</v>
      </c>
      <c r="C6228" s="1" t="n">
        <v>45971</v>
      </c>
      <c r="D6228" t="inlineStr">
        <is>
          <t>VÄSTERBOTTENS LÄN</t>
        </is>
      </c>
      <c r="E6228" t="inlineStr">
        <is>
          <t>VILHELMINA</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38112-2024</t>
        </is>
      </c>
      <c r="B6229" s="1" t="n">
        <v>45545.38578703703</v>
      </c>
      <c r="C6229" s="1" t="n">
        <v>45971</v>
      </c>
      <c r="D6229" t="inlineStr">
        <is>
          <t>VÄSTERBOTTENS LÄN</t>
        </is>
      </c>
      <c r="E6229" t="inlineStr">
        <is>
          <t>LYCKSELE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48530-2025</t>
        </is>
      </c>
      <c r="B6230" s="1" t="n">
        <v>45936.40789351852</v>
      </c>
      <c r="C6230" s="1" t="n">
        <v>45971</v>
      </c>
      <c r="D6230" t="inlineStr">
        <is>
          <t>VÄSTERBOTTENS LÄN</t>
        </is>
      </c>
      <c r="E6230" t="inlineStr">
        <is>
          <t>DOROTEA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38120-2024</t>
        </is>
      </c>
      <c r="B6231" s="1" t="n">
        <v>45545.40222222222</v>
      </c>
      <c r="C6231" s="1" t="n">
        <v>45971</v>
      </c>
      <c r="D6231" t="inlineStr">
        <is>
          <t>VÄSTERBOTTENS LÄN</t>
        </is>
      </c>
      <c r="E6231" t="inlineStr">
        <is>
          <t>ROBERTSFORS</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12510-2021</t>
        </is>
      </c>
      <c r="B6232" s="1" t="n">
        <v>44268</v>
      </c>
      <c r="C6232" s="1" t="n">
        <v>45971</v>
      </c>
      <c r="D6232" t="inlineStr">
        <is>
          <t>VÄSTERBOTTENS LÄN</t>
        </is>
      </c>
      <c r="E6232" t="inlineStr">
        <is>
          <t>STORUMAN</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41567-2023</t>
        </is>
      </c>
      <c r="B6233" s="1" t="n">
        <v>45175</v>
      </c>
      <c r="C6233" s="1" t="n">
        <v>45971</v>
      </c>
      <c r="D6233" t="inlineStr">
        <is>
          <t>VÄSTERBOTTENS LÄN</t>
        </is>
      </c>
      <c r="E6233" t="inlineStr">
        <is>
          <t>MALÅ</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41646-2023</t>
        </is>
      </c>
      <c r="B6234" s="1" t="n">
        <v>45175.92457175926</v>
      </c>
      <c r="C6234" s="1" t="n">
        <v>45971</v>
      </c>
      <c r="D6234" t="inlineStr">
        <is>
          <t>VÄSTERBOTTENS LÄN</t>
        </is>
      </c>
      <c r="E6234" t="inlineStr">
        <is>
          <t>NORSJÖ</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4059-2025</t>
        </is>
      </c>
      <c r="B6235" s="1" t="n">
        <v>45684.62690972222</v>
      </c>
      <c r="C6235" s="1" t="n">
        <v>45971</v>
      </c>
      <c r="D6235" t="inlineStr">
        <is>
          <t>VÄSTERBOTTENS LÄN</t>
        </is>
      </c>
      <c r="E6235" t="inlineStr">
        <is>
          <t>VINDELN</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13821-2025</t>
        </is>
      </c>
      <c r="B6236" s="1" t="n">
        <v>45737.53157407408</v>
      </c>
      <c r="C6236" s="1" t="n">
        <v>45971</v>
      </c>
      <c r="D6236" t="inlineStr">
        <is>
          <t>VÄSTERBOTTENS LÄN</t>
        </is>
      </c>
      <c r="E6236" t="inlineStr">
        <is>
          <t>UMEÅ</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13828-2025</t>
        </is>
      </c>
      <c r="B6237" s="1" t="n">
        <v>45737.54446759259</v>
      </c>
      <c r="C6237" s="1" t="n">
        <v>45971</v>
      </c>
      <c r="D6237" t="inlineStr">
        <is>
          <t>VÄSTERBOTTENS LÄN</t>
        </is>
      </c>
      <c r="E6237" t="inlineStr">
        <is>
          <t>BJURHOLM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43992-2023</t>
        </is>
      </c>
      <c r="B6238" s="1" t="n">
        <v>45187</v>
      </c>
      <c r="C6238" s="1" t="n">
        <v>45971</v>
      </c>
      <c r="D6238" t="inlineStr">
        <is>
          <t>VÄSTERBOTTENS LÄN</t>
        </is>
      </c>
      <c r="E6238" t="inlineStr">
        <is>
          <t>BJURHOLM</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15593-2023</t>
        </is>
      </c>
      <c r="B6239" s="1" t="n">
        <v>45019</v>
      </c>
      <c r="C6239" s="1" t="n">
        <v>45971</v>
      </c>
      <c r="D6239" t="inlineStr">
        <is>
          <t>VÄSTERBOTTENS LÄN</t>
        </is>
      </c>
      <c r="E6239" t="inlineStr">
        <is>
          <t>SKELLEFTEÅ</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16368-2023</t>
        </is>
      </c>
      <c r="B6240" s="1" t="n">
        <v>45028.94060185185</v>
      </c>
      <c r="C6240" s="1" t="n">
        <v>45971</v>
      </c>
      <c r="D6240" t="inlineStr">
        <is>
          <t>VÄSTERBOTTENS LÄN</t>
        </is>
      </c>
      <c r="E6240" t="inlineStr">
        <is>
          <t>BJURHOLM</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39867-2025</t>
        </is>
      </c>
      <c r="B6241" s="1" t="n">
        <v>45891.60611111111</v>
      </c>
      <c r="C6241" s="1" t="n">
        <v>45971</v>
      </c>
      <c r="D6241" t="inlineStr">
        <is>
          <t>VÄSTERBOTTENS LÄN</t>
        </is>
      </c>
      <c r="E6241" t="inlineStr">
        <is>
          <t>VINDELN</t>
        </is>
      </c>
      <c r="F6241" t="inlineStr">
        <is>
          <t>Naturvårdsverket</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19606-2025</t>
        </is>
      </c>
      <c r="B6242" s="1" t="n">
        <v>45770.59820601852</v>
      </c>
      <c r="C6242" s="1" t="n">
        <v>45971</v>
      </c>
      <c r="D6242" t="inlineStr">
        <is>
          <t>VÄSTERBOTTENS LÄN</t>
        </is>
      </c>
      <c r="E6242" t="inlineStr">
        <is>
          <t>LYCKSELE</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6993-2024</t>
        </is>
      </c>
      <c r="B6243" s="1" t="n">
        <v>45343</v>
      </c>
      <c r="C6243" s="1" t="n">
        <v>45971</v>
      </c>
      <c r="D6243" t="inlineStr">
        <is>
          <t>VÄSTERBOTTENS LÄN</t>
        </is>
      </c>
      <c r="E6243" t="inlineStr">
        <is>
          <t>NORDMALING</t>
        </is>
      </c>
      <c r="F6243" t="inlineStr">
        <is>
          <t>Kommuner</t>
        </is>
      </c>
      <c r="G6243" t="n">
        <v>23.2</v>
      </c>
      <c r="H6243" t="n">
        <v>0</v>
      </c>
      <c r="I6243" t="n">
        <v>0</v>
      </c>
      <c r="J6243" t="n">
        <v>0</v>
      </c>
      <c r="K6243" t="n">
        <v>0</v>
      </c>
      <c r="L6243" t="n">
        <v>0</v>
      </c>
      <c r="M6243" t="n">
        <v>0</v>
      </c>
      <c r="N6243" t="n">
        <v>0</v>
      </c>
      <c r="O6243" t="n">
        <v>0</v>
      </c>
      <c r="P6243" t="n">
        <v>0</v>
      </c>
      <c r="Q6243" t="n">
        <v>0</v>
      </c>
      <c r="R6243" s="2" t="inlineStr"/>
    </row>
    <row r="6244" ht="15" customHeight="1">
      <c r="A6244" t="inlineStr">
        <is>
          <t>A 48226-2025</t>
        </is>
      </c>
      <c r="B6244" s="1" t="n">
        <v>45933.51006944444</v>
      </c>
      <c r="C6244" s="1" t="n">
        <v>45971</v>
      </c>
      <c r="D6244" t="inlineStr">
        <is>
          <t>VÄSTERBOTTENS LÄN</t>
        </is>
      </c>
      <c r="E6244" t="inlineStr">
        <is>
          <t>SKELLEFTEÅ</t>
        </is>
      </c>
      <c r="F6244" t="inlineStr">
        <is>
          <t>Holmen skog AB</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30332-2021</t>
        </is>
      </c>
      <c r="B6245" s="1" t="n">
        <v>44364</v>
      </c>
      <c r="C6245" s="1" t="n">
        <v>45971</v>
      </c>
      <c r="D6245" t="inlineStr">
        <is>
          <t>VÄSTERBOTTENS LÄN</t>
        </is>
      </c>
      <c r="E6245" t="inlineStr">
        <is>
          <t>SKELLEFTEÅ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5894-2025</t>
        </is>
      </c>
      <c r="B6246" s="1" t="n">
        <v>45695.39059027778</v>
      </c>
      <c r="C6246" s="1" t="n">
        <v>45971</v>
      </c>
      <c r="D6246" t="inlineStr">
        <is>
          <t>VÄSTERBOTTENS LÄN</t>
        </is>
      </c>
      <c r="E6246" t="inlineStr">
        <is>
          <t>MALÅ</t>
        </is>
      </c>
      <c r="F6246" t="inlineStr">
        <is>
          <t>Sveaskog</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28061-2022</t>
        </is>
      </c>
      <c r="B6247" s="1" t="n">
        <v>44746</v>
      </c>
      <c r="C6247" s="1" t="n">
        <v>45971</v>
      </c>
      <c r="D6247" t="inlineStr">
        <is>
          <t>VÄSTERBOTTENS LÄN</t>
        </is>
      </c>
      <c r="E6247" t="inlineStr">
        <is>
          <t>STORUMAN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21883-2022</t>
        </is>
      </c>
      <c r="B6248" s="1" t="n">
        <v>44711</v>
      </c>
      <c r="C6248" s="1" t="n">
        <v>45971</v>
      </c>
      <c r="D6248" t="inlineStr">
        <is>
          <t>VÄSTERBOTTENS LÄN</t>
        </is>
      </c>
      <c r="E6248" t="inlineStr">
        <is>
          <t>SKELLEFTEÅ</t>
        </is>
      </c>
      <c r="F6248" t="inlineStr">
        <is>
          <t>Holmen skog AB</t>
        </is>
      </c>
      <c r="G6248" t="n">
        <v>9.9</v>
      </c>
      <c r="H6248" t="n">
        <v>0</v>
      </c>
      <c r="I6248" t="n">
        <v>0</v>
      </c>
      <c r="J6248" t="n">
        <v>0</v>
      </c>
      <c r="K6248" t="n">
        <v>0</v>
      </c>
      <c r="L6248" t="n">
        <v>0</v>
      </c>
      <c r="M6248" t="n">
        <v>0</v>
      </c>
      <c r="N6248" t="n">
        <v>0</v>
      </c>
      <c r="O6248" t="n">
        <v>0</v>
      </c>
      <c r="P6248" t="n">
        <v>0</v>
      </c>
      <c r="Q6248" t="n">
        <v>0</v>
      </c>
      <c r="R6248" s="2" t="inlineStr"/>
    </row>
    <row r="6249" ht="15" customHeight="1">
      <c r="A6249" t="inlineStr">
        <is>
          <t>A 15904-2025</t>
        </is>
      </c>
      <c r="B6249" s="1" t="n">
        <v>45749.43325231481</v>
      </c>
      <c r="C6249" s="1" t="n">
        <v>45971</v>
      </c>
      <c r="D6249" t="inlineStr">
        <is>
          <t>VÄSTERBOTTENS LÄN</t>
        </is>
      </c>
      <c r="E6249" t="inlineStr">
        <is>
          <t>UMEÅ</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40633-2023</t>
        </is>
      </c>
      <c r="B6250" s="1" t="n">
        <v>45170</v>
      </c>
      <c r="C6250" s="1" t="n">
        <v>45971</v>
      </c>
      <c r="D6250" t="inlineStr">
        <is>
          <t>VÄSTERBOTTENS LÄN</t>
        </is>
      </c>
      <c r="E6250" t="inlineStr">
        <is>
          <t>ROBERTSFORS</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43547-2023</t>
        </is>
      </c>
      <c r="B6251" s="1" t="n">
        <v>45184.56421296296</v>
      </c>
      <c r="C6251" s="1" t="n">
        <v>45971</v>
      </c>
      <c r="D6251" t="inlineStr">
        <is>
          <t>VÄSTERBOTTENS LÄN</t>
        </is>
      </c>
      <c r="E6251" t="inlineStr">
        <is>
          <t>ROBERTSFORS</t>
        </is>
      </c>
      <c r="F6251" t="inlineStr">
        <is>
          <t>Holmen skog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40020-2025</t>
        </is>
      </c>
      <c r="B6252" s="1" t="n">
        <v>45894.35414351852</v>
      </c>
      <c r="C6252" s="1" t="n">
        <v>45971</v>
      </c>
      <c r="D6252" t="inlineStr">
        <is>
          <t>VÄSTERBOTTENS LÄN</t>
        </is>
      </c>
      <c r="E6252" t="inlineStr">
        <is>
          <t>SKELLEFTEÅ</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52916-2023</t>
        </is>
      </c>
      <c r="B6253" s="1" t="n">
        <v>45226.52811342593</v>
      </c>
      <c r="C6253" s="1" t="n">
        <v>45971</v>
      </c>
      <c r="D6253" t="inlineStr">
        <is>
          <t>VÄSTERBOTTENS LÄN</t>
        </is>
      </c>
      <c r="E6253" t="inlineStr">
        <is>
          <t>VINDELN</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20218-2025</t>
        </is>
      </c>
      <c r="B6254" s="1" t="n">
        <v>45772</v>
      </c>
      <c r="C6254" s="1" t="n">
        <v>45971</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58565-2023</t>
        </is>
      </c>
      <c r="B6255" s="1" t="n">
        <v>45246</v>
      </c>
      <c r="C6255" s="1" t="n">
        <v>45971</v>
      </c>
      <c r="D6255" t="inlineStr">
        <is>
          <t>VÄSTERBOTTENS LÄN</t>
        </is>
      </c>
      <c r="E6255" t="inlineStr">
        <is>
          <t>ROBERTSFORS</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63218-2021</t>
        </is>
      </c>
      <c r="B6256" s="1" t="n">
        <v>44505</v>
      </c>
      <c r="C6256" s="1" t="n">
        <v>45971</v>
      </c>
      <c r="D6256" t="inlineStr">
        <is>
          <t>VÄSTERBOTTENS LÄN</t>
        </is>
      </c>
      <c r="E6256" t="inlineStr">
        <is>
          <t>VILHELMINA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39385-2023</t>
        </is>
      </c>
      <c r="B6257" s="1" t="n">
        <v>45166</v>
      </c>
      <c r="C6257" s="1" t="n">
        <v>45971</v>
      </c>
      <c r="D6257" t="inlineStr">
        <is>
          <t>VÄSTERBOTTENS LÄN</t>
        </is>
      </c>
      <c r="E6257" t="inlineStr">
        <is>
          <t>MALÅ</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55929-2024</t>
        </is>
      </c>
      <c r="B6258" s="1" t="n">
        <v>45623.60400462963</v>
      </c>
      <c r="C6258" s="1" t="n">
        <v>45971</v>
      </c>
      <c r="D6258" t="inlineStr">
        <is>
          <t>VÄSTERBOTTENS LÄN</t>
        </is>
      </c>
      <c r="E6258" t="inlineStr">
        <is>
          <t>NORSJÖ</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55936-2024</t>
        </is>
      </c>
      <c r="B6259" s="1" t="n">
        <v>45623.60804398148</v>
      </c>
      <c r="C6259" s="1" t="n">
        <v>45971</v>
      </c>
      <c r="D6259" t="inlineStr">
        <is>
          <t>VÄSTERBOTTENS LÄN</t>
        </is>
      </c>
      <c r="E6259" t="inlineStr">
        <is>
          <t>NORSJÖ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41038-2024</t>
        </is>
      </c>
      <c r="B6260" s="1" t="n">
        <v>45559.36113425926</v>
      </c>
      <c r="C6260" s="1" t="n">
        <v>45971</v>
      </c>
      <c r="D6260" t="inlineStr">
        <is>
          <t>VÄSTERBOTTENS LÄN</t>
        </is>
      </c>
      <c r="E6260" t="inlineStr">
        <is>
          <t>SKELLEFTEÅ</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57579-2024</t>
        </is>
      </c>
      <c r="B6261" s="1" t="n">
        <v>45630.47672453704</v>
      </c>
      <c r="C6261" s="1" t="n">
        <v>45971</v>
      </c>
      <c r="D6261" t="inlineStr">
        <is>
          <t>VÄSTERBOTTENS LÄN</t>
        </is>
      </c>
      <c r="E6261" t="inlineStr">
        <is>
          <t>VINDELN</t>
        </is>
      </c>
      <c r="F6261" t="inlineStr">
        <is>
          <t>Sveaskog</t>
        </is>
      </c>
      <c r="G6261" t="n">
        <v>14.4</v>
      </c>
      <c r="H6261" t="n">
        <v>0</v>
      </c>
      <c r="I6261" t="n">
        <v>0</v>
      </c>
      <c r="J6261" t="n">
        <v>0</v>
      </c>
      <c r="K6261" t="n">
        <v>0</v>
      </c>
      <c r="L6261" t="n">
        <v>0</v>
      </c>
      <c r="M6261" t="n">
        <v>0</v>
      </c>
      <c r="N6261" t="n">
        <v>0</v>
      </c>
      <c r="O6261" t="n">
        <v>0</v>
      </c>
      <c r="P6261" t="n">
        <v>0</v>
      </c>
      <c r="Q6261" t="n">
        <v>0</v>
      </c>
      <c r="R6261" s="2" t="inlineStr"/>
    </row>
    <row r="6262" ht="15" customHeight="1">
      <c r="A6262" t="inlineStr">
        <is>
          <t>A 4034-2024</t>
        </is>
      </c>
      <c r="B6262" s="1" t="n">
        <v>45323.41511574074</v>
      </c>
      <c r="C6262" s="1" t="n">
        <v>45971</v>
      </c>
      <c r="D6262" t="inlineStr">
        <is>
          <t>VÄSTERBOTTENS LÄN</t>
        </is>
      </c>
      <c r="E6262" t="inlineStr">
        <is>
          <t>SKELLEFTEÅ</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74152-2021</t>
        </is>
      </c>
      <c r="B6263" s="1" t="n">
        <v>44557</v>
      </c>
      <c r="C6263" s="1" t="n">
        <v>45971</v>
      </c>
      <c r="D6263" t="inlineStr">
        <is>
          <t>VÄSTERBOTTENS LÄN</t>
        </is>
      </c>
      <c r="E6263" t="inlineStr">
        <is>
          <t>BJURHOLM</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31392-2024</t>
        </is>
      </c>
      <c r="B6264" s="1" t="n">
        <v>45505.4709375</v>
      </c>
      <c r="C6264" s="1" t="n">
        <v>45971</v>
      </c>
      <c r="D6264" t="inlineStr">
        <is>
          <t>VÄSTERBOTTENS LÄN</t>
        </is>
      </c>
      <c r="E6264" t="inlineStr">
        <is>
          <t>SKELLEFTEÅ</t>
        </is>
      </c>
      <c r="F6264" t="inlineStr">
        <is>
          <t>Holmen skog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40798-2024</t>
        </is>
      </c>
      <c r="B6265" s="1" t="n">
        <v>45558.52645833333</v>
      </c>
      <c r="C6265" s="1" t="n">
        <v>45971</v>
      </c>
      <c r="D6265" t="inlineStr">
        <is>
          <t>VÄSTERBOTTENS LÄN</t>
        </is>
      </c>
      <c r="E6265" t="inlineStr">
        <is>
          <t>SKELLEFTEÅ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11544-2023</t>
        </is>
      </c>
      <c r="B6266" s="1" t="n">
        <v>44993.94818287037</v>
      </c>
      <c r="C6266" s="1" t="n">
        <v>45971</v>
      </c>
      <c r="D6266" t="inlineStr">
        <is>
          <t>VÄSTERBOTTENS LÄN</t>
        </is>
      </c>
      <c r="E6266" t="inlineStr">
        <is>
          <t>VILHELMINA</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32502-2024</t>
        </is>
      </c>
      <c r="B6267" s="1" t="n">
        <v>45513</v>
      </c>
      <c r="C6267" s="1" t="n">
        <v>45971</v>
      </c>
      <c r="D6267" t="inlineStr">
        <is>
          <t>VÄSTERBOTTENS LÄN</t>
        </is>
      </c>
      <c r="E6267" t="inlineStr">
        <is>
          <t>BJURHOLM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25551-2024</t>
        </is>
      </c>
      <c r="B6268" s="1" t="n">
        <v>45463</v>
      </c>
      <c r="C6268" s="1" t="n">
        <v>45971</v>
      </c>
      <c r="D6268" t="inlineStr">
        <is>
          <t>VÄSTERBOTTENS LÄN</t>
        </is>
      </c>
      <c r="E6268" t="inlineStr">
        <is>
          <t>VILHELMINA</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25553-2024</t>
        </is>
      </c>
      <c r="B6269" s="1" t="n">
        <v>45463.57846064815</v>
      </c>
      <c r="C6269" s="1" t="n">
        <v>45971</v>
      </c>
      <c r="D6269" t="inlineStr">
        <is>
          <t>VÄSTERBOTTENS LÄN</t>
        </is>
      </c>
      <c r="E6269" t="inlineStr">
        <is>
          <t>ÅSELE</t>
        </is>
      </c>
      <c r="F6269" t="inlineStr">
        <is>
          <t>Sveaskog</t>
        </is>
      </c>
      <c r="G6269" t="n">
        <v>13.5</v>
      </c>
      <c r="H6269" t="n">
        <v>0</v>
      </c>
      <c r="I6269" t="n">
        <v>0</v>
      </c>
      <c r="J6269" t="n">
        <v>0</v>
      </c>
      <c r="K6269" t="n">
        <v>0</v>
      </c>
      <c r="L6269" t="n">
        <v>0</v>
      </c>
      <c r="M6269" t="n">
        <v>0</v>
      </c>
      <c r="N6269" t="n">
        <v>0</v>
      </c>
      <c r="O6269" t="n">
        <v>0</v>
      </c>
      <c r="P6269" t="n">
        <v>0</v>
      </c>
      <c r="Q6269" t="n">
        <v>0</v>
      </c>
      <c r="R6269" s="2" t="inlineStr"/>
    </row>
    <row r="6270" ht="15" customHeight="1">
      <c r="A6270" t="inlineStr">
        <is>
          <t>A 1691-2025</t>
        </is>
      </c>
      <c r="B6270" s="1" t="n">
        <v>45670</v>
      </c>
      <c r="C6270" s="1" t="n">
        <v>45971</v>
      </c>
      <c r="D6270" t="inlineStr">
        <is>
          <t>VÄSTERBOTTENS LÄN</t>
        </is>
      </c>
      <c r="E6270" t="inlineStr">
        <is>
          <t>ROBERTSFORS</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1693-2025</t>
        </is>
      </c>
      <c r="B6271" s="1" t="n">
        <v>45670</v>
      </c>
      <c r="C6271" s="1" t="n">
        <v>45971</v>
      </c>
      <c r="D6271" t="inlineStr">
        <is>
          <t>VÄSTERBOTTENS LÄN</t>
        </is>
      </c>
      <c r="E6271" t="inlineStr">
        <is>
          <t>ROBERTSFORS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58674-2024</t>
        </is>
      </c>
      <c r="B6272" s="1" t="n">
        <v>45635</v>
      </c>
      <c r="C6272" s="1" t="n">
        <v>45971</v>
      </c>
      <c r="D6272" t="inlineStr">
        <is>
          <t>VÄSTERBOTTENS LÄN</t>
        </is>
      </c>
      <c r="E6272" t="inlineStr">
        <is>
          <t>SORSELE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58679-2024</t>
        </is>
      </c>
      <c r="B6273" s="1" t="n">
        <v>45635.61375</v>
      </c>
      <c r="C6273" s="1" t="n">
        <v>45971</v>
      </c>
      <c r="D6273" t="inlineStr">
        <is>
          <t>VÄSTERBOTTENS LÄN</t>
        </is>
      </c>
      <c r="E6273" t="inlineStr">
        <is>
          <t>ROBERTSFORS</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53037-2023</t>
        </is>
      </c>
      <c r="B6274" s="1" t="n">
        <v>45226</v>
      </c>
      <c r="C6274" s="1" t="n">
        <v>45971</v>
      </c>
      <c r="D6274" t="inlineStr">
        <is>
          <t>VÄSTERBOTTENS LÄN</t>
        </is>
      </c>
      <c r="E6274" t="inlineStr">
        <is>
          <t>LYCKSELE</t>
        </is>
      </c>
      <c r="F6274" t="inlineStr">
        <is>
          <t>SCA</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6132-2021</t>
        </is>
      </c>
      <c r="B6275" s="1" t="n">
        <v>44232.56556712963</v>
      </c>
      <c r="C6275" s="1" t="n">
        <v>45971</v>
      </c>
      <c r="D6275" t="inlineStr">
        <is>
          <t>VÄSTERBOTTENS LÄN</t>
        </is>
      </c>
      <c r="E6275" t="inlineStr">
        <is>
          <t>NORDMALING</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6174-2021</t>
        </is>
      </c>
      <c r="B6276" s="1" t="n">
        <v>44232</v>
      </c>
      <c r="C6276" s="1" t="n">
        <v>45971</v>
      </c>
      <c r="D6276" t="inlineStr">
        <is>
          <t>VÄSTERBOTTENS LÄN</t>
        </is>
      </c>
      <c r="E6276" t="inlineStr">
        <is>
          <t>UMEÅ</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6198-2021</t>
        </is>
      </c>
      <c r="B6277" s="1" t="n">
        <v>44234</v>
      </c>
      <c r="C6277" s="1" t="n">
        <v>45971</v>
      </c>
      <c r="D6277" t="inlineStr">
        <is>
          <t>VÄSTERBOTTENS LÄN</t>
        </is>
      </c>
      <c r="E6277" t="inlineStr">
        <is>
          <t>SORSELE</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43945-2024</t>
        </is>
      </c>
      <c r="B6278" s="1" t="n">
        <v>45572.47104166666</v>
      </c>
      <c r="C6278" s="1" t="n">
        <v>45971</v>
      </c>
      <c r="D6278" t="inlineStr">
        <is>
          <t>VÄSTERBOTTENS LÄN</t>
        </is>
      </c>
      <c r="E6278" t="inlineStr">
        <is>
          <t>UMEÅ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43946-2024</t>
        </is>
      </c>
      <c r="B6279" s="1" t="n">
        <v>45572</v>
      </c>
      <c r="C6279" s="1" t="n">
        <v>45971</v>
      </c>
      <c r="D6279" t="inlineStr">
        <is>
          <t>VÄSTERBOTTENS LÄN</t>
        </is>
      </c>
      <c r="E6279" t="inlineStr">
        <is>
          <t>ROBERTSFORS</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64179-2021</t>
        </is>
      </c>
      <c r="B6280" s="1" t="n">
        <v>44510</v>
      </c>
      <c r="C6280" s="1" t="n">
        <v>45971</v>
      </c>
      <c r="D6280" t="inlineStr">
        <is>
          <t>VÄSTERBOTTENS LÄN</t>
        </is>
      </c>
      <c r="E6280" t="inlineStr">
        <is>
          <t>NORSJÖ</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57474-2024</t>
        </is>
      </c>
      <c r="B6281" s="1" t="n">
        <v>45630.34488425926</v>
      </c>
      <c r="C6281" s="1" t="n">
        <v>45971</v>
      </c>
      <c r="D6281" t="inlineStr">
        <is>
          <t>VÄSTERBOTTENS LÄN</t>
        </is>
      </c>
      <c r="E6281" t="inlineStr">
        <is>
          <t>VINDELN</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11975-2025</t>
        </is>
      </c>
      <c r="B6282" s="1" t="n">
        <v>45728.59210648148</v>
      </c>
      <c r="C6282" s="1" t="n">
        <v>45971</v>
      </c>
      <c r="D6282" t="inlineStr">
        <is>
          <t>VÄSTERBOTTENS LÄN</t>
        </is>
      </c>
      <c r="E6282" t="inlineStr">
        <is>
          <t>SORSELE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9987-2021</t>
        </is>
      </c>
      <c r="B6283" s="1" t="n">
        <v>44254</v>
      </c>
      <c r="C6283" s="1" t="n">
        <v>45971</v>
      </c>
      <c r="D6283" t="inlineStr">
        <is>
          <t>VÄSTERBOTTENS LÄN</t>
        </is>
      </c>
      <c r="E6283" t="inlineStr">
        <is>
          <t>NORSJÖ</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55931-2024</t>
        </is>
      </c>
      <c r="B6284" s="1" t="n">
        <v>45623.60524305556</v>
      </c>
      <c r="C6284" s="1" t="n">
        <v>45971</v>
      </c>
      <c r="D6284" t="inlineStr">
        <is>
          <t>VÄSTERBOTTENS LÄN</t>
        </is>
      </c>
      <c r="E6284" t="inlineStr">
        <is>
          <t>NORSJÖ</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55951-2024</t>
        </is>
      </c>
      <c r="B6285" s="1" t="n">
        <v>45623.6249537037</v>
      </c>
      <c r="C6285" s="1" t="n">
        <v>45971</v>
      </c>
      <c r="D6285" t="inlineStr">
        <is>
          <t>VÄSTERBOTTENS LÄN</t>
        </is>
      </c>
      <c r="E6285" t="inlineStr">
        <is>
          <t>NORSJÖ</t>
        </is>
      </c>
      <c r="G6285" t="n">
        <v>11.4</v>
      </c>
      <c r="H6285" t="n">
        <v>0</v>
      </c>
      <c r="I6285" t="n">
        <v>0</v>
      </c>
      <c r="J6285" t="n">
        <v>0</v>
      </c>
      <c r="K6285" t="n">
        <v>0</v>
      </c>
      <c r="L6285" t="n">
        <v>0</v>
      </c>
      <c r="M6285" t="n">
        <v>0</v>
      </c>
      <c r="N6285" t="n">
        <v>0</v>
      </c>
      <c r="O6285" t="n">
        <v>0</v>
      </c>
      <c r="P6285" t="n">
        <v>0</v>
      </c>
      <c r="Q6285" t="n">
        <v>0</v>
      </c>
      <c r="R6285" s="2" t="inlineStr"/>
    </row>
    <row r="6286" ht="15" customHeight="1">
      <c r="A6286" t="inlineStr">
        <is>
          <t>A 47677-2024</t>
        </is>
      </c>
      <c r="B6286" s="1" t="n">
        <v>45588</v>
      </c>
      <c r="C6286" s="1" t="n">
        <v>45971</v>
      </c>
      <c r="D6286" t="inlineStr">
        <is>
          <t>VÄSTERBOTTENS LÄN</t>
        </is>
      </c>
      <c r="E6286" t="inlineStr">
        <is>
          <t>MALÅ</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13745-2021</t>
        </is>
      </c>
      <c r="B6287" s="1" t="n">
        <v>44274</v>
      </c>
      <c r="C6287" s="1" t="n">
        <v>45971</v>
      </c>
      <c r="D6287" t="inlineStr">
        <is>
          <t>VÄSTERBOTTENS LÄN</t>
        </is>
      </c>
      <c r="E6287" t="inlineStr">
        <is>
          <t>UMEÅ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58377-2021</t>
        </is>
      </c>
      <c r="B6288" s="1" t="n">
        <v>44488</v>
      </c>
      <c r="C6288" s="1" t="n">
        <v>45971</v>
      </c>
      <c r="D6288" t="inlineStr">
        <is>
          <t>VÄSTERBOTTENS LÄN</t>
        </is>
      </c>
      <c r="E6288" t="inlineStr">
        <is>
          <t>VILHELMINA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2684-2023</t>
        </is>
      </c>
      <c r="B6289" s="1" t="n">
        <v>44944</v>
      </c>
      <c r="C6289" s="1" t="n">
        <v>45971</v>
      </c>
      <c r="D6289" t="inlineStr">
        <is>
          <t>VÄSTERBOTTENS LÄN</t>
        </is>
      </c>
      <c r="E6289" t="inlineStr">
        <is>
          <t>VINDELN</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18853-2024</t>
        </is>
      </c>
      <c r="B6290" s="1" t="n">
        <v>45426</v>
      </c>
      <c r="C6290" s="1" t="n">
        <v>45971</v>
      </c>
      <c r="D6290" t="inlineStr">
        <is>
          <t>VÄSTERBOTTENS LÄN</t>
        </is>
      </c>
      <c r="E6290" t="inlineStr">
        <is>
          <t>NORSJÖ</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11642-2023</t>
        </is>
      </c>
      <c r="B6291" s="1" t="n">
        <v>44994.45225694445</v>
      </c>
      <c r="C6291" s="1" t="n">
        <v>45971</v>
      </c>
      <c r="D6291" t="inlineStr">
        <is>
          <t>VÄSTERBOTTENS LÄN</t>
        </is>
      </c>
      <c r="E6291" t="inlineStr">
        <is>
          <t>SKELLEFTEÅ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51415-2024</t>
        </is>
      </c>
      <c r="B6292" s="1" t="n">
        <v>45604</v>
      </c>
      <c r="C6292" s="1" t="n">
        <v>45971</v>
      </c>
      <c r="D6292" t="inlineStr">
        <is>
          <t>VÄSTERBOTTENS LÄN</t>
        </is>
      </c>
      <c r="E6292" t="inlineStr">
        <is>
          <t>UMEÅ</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11646-2023</t>
        </is>
      </c>
      <c r="B6293" s="1" t="n">
        <v>44992</v>
      </c>
      <c r="C6293" s="1" t="n">
        <v>45971</v>
      </c>
      <c r="D6293" t="inlineStr">
        <is>
          <t>VÄSTERBOTTENS LÄN</t>
        </is>
      </c>
      <c r="E6293" t="inlineStr">
        <is>
          <t>SORSELE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2680-2023</t>
        </is>
      </c>
      <c r="B6294" s="1" t="n">
        <v>44944</v>
      </c>
      <c r="C6294" s="1" t="n">
        <v>45971</v>
      </c>
      <c r="D6294" t="inlineStr">
        <is>
          <t>VÄSTERBOTTENS LÄN</t>
        </is>
      </c>
      <c r="E6294" t="inlineStr">
        <is>
          <t>VINDELN</t>
        </is>
      </c>
      <c r="F6294" t="inlineStr">
        <is>
          <t>Sveaskog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57497-2024</t>
        </is>
      </c>
      <c r="B6295" s="1" t="n">
        <v>45630</v>
      </c>
      <c r="C6295" s="1" t="n">
        <v>45971</v>
      </c>
      <c r="D6295" t="inlineStr">
        <is>
          <t>VÄSTERBOTTENS LÄN</t>
        </is>
      </c>
      <c r="E6295" t="inlineStr">
        <is>
          <t>UMEÅ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29954-2023</t>
        </is>
      </c>
      <c r="B6296" s="1" t="n">
        <v>45107</v>
      </c>
      <c r="C6296" s="1" t="n">
        <v>45971</v>
      </c>
      <c r="D6296" t="inlineStr">
        <is>
          <t>VÄSTERBOTTENS LÄN</t>
        </is>
      </c>
      <c r="E6296" t="inlineStr">
        <is>
          <t>VILHELMINA</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12701-2025</t>
        </is>
      </c>
      <c r="B6297" s="1" t="n">
        <v>45733.46592592593</v>
      </c>
      <c r="C6297" s="1" t="n">
        <v>45971</v>
      </c>
      <c r="D6297" t="inlineStr">
        <is>
          <t>VÄSTERBOTTENS LÄN</t>
        </is>
      </c>
      <c r="E6297" t="inlineStr">
        <is>
          <t>SKELLEFTEÅ</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51238-2024</t>
        </is>
      </c>
      <c r="B6298" s="1" t="n">
        <v>45603.67048611111</v>
      </c>
      <c r="C6298" s="1" t="n">
        <v>45971</v>
      </c>
      <c r="D6298" t="inlineStr">
        <is>
          <t>VÄSTERBOTTENS LÄN</t>
        </is>
      </c>
      <c r="E6298" t="inlineStr">
        <is>
          <t>VINDELN</t>
        </is>
      </c>
      <c r="G6298" t="n">
        <v>13.1</v>
      </c>
      <c r="H6298" t="n">
        <v>0</v>
      </c>
      <c r="I6298" t="n">
        <v>0</v>
      </c>
      <c r="J6298" t="n">
        <v>0</v>
      </c>
      <c r="K6298" t="n">
        <v>0</v>
      </c>
      <c r="L6298" t="n">
        <v>0</v>
      </c>
      <c r="M6298" t="n">
        <v>0</v>
      </c>
      <c r="N6298" t="n">
        <v>0</v>
      </c>
      <c r="O6298" t="n">
        <v>0</v>
      </c>
      <c r="P6298" t="n">
        <v>0</v>
      </c>
      <c r="Q6298" t="n">
        <v>0</v>
      </c>
      <c r="R6298" s="2" t="inlineStr"/>
    </row>
    <row r="6299" ht="15" customHeight="1">
      <c r="A6299" t="inlineStr">
        <is>
          <t>A 41269-2024</t>
        </is>
      </c>
      <c r="B6299" s="1" t="n">
        <v>45559</v>
      </c>
      <c r="C6299" s="1" t="n">
        <v>45971</v>
      </c>
      <c r="D6299" t="inlineStr">
        <is>
          <t>VÄSTERBOTTENS LÄN</t>
        </is>
      </c>
      <c r="E6299" t="inlineStr">
        <is>
          <t>ROBERTSFORS</t>
        </is>
      </c>
      <c r="F6299" t="inlineStr">
        <is>
          <t>Sveaskog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14653-2024</t>
        </is>
      </c>
      <c r="B6300" s="1" t="n">
        <v>45397.4034375</v>
      </c>
      <c r="C6300" s="1" t="n">
        <v>45971</v>
      </c>
      <c r="D6300" t="inlineStr">
        <is>
          <t>VÄSTERBOTTENS LÄN</t>
        </is>
      </c>
      <c r="E6300" t="inlineStr">
        <is>
          <t>SKELLEFTEÅ</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55500-2024</t>
        </is>
      </c>
      <c r="B6301" s="1" t="n">
        <v>45622.45622685185</v>
      </c>
      <c r="C6301" s="1" t="n">
        <v>45971</v>
      </c>
      <c r="D6301" t="inlineStr">
        <is>
          <t>VÄSTERBOTTENS LÄN</t>
        </is>
      </c>
      <c r="E6301" t="inlineStr">
        <is>
          <t>SKELLEFTEÅ</t>
        </is>
      </c>
      <c r="G6301" t="n">
        <v>11.2</v>
      </c>
      <c r="H6301" t="n">
        <v>0</v>
      </c>
      <c r="I6301" t="n">
        <v>0</v>
      </c>
      <c r="J6301" t="n">
        <v>0</v>
      </c>
      <c r="K6301" t="n">
        <v>0</v>
      </c>
      <c r="L6301" t="n">
        <v>0</v>
      </c>
      <c r="M6301" t="n">
        <v>0</v>
      </c>
      <c r="N6301" t="n">
        <v>0</v>
      </c>
      <c r="O6301" t="n">
        <v>0</v>
      </c>
      <c r="P6301" t="n">
        <v>0</v>
      </c>
      <c r="Q6301" t="n">
        <v>0</v>
      </c>
      <c r="R6301" s="2" t="inlineStr"/>
    </row>
    <row r="6302" ht="15" customHeight="1">
      <c r="A6302" t="inlineStr">
        <is>
          <t>A 16792-2022</t>
        </is>
      </c>
      <c r="B6302" s="1" t="n">
        <v>44673</v>
      </c>
      <c r="C6302" s="1" t="n">
        <v>45971</v>
      </c>
      <c r="D6302" t="inlineStr">
        <is>
          <t>VÄSTERBOTTENS LÄN</t>
        </is>
      </c>
      <c r="E6302" t="inlineStr">
        <is>
          <t>BJURHOLM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502-2025</t>
        </is>
      </c>
      <c r="B6303" s="1" t="n">
        <v>45664</v>
      </c>
      <c r="C6303" s="1" t="n">
        <v>45971</v>
      </c>
      <c r="D6303" t="inlineStr">
        <is>
          <t>VÄSTERBOTTENS LÄN</t>
        </is>
      </c>
      <c r="E6303" t="inlineStr">
        <is>
          <t>NORDMALING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19378-2023</t>
        </is>
      </c>
      <c r="B6304" s="1" t="n">
        <v>45049</v>
      </c>
      <c r="C6304" s="1" t="n">
        <v>45971</v>
      </c>
      <c r="D6304" t="inlineStr">
        <is>
          <t>VÄSTERBOTTENS LÄN</t>
        </is>
      </c>
      <c r="E6304" t="inlineStr">
        <is>
          <t>ROBERTSFORS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55586-2024</t>
        </is>
      </c>
      <c r="B6305" s="1" t="n">
        <v>45622.56356481482</v>
      </c>
      <c r="C6305" s="1" t="n">
        <v>45971</v>
      </c>
      <c r="D6305" t="inlineStr">
        <is>
          <t>VÄSTERBOTTENS LÄN</t>
        </is>
      </c>
      <c r="E6305" t="inlineStr">
        <is>
          <t>NORSJÖ</t>
        </is>
      </c>
      <c r="F6305" t="inlineStr">
        <is>
          <t>Holmen skog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4084-2023</t>
        </is>
      </c>
      <c r="B6306" s="1" t="n">
        <v>44952</v>
      </c>
      <c r="C6306" s="1" t="n">
        <v>45971</v>
      </c>
      <c r="D6306" t="inlineStr">
        <is>
          <t>VÄSTERBOTTENS LÄN</t>
        </is>
      </c>
      <c r="E6306" t="inlineStr">
        <is>
          <t>ÅSELE</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38947-2024</t>
        </is>
      </c>
      <c r="B6307" s="1" t="n">
        <v>45548.34546296296</v>
      </c>
      <c r="C6307" s="1" t="n">
        <v>45971</v>
      </c>
      <c r="D6307" t="inlineStr">
        <is>
          <t>VÄSTERBOTTENS LÄN</t>
        </is>
      </c>
      <c r="E6307" t="inlineStr">
        <is>
          <t>SORSELE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55594-2024</t>
        </is>
      </c>
      <c r="B6308" s="1" t="n">
        <v>45622</v>
      </c>
      <c r="C6308" s="1" t="n">
        <v>45971</v>
      </c>
      <c r="D6308" t="inlineStr">
        <is>
          <t>VÄSTERBOTTENS LÄN</t>
        </is>
      </c>
      <c r="E6308" t="inlineStr">
        <is>
          <t>MALÅ</t>
        </is>
      </c>
      <c r="F6308" t="inlineStr">
        <is>
          <t>Sveaskog</t>
        </is>
      </c>
      <c r="G6308" t="n">
        <v>60.1</v>
      </c>
      <c r="H6308" t="n">
        <v>0</v>
      </c>
      <c r="I6308" t="n">
        <v>0</v>
      </c>
      <c r="J6308" t="n">
        <v>0</v>
      </c>
      <c r="K6308" t="n">
        <v>0</v>
      </c>
      <c r="L6308" t="n">
        <v>0</v>
      </c>
      <c r="M6308" t="n">
        <v>0</v>
      </c>
      <c r="N6308" t="n">
        <v>0</v>
      </c>
      <c r="O6308" t="n">
        <v>0</v>
      </c>
      <c r="P6308" t="n">
        <v>0</v>
      </c>
      <c r="Q6308" t="n">
        <v>0</v>
      </c>
      <c r="R6308" s="2" t="inlineStr"/>
    </row>
    <row r="6309" ht="15" customHeight="1">
      <c r="A6309" t="inlineStr">
        <is>
          <t>A 50365-2024</t>
        </is>
      </c>
      <c r="B6309" s="1" t="n">
        <v>45600</v>
      </c>
      <c r="C6309" s="1" t="n">
        <v>45971</v>
      </c>
      <c r="D6309" t="inlineStr">
        <is>
          <t>VÄSTERBOTTENS LÄN</t>
        </is>
      </c>
      <c r="E6309" t="inlineStr">
        <is>
          <t>LYCKSELE</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772-2025</t>
        </is>
      </c>
      <c r="B6310" s="1" t="n">
        <v>45665.46650462963</v>
      </c>
      <c r="C6310" s="1" t="n">
        <v>45971</v>
      </c>
      <c r="D6310" t="inlineStr">
        <is>
          <t>VÄSTERBOTTENS LÄN</t>
        </is>
      </c>
      <c r="E6310" t="inlineStr">
        <is>
          <t>VINDELN</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56724-2024</t>
        </is>
      </c>
      <c r="B6311" s="1" t="n">
        <v>45628</v>
      </c>
      <c r="C6311" s="1" t="n">
        <v>45971</v>
      </c>
      <c r="D6311" t="inlineStr">
        <is>
          <t>VÄSTERBOTTENS LÄN</t>
        </is>
      </c>
      <c r="E6311" t="inlineStr">
        <is>
          <t>ROBERTSFORS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28433-2023</t>
        </is>
      </c>
      <c r="B6312" s="1" t="n">
        <v>45102.60045138889</v>
      </c>
      <c r="C6312" s="1" t="n">
        <v>45971</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19581-2024</t>
        </is>
      </c>
      <c r="B6313" s="1" t="n">
        <v>45429</v>
      </c>
      <c r="C6313" s="1" t="n">
        <v>45971</v>
      </c>
      <c r="D6313" t="inlineStr">
        <is>
          <t>VÄSTERBOTTENS LÄN</t>
        </is>
      </c>
      <c r="E6313" t="inlineStr">
        <is>
          <t>NORDMALING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19582-2024</t>
        </is>
      </c>
      <c r="B6314" s="1" t="n">
        <v>45429.92415509259</v>
      </c>
      <c r="C6314" s="1" t="n">
        <v>45971</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49844-2024</t>
        </is>
      </c>
      <c r="B6315" s="1" t="n">
        <v>45597</v>
      </c>
      <c r="C6315" s="1" t="n">
        <v>45971</v>
      </c>
      <c r="D6315" t="inlineStr">
        <is>
          <t>VÄSTERBOTTENS LÄN</t>
        </is>
      </c>
      <c r="E6315" t="inlineStr">
        <is>
          <t>SKELLEFTEÅ</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50894-2024</t>
        </is>
      </c>
      <c r="B6316" s="1" t="n">
        <v>45602.67774305555</v>
      </c>
      <c r="C6316" s="1" t="n">
        <v>45971</v>
      </c>
      <c r="D6316" t="inlineStr">
        <is>
          <t>VÄSTERBOTTENS LÄN</t>
        </is>
      </c>
      <c r="E6316" t="inlineStr">
        <is>
          <t>SKELLEFTEÅ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70197-2021</t>
        </is>
      </c>
      <c r="B6317" s="1" t="n">
        <v>44534.51119212963</v>
      </c>
      <c r="C6317" s="1" t="n">
        <v>45971</v>
      </c>
      <c r="D6317" t="inlineStr">
        <is>
          <t>VÄSTERBOTTENS LÄN</t>
        </is>
      </c>
      <c r="E6317" t="inlineStr">
        <is>
          <t>LYCKSELE</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53092-2022</t>
        </is>
      </c>
      <c r="B6318" s="1" t="n">
        <v>44876.4028125</v>
      </c>
      <c r="C6318" s="1" t="n">
        <v>45971</v>
      </c>
      <c r="D6318" t="inlineStr">
        <is>
          <t>VÄSTERBOTTENS LÄN</t>
        </is>
      </c>
      <c r="E6318" t="inlineStr">
        <is>
          <t>SKELLEFTEÅ</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18421-2024</t>
        </is>
      </c>
      <c r="B6319" s="1" t="n">
        <v>45425.40733796296</v>
      </c>
      <c r="C6319" s="1" t="n">
        <v>45971</v>
      </c>
      <c r="D6319" t="inlineStr">
        <is>
          <t>VÄSTERBOTTENS LÄN</t>
        </is>
      </c>
      <c r="E6319" t="inlineStr">
        <is>
          <t>NORSJÖ</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21863-2024</t>
        </is>
      </c>
      <c r="B6320" s="1" t="n">
        <v>45443</v>
      </c>
      <c r="C6320" s="1" t="n">
        <v>45971</v>
      </c>
      <c r="D6320" t="inlineStr">
        <is>
          <t>VÄSTERBOTTENS LÄN</t>
        </is>
      </c>
      <c r="E6320" t="inlineStr">
        <is>
          <t>NORDMALING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52684-2022</t>
        </is>
      </c>
      <c r="B6321" s="1" t="n">
        <v>44874</v>
      </c>
      <c r="C6321" s="1" t="n">
        <v>45971</v>
      </c>
      <c r="D6321" t="inlineStr">
        <is>
          <t>VÄSTERBOTTENS LÄN</t>
        </is>
      </c>
      <c r="E6321" t="inlineStr">
        <is>
          <t>VINDELN</t>
        </is>
      </c>
      <c r="F6321" t="inlineStr">
        <is>
          <t>Sveaskog</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61378-2024</t>
        </is>
      </c>
      <c r="B6322" s="1" t="n">
        <v>45645</v>
      </c>
      <c r="C6322" s="1" t="n">
        <v>45971</v>
      </c>
      <c r="D6322" t="inlineStr">
        <is>
          <t>VÄSTERBOTTENS LÄN</t>
        </is>
      </c>
      <c r="E6322" t="inlineStr">
        <is>
          <t>SKELLEFTEÅ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61380-2024</t>
        </is>
      </c>
      <c r="B6323" s="1" t="n">
        <v>45646.40557870371</v>
      </c>
      <c r="C6323" s="1" t="n">
        <v>45971</v>
      </c>
      <c r="D6323" t="inlineStr">
        <is>
          <t>VÄSTERBOTTENS LÄN</t>
        </is>
      </c>
      <c r="E6323" t="inlineStr">
        <is>
          <t>ROBERTSFORS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61401-2024</t>
        </is>
      </c>
      <c r="B6324" s="1" t="n">
        <v>45646.42950231482</v>
      </c>
      <c r="C6324" s="1" t="n">
        <v>45971</v>
      </c>
      <c r="D6324" t="inlineStr">
        <is>
          <t>VÄSTERBOTTENS LÄN</t>
        </is>
      </c>
      <c r="E6324" t="inlineStr">
        <is>
          <t>LYCKSELE</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39749-2025</t>
        </is>
      </c>
      <c r="B6325" s="1" t="n">
        <v>45891.4024537037</v>
      </c>
      <c r="C6325" s="1" t="n">
        <v>45971</v>
      </c>
      <c r="D6325" t="inlineStr">
        <is>
          <t>VÄSTERBOTTENS LÄN</t>
        </is>
      </c>
      <c r="E6325" t="inlineStr">
        <is>
          <t>NORSJÖ</t>
        </is>
      </c>
      <c r="F6325" t="inlineStr">
        <is>
          <t>Holmen skog AB</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48493-2025</t>
        </is>
      </c>
      <c r="B6326" s="1" t="n">
        <v>45936.36915509259</v>
      </c>
      <c r="C6326" s="1" t="n">
        <v>45971</v>
      </c>
      <c r="D6326" t="inlineStr">
        <is>
          <t>VÄSTERBOTTENS LÄN</t>
        </is>
      </c>
      <c r="E6326" t="inlineStr">
        <is>
          <t>LYCKSELE</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7104-2025</t>
        </is>
      </c>
      <c r="B6327" s="1" t="n">
        <v>45701.91782407407</v>
      </c>
      <c r="C6327" s="1" t="n">
        <v>45971</v>
      </c>
      <c r="D6327" t="inlineStr">
        <is>
          <t>VÄSTERBOTTENS LÄN</t>
        </is>
      </c>
      <c r="E6327" t="inlineStr">
        <is>
          <t>VINDELN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31088-2024</t>
        </is>
      </c>
      <c r="B6328" s="1" t="n">
        <v>45502</v>
      </c>
      <c r="C6328" s="1" t="n">
        <v>45971</v>
      </c>
      <c r="D6328" t="inlineStr">
        <is>
          <t>VÄSTERBOTTENS LÄN</t>
        </is>
      </c>
      <c r="E6328" t="inlineStr">
        <is>
          <t>MALÅ</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48344-2025</t>
        </is>
      </c>
      <c r="B6329" s="1" t="n">
        <v>45933.64456018519</v>
      </c>
      <c r="C6329" s="1" t="n">
        <v>45971</v>
      </c>
      <c r="D6329" t="inlineStr">
        <is>
          <t>VÄSTERBOTTENS LÄN</t>
        </is>
      </c>
      <c r="E6329" t="inlineStr">
        <is>
          <t>ROBERTSFORS</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39870-2025</t>
        </is>
      </c>
      <c r="B6330" s="1" t="n">
        <v>45891</v>
      </c>
      <c r="C6330" s="1" t="n">
        <v>45971</v>
      </c>
      <c r="D6330" t="inlineStr">
        <is>
          <t>VÄSTERBOTTENS LÄN</t>
        </is>
      </c>
      <c r="E6330" t="inlineStr">
        <is>
          <t>SKELLEFTEÅ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39875-2025</t>
        </is>
      </c>
      <c r="B6331" s="1" t="n">
        <v>45891.61512731481</v>
      </c>
      <c r="C6331" s="1" t="n">
        <v>45971</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49055-2024</t>
        </is>
      </c>
      <c r="B6332" s="1" t="n">
        <v>45594</v>
      </c>
      <c r="C6332" s="1" t="n">
        <v>45971</v>
      </c>
      <c r="D6332" t="inlineStr">
        <is>
          <t>VÄSTERBOTTENS LÄN</t>
        </is>
      </c>
      <c r="E6332" t="inlineStr">
        <is>
          <t>UMEÅ</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39888-2025</t>
        </is>
      </c>
      <c r="B6333" s="1" t="n">
        <v>45891</v>
      </c>
      <c r="C6333" s="1" t="n">
        <v>45971</v>
      </c>
      <c r="D6333" t="inlineStr">
        <is>
          <t>VÄSTERBOTTENS LÄN</t>
        </is>
      </c>
      <c r="E6333" t="inlineStr">
        <is>
          <t>SKELLEFTEÅ</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48585-2025</t>
        </is>
      </c>
      <c r="B6334" s="1" t="n">
        <v>45936.45859953704</v>
      </c>
      <c r="C6334" s="1" t="n">
        <v>45971</v>
      </c>
      <c r="D6334" t="inlineStr">
        <is>
          <t>VÄSTERBOTTENS LÄN</t>
        </is>
      </c>
      <c r="E6334" t="inlineStr">
        <is>
          <t>LYCKSELE</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48632-2025</t>
        </is>
      </c>
      <c r="B6335" s="1" t="n">
        <v>45936.51171296297</v>
      </c>
      <c r="C6335" s="1" t="n">
        <v>45971</v>
      </c>
      <c r="D6335" t="inlineStr">
        <is>
          <t>VÄSTERBOTTENS LÄN</t>
        </is>
      </c>
      <c r="E6335" t="inlineStr">
        <is>
          <t>NORDMALING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19038-2025</t>
        </is>
      </c>
      <c r="B6336" s="1" t="n">
        <v>45764.67561342593</v>
      </c>
      <c r="C6336" s="1" t="n">
        <v>45971</v>
      </c>
      <c r="D6336" t="inlineStr">
        <is>
          <t>VÄSTERBOTTENS LÄN</t>
        </is>
      </c>
      <c r="E6336" t="inlineStr">
        <is>
          <t>NORDMALING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48216-2025</t>
        </is>
      </c>
      <c r="B6337" s="1" t="n">
        <v>45933.49614583333</v>
      </c>
      <c r="C6337" s="1" t="n">
        <v>45971</v>
      </c>
      <c r="D6337" t="inlineStr">
        <is>
          <t>VÄSTERBOTTENS LÄN</t>
        </is>
      </c>
      <c r="E6337" t="inlineStr">
        <is>
          <t>SKELLEFTEÅ</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59211-2023</t>
        </is>
      </c>
      <c r="B6338" s="1" t="n">
        <v>45251</v>
      </c>
      <c r="C6338" s="1" t="n">
        <v>45971</v>
      </c>
      <c r="D6338" t="inlineStr">
        <is>
          <t>VÄSTERBOTTENS LÄN</t>
        </is>
      </c>
      <c r="E6338" t="inlineStr">
        <is>
          <t>ROBERTSFORS</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15484-2023</t>
        </is>
      </c>
      <c r="B6339" s="1" t="n">
        <v>45020</v>
      </c>
      <c r="C6339" s="1" t="n">
        <v>45971</v>
      </c>
      <c r="D6339" t="inlineStr">
        <is>
          <t>VÄSTERBOTTENS LÄN</t>
        </is>
      </c>
      <c r="E6339" t="inlineStr">
        <is>
          <t>ROBERTSFORS</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25028-2024</t>
        </is>
      </c>
      <c r="B6340" s="1" t="n">
        <v>45461</v>
      </c>
      <c r="C6340" s="1" t="n">
        <v>45971</v>
      </c>
      <c r="D6340" t="inlineStr">
        <is>
          <t>VÄSTERBOTTENS LÄN</t>
        </is>
      </c>
      <c r="E6340" t="inlineStr">
        <is>
          <t>DOROTEA</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15326-2024</t>
        </is>
      </c>
      <c r="B6341" s="1" t="n">
        <v>45400</v>
      </c>
      <c r="C6341" s="1" t="n">
        <v>45971</v>
      </c>
      <c r="D6341" t="inlineStr">
        <is>
          <t>VÄSTERBOTTENS LÄN</t>
        </is>
      </c>
      <c r="E6341" t="inlineStr">
        <is>
          <t>VILHELMINA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53740-2022</t>
        </is>
      </c>
      <c r="B6342" s="1" t="n">
        <v>44880</v>
      </c>
      <c r="C6342" s="1" t="n">
        <v>45971</v>
      </c>
      <c r="D6342" t="inlineStr">
        <is>
          <t>VÄSTERBOTTENS LÄN</t>
        </is>
      </c>
      <c r="E6342" t="inlineStr">
        <is>
          <t>LYCKSELE</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18564-2024</t>
        </is>
      </c>
      <c r="B6343" s="1" t="n">
        <v>45425</v>
      </c>
      <c r="C6343" s="1" t="n">
        <v>45971</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48531-2025</t>
        </is>
      </c>
      <c r="B6344" s="1" t="n">
        <v>45936.40791666666</v>
      </c>
      <c r="C6344" s="1" t="n">
        <v>45971</v>
      </c>
      <c r="D6344" t="inlineStr">
        <is>
          <t>VÄSTERBOTTENS LÄN</t>
        </is>
      </c>
      <c r="E6344" t="inlineStr">
        <is>
          <t>DOROTEA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16887-2024</t>
        </is>
      </c>
      <c r="B6345" s="1" t="n">
        <v>45411.60519675926</v>
      </c>
      <c r="C6345" s="1" t="n">
        <v>45971</v>
      </c>
      <c r="D6345" t="inlineStr">
        <is>
          <t>VÄSTERBOTTENS LÄN</t>
        </is>
      </c>
      <c r="E6345" t="inlineStr">
        <is>
          <t>LYCKSELE</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60092-2021</t>
        </is>
      </c>
      <c r="B6346" s="1" t="n">
        <v>44494</v>
      </c>
      <c r="C6346" s="1" t="n">
        <v>45971</v>
      </c>
      <c r="D6346" t="inlineStr">
        <is>
          <t>VÄSTERBOTTENS LÄN</t>
        </is>
      </c>
      <c r="E6346" t="inlineStr">
        <is>
          <t>VINDELN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23925-2024</t>
        </is>
      </c>
      <c r="B6347" s="1" t="n">
        <v>45455.93157407407</v>
      </c>
      <c r="C6347" s="1" t="n">
        <v>45971</v>
      </c>
      <c r="D6347" t="inlineStr">
        <is>
          <t>VÄSTERBOTTENS LÄN</t>
        </is>
      </c>
      <c r="E6347" t="inlineStr">
        <is>
          <t>SKELLEFTEÅ</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48205-2025</t>
        </is>
      </c>
      <c r="B6348" s="1" t="n">
        <v>45933.48515046296</v>
      </c>
      <c r="C6348" s="1" t="n">
        <v>45971</v>
      </c>
      <c r="D6348" t="inlineStr">
        <is>
          <t>VÄSTERBOTTENS LÄN</t>
        </is>
      </c>
      <c r="E6348" t="inlineStr">
        <is>
          <t>LYCKSELE</t>
        </is>
      </c>
      <c r="F6348" t="inlineStr">
        <is>
          <t>Holmen skog AB</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48207-2025</t>
        </is>
      </c>
      <c r="B6349" s="1" t="n">
        <v>45933.48862268519</v>
      </c>
      <c r="C6349" s="1" t="n">
        <v>45971</v>
      </c>
      <c r="D6349" t="inlineStr">
        <is>
          <t>VÄSTERBOTTENS LÄN</t>
        </is>
      </c>
      <c r="E6349" t="inlineStr">
        <is>
          <t>SKELLEFTEÅ</t>
        </is>
      </c>
      <c r="F6349" t="inlineStr">
        <is>
          <t>Holmen skog AB</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40024-2025</t>
        </is>
      </c>
      <c r="B6350" s="1" t="n">
        <v>45894.36554398148</v>
      </c>
      <c r="C6350" s="1" t="n">
        <v>45971</v>
      </c>
      <c r="D6350" t="inlineStr">
        <is>
          <t>VÄSTERBOTTENS LÄN</t>
        </is>
      </c>
      <c r="E6350" t="inlineStr">
        <is>
          <t>VINDELN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21341-2024</t>
        </is>
      </c>
      <c r="B6351" s="1" t="n">
        <v>45440.92835648148</v>
      </c>
      <c r="C6351" s="1" t="n">
        <v>45971</v>
      </c>
      <c r="D6351" t="inlineStr">
        <is>
          <t>VÄSTERBOTTENS LÄN</t>
        </is>
      </c>
      <c r="E6351" t="inlineStr">
        <is>
          <t>ÅSELE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26459-2024</t>
        </is>
      </c>
      <c r="B6352" s="1" t="n">
        <v>45469</v>
      </c>
      <c r="C6352" s="1" t="n">
        <v>45971</v>
      </c>
      <c r="D6352" t="inlineStr">
        <is>
          <t>VÄSTERBOTTENS LÄN</t>
        </is>
      </c>
      <c r="E6352" t="inlineStr">
        <is>
          <t>BJURHOLM</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61815-2024</t>
        </is>
      </c>
      <c r="B6353" s="1" t="n">
        <v>45649</v>
      </c>
      <c r="C6353" s="1" t="n">
        <v>45971</v>
      </c>
      <c r="D6353" t="inlineStr">
        <is>
          <t>VÄSTERBOTTENS LÄN</t>
        </is>
      </c>
      <c r="E6353" t="inlineStr">
        <is>
          <t>BJURHOLM</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35209-2024</t>
        </is>
      </c>
      <c r="B6354" s="1" t="n">
        <v>45530</v>
      </c>
      <c r="C6354" s="1" t="n">
        <v>45971</v>
      </c>
      <c r="D6354" t="inlineStr">
        <is>
          <t>VÄSTERBOTTENS LÄN</t>
        </is>
      </c>
      <c r="E6354" t="inlineStr">
        <is>
          <t>UMEÅ</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35228-2024</t>
        </is>
      </c>
      <c r="B6355" s="1" t="n">
        <v>45530.52100694444</v>
      </c>
      <c r="C6355" s="1" t="n">
        <v>45971</v>
      </c>
      <c r="D6355" t="inlineStr">
        <is>
          <t>VÄSTERBOTTENS LÄN</t>
        </is>
      </c>
      <c r="E6355" t="inlineStr">
        <is>
          <t>UMEÅ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22050-2024</t>
        </is>
      </c>
      <c r="B6356" s="1" t="n">
        <v>45443.61378472222</v>
      </c>
      <c r="C6356" s="1" t="n">
        <v>45971</v>
      </c>
      <c r="D6356" t="inlineStr">
        <is>
          <t>VÄSTERBOTTENS LÄN</t>
        </is>
      </c>
      <c r="E6356" t="inlineStr">
        <is>
          <t>LYCKSELE</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16229-2025</t>
        </is>
      </c>
      <c r="B6357" s="1" t="n">
        <v>45750.65299768518</v>
      </c>
      <c r="C6357" s="1" t="n">
        <v>45971</v>
      </c>
      <c r="D6357" t="inlineStr">
        <is>
          <t>VÄSTERBOTTENS LÄN</t>
        </is>
      </c>
      <c r="E6357" t="inlineStr">
        <is>
          <t>NORSJÖ</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16232-2025</t>
        </is>
      </c>
      <c r="B6358" s="1" t="n">
        <v>45750.65483796296</v>
      </c>
      <c r="C6358" s="1" t="n">
        <v>45971</v>
      </c>
      <c r="D6358" t="inlineStr">
        <is>
          <t>VÄSTERBOTTENS LÄN</t>
        </is>
      </c>
      <c r="E6358" t="inlineStr">
        <is>
          <t>NORSJÖ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16236-2025</t>
        </is>
      </c>
      <c r="B6359" s="1" t="n">
        <v>45750</v>
      </c>
      <c r="C6359" s="1" t="n">
        <v>45971</v>
      </c>
      <c r="D6359" t="inlineStr">
        <is>
          <t>VÄSTERBOTTENS LÄN</t>
        </is>
      </c>
      <c r="E6359" t="inlineStr">
        <is>
          <t>SKELLEFTEÅ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4638-2025</t>
        </is>
      </c>
      <c r="B6360" s="1" t="n">
        <v>45687.64986111111</v>
      </c>
      <c r="C6360" s="1" t="n">
        <v>45971</v>
      </c>
      <c r="D6360" t="inlineStr">
        <is>
          <t>VÄSTERBOTTENS LÄN</t>
        </is>
      </c>
      <c r="E6360" t="inlineStr">
        <is>
          <t>SKELLEFTEÅ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52871-2022</t>
        </is>
      </c>
      <c r="B6361" s="1" t="n">
        <v>44872</v>
      </c>
      <c r="C6361" s="1" t="n">
        <v>45971</v>
      </c>
      <c r="D6361" t="inlineStr">
        <is>
          <t>VÄSTERBOTTENS LÄN</t>
        </is>
      </c>
      <c r="E6361" t="inlineStr">
        <is>
          <t>SKELLEFTEÅ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48608-2025</t>
        </is>
      </c>
      <c r="B6362" s="1" t="n">
        <v>45936.4734837963</v>
      </c>
      <c r="C6362" s="1" t="n">
        <v>45971</v>
      </c>
      <c r="D6362" t="inlineStr">
        <is>
          <t>VÄSTERBOTTENS LÄN</t>
        </is>
      </c>
      <c r="E6362" t="inlineStr">
        <is>
          <t>SKELLEFTEÅ</t>
        </is>
      </c>
      <c r="F6362" t="inlineStr">
        <is>
          <t>Holmen skog AB</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16721-2025</t>
        </is>
      </c>
      <c r="B6363" s="1" t="n">
        <v>45754.49045138889</v>
      </c>
      <c r="C6363" s="1" t="n">
        <v>45971</v>
      </c>
      <c r="D6363" t="inlineStr">
        <is>
          <t>VÄSTERBOTTENS LÄN</t>
        </is>
      </c>
      <c r="E6363" t="inlineStr">
        <is>
          <t>VILHELMINA</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60376-2024</t>
        </is>
      </c>
      <c r="B6364" s="1" t="n">
        <v>45643</v>
      </c>
      <c r="C6364" s="1" t="n">
        <v>45971</v>
      </c>
      <c r="D6364" t="inlineStr">
        <is>
          <t>VÄSTERBOTTENS LÄN</t>
        </is>
      </c>
      <c r="E6364" t="inlineStr">
        <is>
          <t>VILHELMINA</t>
        </is>
      </c>
      <c r="F6364" t="inlineStr">
        <is>
          <t>SCA</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48651-2025</t>
        </is>
      </c>
      <c r="B6365" s="1" t="n">
        <v>45936.55251157407</v>
      </c>
      <c r="C6365" s="1" t="n">
        <v>45971</v>
      </c>
      <c r="D6365" t="inlineStr">
        <is>
          <t>VÄSTERBOTTENS LÄN</t>
        </is>
      </c>
      <c r="E6365" t="inlineStr">
        <is>
          <t>VILHELMINA</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40158-2025</t>
        </is>
      </c>
      <c r="B6366" s="1" t="n">
        <v>45894.60689814815</v>
      </c>
      <c r="C6366" s="1" t="n">
        <v>45971</v>
      </c>
      <c r="D6366" t="inlineStr">
        <is>
          <t>VÄSTERBOTTENS LÄN</t>
        </is>
      </c>
      <c r="E6366" t="inlineStr">
        <is>
          <t>UMEÅ</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19465-2025</t>
        </is>
      </c>
      <c r="B6367" s="1" t="n">
        <v>45770</v>
      </c>
      <c r="C6367" s="1" t="n">
        <v>45971</v>
      </c>
      <c r="D6367" t="inlineStr">
        <is>
          <t>VÄSTERBOTTENS LÄN</t>
        </is>
      </c>
      <c r="E6367" t="inlineStr">
        <is>
          <t>VILHELMINA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19466-2025</t>
        </is>
      </c>
      <c r="B6368" s="1" t="n">
        <v>45769</v>
      </c>
      <c r="C6368" s="1" t="n">
        <v>45971</v>
      </c>
      <c r="D6368" t="inlineStr">
        <is>
          <t>VÄSTERBOTTENS LÄN</t>
        </is>
      </c>
      <c r="E6368" t="inlineStr">
        <is>
          <t>DOROTEA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19467-2025</t>
        </is>
      </c>
      <c r="B6369" s="1" t="n">
        <v>45769</v>
      </c>
      <c r="C6369" s="1" t="n">
        <v>45971</v>
      </c>
      <c r="D6369" t="inlineStr">
        <is>
          <t>VÄSTERBOTTENS LÄN</t>
        </is>
      </c>
      <c r="E6369" t="inlineStr">
        <is>
          <t>DOROTEA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56123-2024</t>
        </is>
      </c>
      <c r="B6370" s="1" t="n">
        <v>45624.46928240741</v>
      </c>
      <c r="C6370" s="1" t="n">
        <v>45971</v>
      </c>
      <c r="D6370" t="inlineStr">
        <is>
          <t>VÄSTERBOTTENS LÄN</t>
        </is>
      </c>
      <c r="E6370" t="inlineStr">
        <is>
          <t>LYCKSELE</t>
        </is>
      </c>
      <c r="F6370" t="inlineStr">
        <is>
          <t>SCA</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39859-2025</t>
        </is>
      </c>
      <c r="B6371" s="1" t="n">
        <v>45891.59393518518</v>
      </c>
      <c r="C6371" s="1" t="n">
        <v>45971</v>
      </c>
      <c r="D6371" t="inlineStr">
        <is>
          <t>VÄSTERBOTTENS LÄN</t>
        </is>
      </c>
      <c r="E6371" t="inlineStr">
        <is>
          <t>ROBERTSFORS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50726-2024</t>
        </is>
      </c>
      <c r="B6372" s="1" t="n">
        <v>45602.3874537037</v>
      </c>
      <c r="C6372" s="1" t="n">
        <v>45971</v>
      </c>
      <c r="D6372" t="inlineStr">
        <is>
          <t>VÄSTERBOTTENS LÄN</t>
        </is>
      </c>
      <c r="E6372" t="inlineStr">
        <is>
          <t>BJURHOLM</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50728-2024</t>
        </is>
      </c>
      <c r="B6373" s="1" t="n">
        <v>45602.38762731481</v>
      </c>
      <c r="C6373" s="1" t="n">
        <v>45971</v>
      </c>
      <c r="D6373" t="inlineStr">
        <is>
          <t>VÄSTERBOTTENS LÄN</t>
        </is>
      </c>
      <c r="E6373" t="inlineStr">
        <is>
          <t>BJURHOLM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48264-2025</t>
        </is>
      </c>
      <c r="B6374" s="1" t="n">
        <v>45933.56834490741</v>
      </c>
      <c r="C6374" s="1" t="n">
        <v>45971</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14176-2023</t>
        </is>
      </c>
      <c r="B6375" s="1" t="n">
        <v>45009</v>
      </c>
      <c r="C6375" s="1" t="n">
        <v>45971</v>
      </c>
      <c r="D6375" t="inlineStr">
        <is>
          <t>VÄSTERBOTTENS LÄN</t>
        </is>
      </c>
      <c r="E6375" t="inlineStr">
        <is>
          <t>ROBERTSFORS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53899-2024</t>
        </is>
      </c>
      <c r="B6376" s="1" t="n">
        <v>45615.7033912037</v>
      </c>
      <c r="C6376" s="1" t="n">
        <v>45971</v>
      </c>
      <c r="D6376" t="inlineStr">
        <is>
          <t>VÄSTERBOTTENS LÄN</t>
        </is>
      </c>
      <c r="E6376" t="inlineStr">
        <is>
          <t>BJURHOLM</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60033-2024</t>
        </is>
      </c>
      <c r="B6377" s="1" t="n">
        <v>45642.46236111111</v>
      </c>
      <c r="C6377" s="1" t="n">
        <v>45971</v>
      </c>
      <c r="D6377" t="inlineStr">
        <is>
          <t>VÄSTERBOTTENS LÄN</t>
        </is>
      </c>
      <c r="E6377" t="inlineStr">
        <is>
          <t>VÄNNÄS</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61030-2022</t>
        </is>
      </c>
      <c r="B6378" s="1" t="n">
        <v>44914</v>
      </c>
      <c r="C6378" s="1" t="n">
        <v>45971</v>
      </c>
      <c r="D6378" t="inlineStr">
        <is>
          <t>VÄSTERBOTTENS LÄN</t>
        </is>
      </c>
      <c r="E6378" t="inlineStr">
        <is>
          <t>SORSELE</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61034-2022</t>
        </is>
      </c>
      <c r="B6379" s="1" t="n">
        <v>44914</v>
      </c>
      <c r="C6379" s="1" t="n">
        <v>45971</v>
      </c>
      <c r="D6379" t="inlineStr">
        <is>
          <t>VÄSTERBOTTENS LÄN</t>
        </is>
      </c>
      <c r="E6379" t="inlineStr">
        <is>
          <t>UMEÅ</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49366-2025</t>
        </is>
      </c>
      <c r="B6380" s="1" t="n">
        <v>45938.62356481481</v>
      </c>
      <c r="C6380" s="1" t="n">
        <v>45971</v>
      </c>
      <c r="D6380" t="inlineStr">
        <is>
          <t>VÄSTERBOTTENS LÄN</t>
        </is>
      </c>
      <c r="E6380" t="inlineStr">
        <is>
          <t>LYCKSELE</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22618-2024</t>
        </is>
      </c>
      <c r="B6381" s="1" t="n">
        <v>45447.65377314815</v>
      </c>
      <c r="C6381" s="1" t="n">
        <v>45971</v>
      </c>
      <c r="D6381" t="inlineStr">
        <is>
          <t>VÄSTERBOTTENS LÄN</t>
        </is>
      </c>
      <c r="E6381" t="inlineStr">
        <is>
          <t>NORDMALING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37714-2024</t>
        </is>
      </c>
      <c r="B6382" s="1" t="n">
        <v>45541.63569444444</v>
      </c>
      <c r="C6382" s="1" t="n">
        <v>45971</v>
      </c>
      <c r="D6382" t="inlineStr">
        <is>
          <t>VÄSTERBOTTENS LÄN</t>
        </is>
      </c>
      <c r="E6382" t="inlineStr">
        <is>
          <t>VILHELMINA</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61406-2024</t>
        </is>
      </c>
      <c r="B6383" s="1" t="n">
        <v>45646.43638888889</v>
      </c>
      <c r="C6383" s="1" t="n">
        <v>45971</v>
      </c>
      <c r="D6383" t="inlineStr">
        <is>
          <t>VÄSTERBOTTENS LÄN</t>
        </is>
      </c>
      <c r="E6383" t="inlineStr">
        <is>
          <t>ROBERTSFORS</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13879-2025</t>
        </is>
      </c>
      <c r="B6384" s="1" t="n">
        <v>45737</v>
      </c>
      <c r="C6384" s="1" t="n">
        <v>45971</v>
      </c>
      <c r="D6384" t="inlineStr">
        <is>
          <t>VÄSTERBOTTENS LÄN</t>
        </is>
      </c>
      <c r="E6384" t="inlineStr">
        <is>
          <t>ÅSELE</t>
        </is>
      </c>
      <c r="F6384" t="inlineStr">
        <is>
          <t>SCA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13883-2025</t>
        </is>
      </c>
      <c r="B6385" s="1" t="n">
        <v>45737.6024537037</v>
      </c>
      <c r="C6385" s="1" t="n">
        <v>45971</v>
      </c>
      <c r="D6385" t="inlineStr">
        <is>
          <t>VÄSTERBOTTENS LÄN</t>
        </is>
      </c>
      <c r="E6385" t="inlineStr">
        <is>
          <t>LYCKSELE</t>
        </is>
      </c>
      <c r="F6385" t="inlineStr">
        <is>
          <t>Naturvårdsverket</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22656-2024</t>
        </is>
      </c>
      <c r="B6386" s="1" t="n">
        <v>45447</v>
      </c>
      <c r="C6386" s="1" t="n">
        <v>45971</v>
      </c>
      <c r="D6386" t="inlineStr">
        <is>
          <t>VÄSTERBOTTENS LÄN</t>
        </is>
      </c>
      <c r="E6386" t="inlineStr">
        <is>
          <t>ROBERTSFORS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22657-2024</t>
        </is>
      </c>
      <c r="B6387" s="1" t="n">
        <v>45447</v>
      </c>
      <c r="C6387" s="1" t="n">
        <v>45971</v>
      </c>
      <c r="D6387" t="inlineStr">
        <is>
          <t>VÄSTERBOTTENS LÄN</t>
        </is>
      </c>
      <c r="E6387" t="inlineStr">
        <is>
          <t>SORSELE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23446-2024</t>
        </is>
      </c>
      <c r="B6388" s="1" t="n">
        <v>45453</v>
      </c>
      <c r="C6388" s="1" t="n">
        <v>45971</v>
      </c>
      <c r="D6388" t="inlineStr">
        <is>
          <t>VÄSTERBOTTENS LÄN</t>
        </is>
      </c>
      <c r="E6388" t="inlineStr">
        <is>
          <t>VINDELN</t>
        </is>
      </c>
      <c r="F6388" t="inlineStr">
        <is>
          <t>Holmen skog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37715-2024</t>
        </is>
      </c>
      <c r="B6389" s="1" t="n">
        <v>45541.63581018519</v>
      </c>
      <c r="C6389" s="1" t="n">
        <v>45971</v>
      </c>
      <c r="D6389" t="inlineStr">
        <is>
          <t>VÄSTERBOTTENS LÄN</t>
        </is>
      </c>
      <c r="E6389" t="inlineStr">
        <is>
          <t>VILHELMINA</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44285-2024</t>
        </is>
      </c>
      <c r="B6390" s="1" t="n">
        <v>45573</v>
      </c>
      <c r="C6390" s="1" t="n">
        <v>45971</v>
      </c>
      <c r="D6390" t="inlineStr">
        <is>
          <t>VÄSTERBOTTENS LÄN</t>
        </is>
      </c>
      <c r="E6390" t="inlineStr">
        <is>
          <t>VILHELMINA</t>
        </is>
      </c>
      <c r="G6390" t="n">
        <v>30.9</v>
      </c>
      <c r="H6390" t="n">
        <v>0</v>
      </c>
      <c r="I6390" t="n">
        <v>0</v>
      </c>
      <c r="J6390" t="n">
        <v>0</v>
      </c>
      <c r="K6390" t="n">
        <v>0</v>
      </c>
      <c r="L6390" t="n">
        <v>0</v>
      </c>
      <c r="M6390" t="n">
        <v>0</v>
      </c>
      <c r="N6390" t="n">
        <v>0</v>
      </c>
      <c r="O6390" t="n">
        <v>0</v>
      </c>
      <c r="P6390" t="n">
        <v>0</v>
      </c>
      <c r="Q6390" t="n">
        <v>0</v>
      </c>
      <c r="R6390" s="2" t="inlineStr"/>
    </row>
    <row r="6391" ht="15" customHeight="1">
      <c r="A6391" t="inlineStr">
        <is>
          <t>A 61280-2023</t>
        </is>
      </c>
      <c r="B6391" s="1" t="n">
        <v>45260</v>
      </c>
      <c r="C6391" s="1" t="n">
        <v>45971</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54365-2024</t>
        </is>
      </c>
      <c r="B6392" s="1" t="n">
        <v>45617.41984953704</v>
      </c>
      <c r="C6392" s="1" t="n">
        <v>45971</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2018-2025</t>
        </is>
      </c>
      <c r="B6393" s="1" t="n">
        <v>45672</v>
      </c>
      <c r="C6393" s="1" t="n">
        <v>45971</v>
      </c>
      <c r="D6393" t="inlineStr">
        <is>
          <t>VÄSTERBOTTENS LÄN</t>
        </is>
      </c>
      <c r="E6393" t="inlineStr">
        <is>
          <t>VÄNNÄS</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9976-2024</t>
        </is>
      </c>
      <c r="B6394" s="1" t="n">
        <v>45363</v>
      </c>
      <c r="C6394" s="1" t="n">
        <v>45971</v>
      </c>
      <c r="D6394" t="inlineStr">
        <is>
          <t>VÄSTERBOTTENS LÄN</t>
        </is>
      </c>
      <c r="E6394" t="inlineStr">
        <is>
          <t>LYCKSELE</t>
        </is>
      </c>
      <c r="F6394" t="inlineStr">
        <is>
          <t>Holmen skog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2020-2025</t>
        </is>
      </c>
      <c r="B6395" s="1" t="n">
        <v>45672</v>
      </c>
      <c r="C6395" s="1" t="n">
        <v>45971</v>
      </c>
      <c r="D6395" t="inlineStr">
        <is>
          <t>VÄSTERBOTTENS LÄN</t>
        </is>
      </c>
      <c r="E6395" t="inlineStr">
        <is>
          <t>VÄNNÄS</t>
        </is>
      </c>
      <c r="F6395" t="inlineStr">
        <is>
          <t>Kommuner</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47155-2023</t>
        </is>
      </c>
      <c r="B6396" s="1" t="n">
        <v>45201.92517361111</v>
      </c>
      <c r="C6396" s="1" t="n">
        <v>45971</v>
      </c>
      <c r="D6396" t="inlineStr">
        <is>
          <t>VÄSTERBOTTENS LÄN</t>
        </is>
      </c>
      <c r="E6396" t="inlineStr">
        <is>
          <t>SKELLEFTEÅ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69519-2021</t>
        </is>
      </c>
      <c r="B6397" s="1" t="n">
        <v>44531</v>
      </c>
      <c r="C6397" s="1" t="n">
        <v>45971</v>
      </c>
      <c r="D6397" t="inlineStr">
        <is>
          <t>VÄSTERBOTTENS LÄN</t>
        </is>
      </c>
      <c r="E6397" t="inlineStr">
        <is>
          <t>NORDMALING</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10485-2023</t>
        </is>
      </c>
      <c r="B6398" s="1" t="n">
        <v>44981</v>
      </c>
      <c r="C6398" s="1" t="n">
        <v>45971</v>
      </c>
      <c r="D6398" t="inlineStr">
        <is>
          <t>VÄSTERBOTTENS LÄN</t>
        </is>
      </c>
      <c r="E6398" t="inlineStr">
        <is>
          <t>LYCKSELE</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20600-2023</t>
        </is>
      </c>
      <c r="B6399" s="1" t="n">
        <v>45057</v>
      </c>
      <c r="C6399" s="1" t="n">
        <v>45971</v>
      </c>
      <c r="D6399" t="inlineStr">
        <is>
          <t>VÄSTERBOTTENS LÄN</t>
        </is>
      </c>
      <c r="E6399" t="inlineStr">
        <is>
          <t>DOROTEA</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48983-2025</t>
        </is>
      </c>
      <c r="B6400" s="1" t="n">
        <v>45937.5740162037</v>
      </c>
      <c r="C6400" s="1" t="n">
        <v>45971</v>
      </c>
      <c r="D6400" t="inlineStr">
        <is>
          <t>VÄSTERBOTTENS LÄN</t>
        </is>
      </c>
      <c r="E6400" t="inlineStr">
        <is>
          <t>MALÅ</t>
        </is>
      </c>
      <c r="F6400" t="inlineStr">
        <is>
          <t>SCA</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49006-2025</t>
        </is>
      </c>
      <c r="B6401" s="1" t="n">
        <v>45936</v>
      </c>
      <c r="C6401" s="1" t="n">
        <v>45971</v>
      </c>
      <c r="D6401" t="inlineStr">
        <is>
          <t>VÄSTERBOTTENS LÄN</t>
        </is>
      </c>
      <c r="E6401" t="inlineStr">
        <is>
          <t>NORSJÖ</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55919-2024</t>
        </is>
      </c>
      <c r="B6402" s="1" t="n">
        <v>45623.59846064815</v>
      </c>
      <c r="C6402" s="1" t="n">
        <v>45971</v>
      </c>
      <c r="D6402" t="inlineStr">
        <is>
          <t>VÄSTERBOTTENS LÄN</t>
        </is>
      </c>
      <c r="E6402" t="inlineStr">
        <is>
          <t>NORSJÖ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49044-2025</t>
        </is>
      </c>
      <c r="B6403" s="1" t="n">
        <v>45937.63645833333</v>
      </c>
      <c r="C6403" s="1" t="n">
        <v>45971</v>
      </c>
      <c r="D6403" t="inlineStr">
        <is>
          <t>VÄSTERBOTTENS LÄN</t>
        </is>
      </c>
      <c r="E6403" t="inlineStr">
        <is>
          <t>DOROTEA</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49148-2025</t>
        </is>
      </c>
      <c r="B6404" s="1" t="n">
        <v>45938.33891203703</v>
      </c>
      <c r="C6404" s="1" t="n">
        <v>45971</v>
      </c>
      <c r="D6404" t="inlineStr">
        <is>
          <t>VÄSTERBOTTENS LÄN</t>
        </is>
      </c>
      <c r="E6404" t="inlineStr">
        <is>
          <t>ROBERTSFORS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11824-2023</t>
        </is>
      </c>
      <c r="B6405" s="1" t="n">
        <v>44994</v>
      </c>
      <c r="C6405" s="1" t="n">
        <v>45971</v>
      </c>
      <c r="D6405" t="inlineStr">
        <is>
          <t>VÄSTERBOTTENS LÄN</t>
        </is>
      </c>
      <c r="E6405" t="inlineStr">
        <is>
          <t>MALÅ</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8658-2025</t>
        </is>
      </c>
      <c r="B6406" s="1" t="n">
        <v>45712.38586805556</v>
      </c>
      <c r="C6406" s="1" t="n">
        <v>45971</v>
      </c>
      <c r="D6406" t="inlineStr">
        <is>
          <t>VÄSTERBOTTENS LÄN</t>
        </is>
      </c>
      <c r="E6406" t="inlineStr">
        <is>
          <t>SKELLEFTEÅ</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8663-2025</t>
        </is>
      </c>
      <c r="B6407" s="1" t="n">
        <v>45712.39594907407</v>
      </c>
      <c r="C6407" s="1" t="n">
        <v>45971</v>
      </c>
      <c r="D6407" t="inlineStr">
        <is>
          <t>VÄSTERBOTTENS LÄN</t>
        </is>
      </c>
      <c r="E6407" t="inlineStr">
        <is>
          <t>BJURHOLM</t>
        </is>
      </c>
      <c r="F6407" t="inlineStr">
        <is>
          <t>Holmen skog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40608-2025</t>
        </is>
      </c>
      <c r="B6408" s="1" t="n">
        <v>45896.57358796296</v>
      </c>
      <c r="C6408" s="1" t="n">
        <v>45971</v>
      </c>
      <c r="D6408" t="inlineStr">
        <is>
          <t>VÄSTERBOTTENS LÄN</t>
        </is>
      </c>
      <c r="E6408" t="inlineStr">
        <is>
          <t>NORDMALING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40375-2025</t>
        </is>
      </c>
      <c r="B6409" s="1" t="n">
        <v>45895.52715277778</v>
      </c>
      <c r="C6409" s="1" t="n">
        <v>45971</v>
      </c>
      <c r="D6409" t="inlineStr">
        <is>
          <t>VÄSTERBOTTENS LÄN</t>
        </is>
      </c>
      <c r="E6409" t="inlineStr">
        <is>
          <t>ROBERTSFORS</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8686-2025</t>
        </is>
      </c>
      <c r="B6410" s="1" t="n">
        <v>45712.45840277777</v>
      </c>
      <c r="C6410" s="1" t="n">
        <v>45971</v>
      </c>
      <c r="D6410" t="inlineStr">
        <is>
          <t>VÄSTERBOTTENS LÄN</t>
        </is>
      </c>
      <c r="E6410" t="inlineStr">
        <is>
          <t>ROBERTSFORS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8689-2025</t>
        </is>
      </c>
      <c r="B6411" s="1" t="n">
        <v>45712</v>
      </c>
      <c r="C6411" s="1" t="n">
        <v>45971</v>
      </c>
      <c r="D6411" t="inlineStr">
        <is>
          <t>VÄSTERBOTTENS LÄN</t>
        </is>
      </c>
      <c r="E6411" t="inlineStr">
        <is>
          <t>SKELLEFTEÅ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49382-2025</t>
        </is>
      </c>
      <c r="B6412" s="1" t="n">
        <v>45938.63704861111</v>
      </c>
      <c r="C6412" s="1" t="n">
        <v>45971</v>
      </c>
      <c r="D6412" t="inlineStr">
        <is>
          <t>VÄSTERBOTTENS LÄN</t>
        </is>
      </c>
      <c r="E6412" t="inlineStr">
        <is>
          <t>BJURHOLM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40268-2025</t>
        </is>
      </c>
      <c r="B6413" s="1" t="n">
        <v>45895.34515046296</v>
      </c>
      <c r="C6413" s="1" t="n">
        <v>45971</v>
      </c>
      <c r="D6413" t="inlineStr">
        <is>
          <t>VÄSTERBOTTENS LÄN</t>
        </is>
      </c>
      <c r="E6413" t="inlineStr">
        <is>
          <t>BJURHOLM</t>
        </is>
      </c>
      <c r="G6413" t="n">
        <v>20.9</v>
      </c>
      <c r="H6413" t="n">
        <v>0</v>
      </c>
      <c r="I6413" t="n">
        <v>0</v>
      </c>
      <c r="J6413" t="n">
        <v>0</v>
      </c>
      <c r="K6413" t="n">
        <v>0</v>
      </c>
      <c r="L6413" t="n">
        <v>0</v>
      </c>
      <c r="M6413" t="n">
        <v>0</v>
      </c>
      <c r="N6413" t="n">
        <v>0</v>
      </c>
      <c r="O6413" t="n">
        <v>0</v>
      </c>
      <c r="P6413" t="n">
        <v>0</v>
      </c>
      <c r="Q6413" t="n">
        <v>0</v>
      </c>
      <c r="R6413" s="2" t="inlineStr"/>
    </row>
    <row r="6414" ht="15" customHeight="1">
      <c r="A6414" t="inlineStr">
        <is>
          <t>A 49312-2025</t>
        </is>
      </c>
      <c r="B6414" s="1" t="n">
        <v>45938.56427083333</v>
      </c>
      <c r="C6414" s="1" t="n">
        <v>45971</v>
      </c>
      <c r="D6414" t="inlineStr">
        <is>
          <t>VÄSTERBOTTENS LÄN</t>
        </is>
      </c>
      <c r="E6414" t="inlineStr">
        <is>
          <t>UMEÅ</t>
        </is>
      </c>
      <c r="F6414" t="inlineStr">
        <is>
          <t>Sveaskog</t>
        </is>
      </c>
      <c r="G6414" t="n">
        <v>30.6</v>
      </c>
      <c r="H6414" t="n">
        <v>0</v>
      </c>
      <c r="I6414" t="n">
        <v>0</v>
      </c>
      <c r="J6414" t="n">
        <v>0</v>
      </c>
      <c r="K6414" t="n">
        <v>0</v>
      </c>
      <c r="L6414" t="n">
        <v>0</v>
      </c>
      <c r="M6414" t="n">
        <v>0</v>
      </c>
      <c r="N6414" t="n">
        <v>0</v>
      </c>
      <c r="O6414" t="n">
        <v>0</v>
      </c>
      <c r="P6414" t="n">
        <v>0</v>
      </c>
      <c r="Q6414" t="n">
        <v>0</v>
      </c>
      <c r="R6414" s="2" t="inlineStr"/>
    </row>
    <row r="6415" ht="15" customHeight="1">
      <c r="A6415" t="inlineStr">
        <is>
          <t>A 14238-2025</t>
        </is>
      </c>
      <c r="B6415" s="1" t="n">
        <v>45740.6105787037</v>
      </c>
      <c r="C6415" s="1" t="n">
        <v>45971</v>
      </c>
      <c r="D6415" t="inlineStr">
        <is>
          <t>VÄSTERBOTTENS LÄN</t>
        </is>
      </c>
      <c r="E6415" t="inlineStr">
        <is>
          <t>SKELLEFTEÅ</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26397-2022</t>
        </is>
      </c>
      <c r="B6416" s="1" t="n">
        <v>44735</v>
      </c>
      <c r="C6416" s="1" t="n">
        <v>45971</v>
      </c>
      <c r="D6416" t="inlineStr">
        <is>
          <t>VÄSTERBOTTENS LÄN</t>
        </is>
      </c>
      <c r="E6416" t="inlineStr">
        <is>
          <t>LYCKSELE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49299-2025</t>
        </is>
      </c>
      <c r="B6417" s="1" t="n">
        <v>45938.54065972222</v>
      </c>
      <c r="C6417" s="1" t="n">
        <v>45971</v>
      </c>
      <c r="D6417" t="inlineStr">
        <is>
          <t>VÄSTERBOTTENS LÄN</t>
        </is>
      </c>
      <c r="E6417" t="inlineStr">
        <is>
          <t>SKELLEFTEÅ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49185-2025</t>
        </is>
      </c>
      <c r="B6418" s="1" t="n">
        <v>45938.40478009259</v>
      </c>
      <c r="C6418" s="1" t="n">
        <v>45971</v>
      </c>
      <c r="D6418" t="inlineStr">
        <is>
          <t>VÄSTERBOTTENS LÄN</t>
        </is>
      </c>
      <c r="E6418" t="inlineStr">
        <is>
          <t>UMEÅ</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49187-2025</t>
        </is>
      </c>
      <c r="B6419" s="1" t="n">
        <v>45938.40701388889</v>
      </c>
      <c r="C6419" s="1" t="n">
        <v>45971</v>
      </c>
      <c r="D6419" t="inlineStr">
        <is>
          <t>VÄSTERBOTTENS LÄN</t>
        </is>
      </c>
      <c r="E6419" t="inlineStr">
        <is>
          <t>LYCKSELE</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58624-2023</t>
        </is>
      </c>
      <c r="B6420" s="1" t="n">
        <v>45251</v>
      </c>
      <c r="C6420" s="1" t="n">
        <v>45971</v>
      </c>
      <c r="D6420" t="inlineStr">
        <is>
          <t>VÄSTERBOTTENS LÄN</t>
        </is>
      </c>
      <c r="E6420" t="inlineStr">
        <is>
          <t>ROBERTSFORS</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49280-2025</t>
        </is>
      </c>
      <c r="B6421" s="1" t="n">
        <v>45938.51097222222</v>
      </c>
      <c r="C6421" s="1" t="n">
        <v>45971</v>
      </c>
      <c r="D6421" t="inlineStr">
        <is>
          <t>VÄSTERBOTTENS LÄN</t>
        </is>
      </c>
      <c r="E6421" t="inlineStr">
        <is>
          <t>NORDMALING</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62721-2023</t>
        </is>
      </c>
      <c r="B6422" s="1" t="n">
        <v>45271</v>
      </c>
      <c r="C6422" s="1" t="n">
        <v>45971</v>
      </c>
      <c r="D6422" t="inlineStr">
        <is>
          <t>VÄSTERBOTTENS LÄN</t>
        </is>
      </c>
      <c r="E6422" t="inlineStr">
        <is>
          <t>UMEÅ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37606-2025</t>
        </is>
      </c>
      <c r="B6423" s="1" t="n">
        <v>45880</v>
      </c>
      <c r="C6423" s="1" t="n">
        <v>45971</v>
      </c>
      <c r="D6423" t="inlineStr">
        <is>
          <t>VÄSTERBOTTENS LÄN</t>
        </is>
      </c>
      <c r="E6423" t="inlineStr">
        <is>
          <t>DOROTEA</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49142-2025</t>
        </is>
      </c>
      <c r="B6424" s="1" t="n">
        <v>45938.32196759259</v>
      </c>
      <c r="C6424" s="1" t="n">
        <v>45971</v>
      </c>
      <c r="D6424" t="inlineStr">
        <is>
          <t>VÄSTERBOTTENS LÄN</t>
        </is>
      </c>
      <c r="E6424" t="inlineStr">
        <is>
          <t>UMEÅ</t>
        </is>
      </c>
      <c r="F6424" t="inlineStr">
        <is>
          <t>Holmen skog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49158-2025</t>
        </is>
      </c>
      <c r="B6425" s="1" t="n">
        <v>45938.34753472222</v>
      </c>
      <c r="C6425" s="1" t="n">
        <v>45971</v>
      </c>
      <c r="D6425" t="inlineStr">
        <is>
          <t>VÄSTERBOTTENS LÄN</t>
        </is>
      </c>
      <c r="E6425" t="inlineStr">
        <is>
          <t>ROBERTSFORS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49227-2025</t>
        </is>
      </c>
      <c r="B6426" s="1" t="n">
        <v>45938.46792824074</v>
      </c>
      <c r="C6426" s="1" t="n">
        <v>45971</v>
      </c>
      <c r="D6426" t="inlineStr">
        <is>
          <t>VÄSTERBOTTENS LÄN</t>
        </is>
      </c>
      <c r="E6426" t="inlineStr">
        <is>
          <t>VINDELN</t>
        </is>
      </c>
      <c r="F6426" t="inlineStr">
        <is>
          <t>Sveaskog</t>
        </is>
      </c>
      <c r="G6426" t="n">
        <v>25.3</v>
      </c>
      <c r="H6426" t="n">
        <v>0</v>
      </c>
      <c r="I6426" t="n">
        <v>0</v>
      </c>
      <c r="J6426" t="n">
        <v>0</v>
      </c>
      <c r="K6426" t="n">
        <v>0</v>
      </c>
      <c r="L6426" t="n">
        <v>0</v>
      </c>
      <c r="M6426" t="n">
        <v>0</v>
      </c>
      <c r="N6426" t="n">
        <v>0</v>
      </c>
      <c r="O6426" t="n">
        <v>0</v>
      </c>
      <c r="P6426" t="n">
        <v>0</v>
      </c>
      <c r="Q6426" t="n">
        <v>0</v>
      </c>
      <c r="R6426" s="2" t="inlineStr"/>
    </row>
    <row r="6427" ht="15" customHeight="1">
      <c r="A6427" t="inlineStr">
        <is>
          <t>A 49144-2025</t>
        </is>
      </c>
      <c r="B6427" s="1" t="n">
        <v>45938.32828703704</v>
      </c>
      <c r="C6427" s="1" t="n">
        <v>45971</v>
      </c>
      <c r="D6427" t="inlineStr">
        <is>
          <t>VÄSTERBOTTENS LÄN</t>
        </is>
      </c>
      <c r="E6427" t="inlineStr">
        <is>
          <t>ROBERTSFORS</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40479-2025</t>
        </is>
      </c>
      <c r="B6428" s="1" t="n">
        <v>45895.72991898148</v>
      </c>
      <c r="C6428" s="1" t="n">
        <v>45971</v>
      </c>
      <c r="D6428" t="inlineStr">
        <is>
          <t>VÄSTERBOTTENS LÄN</t>
        </is>
      </c>
      <c r="E6428" t="inlineStr">
        <is>
          <t>ÅSELE</t>
        </is>
      </c>
      <c r="F6428" t="inlineStr">
        <is>
          <t>Naturvårdsverket</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40638-2025</t>
        </is>
      </c>
      <c r="B6429" s="1" t="n">
        <v>45896.60637731481</v>
      </c>
      <c r="C6429" s="1" t="n">
        <v>45971</v>
      </c>
      <c r="D6429" t="inlineStr">
        <is>
          <t>VÄSTERBOTTENS LÄN</t>
        </is>
      </c>
      <c r="E6429" t="inlineStr">
        <is>
          <t>ROBERTSFORS</t>
        </is>
      </c>
      <c r="F6429" t="inlineStr">
        <is>
          <t>Holmen skog AB</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64421-2023</t>
        </is>
      </c>
      <c r="B6430" s="1" t="n">
        <v>45280</v>
      </c>
      <c r="C6430" s="1" t="n">
        <v>45971</v>
      </c>
      <c r="D6430" t="inlineStr">
        <is>
          <t>VÄSTERBOTTENS LÄN</t>
        </is>
      </c>
      <c r="E6430" t="inlineStr">
        <is>
          <t>VILHELMINA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40656-2025</t>
        </is>
      </c>
      <c r="B6431" s="1" t="n">
        <v>45896.63652777778</v>
      </c>
      <c r="C6431" s="1" t="n">
        <v>45971</v>
      </c>
      <c r="D6431" t="inlineStr">
        <is>
          <t>VÄSTERBOTTENS LÄN</t>
        </is>
      </c>
      <c r="E6431" t="inlineStr">
        <is>
          <t>NORSJÖ</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40666-2025</t>
        </is>
      </c>
      <c r="B6432" s="1" t="n">
        <v>45896.65674768519</v>
      </c>
      <c r="C6432" s="1" t="n">
        <v>45971</v>
      </c>
      <c r="D6432" t="inlineStr">
        <is>
          <t>VÄSTERBOTTENS LÄN</t>
        </is>
      </c>
      <c r="E6432" t="inlineStr">
        <is>
          <t>NORSJÖ</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57410-2024</t>
        </is>
      </c>
      <c r="B6433" s="1" t="n">
        <v>45629</v>
      </c>
      <c r="C6433" s="1" t="n">
        <v>45971</v>
      </c>
      <c r="D6433" t="inlineStr">
        <is>
          <t>VÄSTERBOTTENS LÄN</t>
        </is>
      </c>
      <c r="E6433" t="inlineStr">
        <is>
          <t>UMEÅ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27305-2024</t>
        </is>
      </c>
      <c r="B6434" s="1" t="n">
        <v>45471.9444212963</v>
      </c>
      <c r="C6434" s="1" t="n">
        <v>45971</v>
      </c>
      <c r="D6434" t="inlineStr">
        <is>
          <t>VÄSTERBOTTENS LÄN</t>
        </is>
      </c>
      <c r="E6434" t="inlineStr">
        <is>
          <t>DOROTEA</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48852-2025</t>
        </is>
      </c>
      <c r="B6435" s="1" t="n">
        <v>45937.43040509259</v>
      </c>
      <c r="C6435" s="1" t="n">
        <v>45971</v>
      </c>
      <c r="D6435" t="inlineStr">
        <is>
          <t>VÄSTERBOTTENS LÄN</t>
        </is>
      </c>
      <c r="E6435" t="inlineStr">
        <is>
          <t>VÄNNÄS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40349-2025</t>
        </is>
      </c>
      <c r="B6436" s="1" t="n">
        <v>45895.48251157408</v>
      </c>
      <c r="C6436" s="1" t="n">
        <v>45971</v>
      </c>
      <c r="D6436" t="inlineStr">
        <is>
          <t>VÄSTERBOTTENS LÄN</t>
        </is>
      </c>
      <c r="E6436" t="inlineStr">
        <is>
          <t>ÅSELE</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48994-2025</t>
        </is>
      </c>
      <c r="B6437" s="1" t="n">
        <v>45937.58686342592</v>
      </c>
      <c r="C6437" s="1" t="n">
        <v>45971</v>
      </c>
      <c r="D6437" t="inlineStr">
        <is>
          <t>VÄSTERBOTTENS LÄN</t>
        </is>
      </c>
      <c r="E6437" t="inlineStr">
        <is>
          <t>MALÅ</t>
        </is>
      </c>
      <c r="F6437" t="inlineStr">
        <is>
          <t>Sveaskog</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63356-2023</t>
        </is>
      </c>
      <c r="B6438" s="1" t="n">
        <v>45274.44392361111</v>
      </c>
      <c r="C6438" s="1" t="n">
        <v>45971</v>
      </c>
      <c r="D6438" t="inlineStr">
        <is>
          <t>VÄSTERBOTTENS LÄN</t>
        </is>
      </c>
      <c r="E6438" t="inlineStr">
        <is>
          <t>MALÅ</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51740-2024</t>
        </is>
      </c>
      <c r="B6439" s="1" t="n">
        <v>45607.40678240741</v>
      </c>
      <c r="C6439" s="1" t="n">
        <v>45971</v>
      </c>
      <c r="D6439" t="inlineStr">
        <is>
          <t>VÄSTERBOTTENS LÄN</t>
        </is>
      </c>
      <c r="E6439" t="inlineStr">
        <is>
          <t>DOROTEA</t>
        </is>
      </c>
      <c r="F6439" t="inlineStr">
        <is>
          <t>SCA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51741-2024</t>
        </is>
      </c>
      <c r="B6440" s="1" t="n">
        <v>45607.40694444445</v>
      </c>
      <c r="C6440" s="1" t="n">
        <v>45971</v>
      </c>
      <c r="D6440" t="inlineStr">
        <is>
          <t>VÄSTERBOTTENS LÄN</t>
        </is>
      </c>
      <c r="E6440" t="inlineStr">
        <is>
          <t>DOROTEA</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41299-2024</t>
        </is>
      </c>
      <c r="B6441" s="1" t="n">
        <v>45559.61635416667</v>
      </c>
      <c r="C6441" s="1" t="n">
        <v>45971</v>
      </c>
      <c r="D6441" t="inlineStr">
        <is>
          <t>VÄSTERBOTTENS LÄN</t>
        </is>
      </c>
      <c r="E6441" t="inlineStr">
        <is>
          <t>ROBERTSFORS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41300-2024</t>
        </is>
      </c>
      <c r="B6442" s="1" t="n">
        <v>45559.61655092592</v>
      </c>
      <c r="C6442" s="1" t="n">
        <v>45971</v>
      </c>
      <c r="D6442" t="inlineStr">
        <is>
          <t>VÄSTERBOTTENS LÄN</t>
        </is>
      </c>
      <c r="E6442" t="inlineStr">
        <is>
          <t>ÅSELE</t>
        </is>
      </c>
      <c r="F6442" t="inlineStr">
        <is>
          <t>Naturvårdsverket</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41321-2024</t>
        </is>
      </c>
      <c r="B6443" s="1" t="n">
        <v>45559.64984953704</v>
      </c>
      <c r="C6443" s="1" t="n">
        <v>45971</v>
      </c>
      <c r="D6443" t="inlineStr">
        <is>
          <t>VÄSTERBOTTENS LÄN</t>
        </is>
      </c>
      <c r="E6443" t="inlineStr">
        <is>
          <t>ÅSELE</t>
        </is>
      </c>
      <c r="F6443" t="inlineStr">
        <is>
          <t>Naturvårdsverket</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50617-2024</t>
        </is>
      </c>
      <c r="B6444" s="1" t="n">
        <v>45601.6375462963</v>
      </c>
      <c r="C6444" s="1" t="n">
        <v>45971</v>
      </c>
      <c r="D6444" t="inlineStr">
        <is>
          <t>VÄSTERBOTTENS LÄN</t>
        </is>
      </c>
      <c r="E6444" t="inlineStr">
        <is>
          <t>NORSJÖ</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50621-2024</t>
        </is>
      </c>
      <c r="B6445" s="1" t="n">
        <v>45601</v>
      </c>
      <c r="C6445" s="1" t="n">
        <v>45971</v>
      </c>
      <c r="D6445" t="inlineStr">
        <is>
          <t>VÄSTERBOTTENS LÄN</t>
        </is>
      </c>
      <c r="E6445" t="inlineStr">
        <is>
          <t>VINDELN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49070-2025</t>
        </is>
      </c>
      <c r="B6446" s="1" t="n">
        <v>45937.65115740741</v>
      </c>
      <c r="C6446" s="1" t="n">
        <v>45971</v>
      </c>
      <c r="D6446" t="inlineStr">
        <is>
          <t>VÄSTERBOTTENS LÄN</t>
        </is>
      </c>
      <c r="E6446" t="inlineStr">
        <is>
          <t>MALÅ</t>
        </is>
      </c>
      <c r="F6446" t="inlineStr">
        <is>
          <t>Sveaskog</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6288-2021</t>
        </is>
      </c>
      <c r="B6447" s="1" t="n">
        <v>44235</v>
      </c>
      <c r="C6447" s="1" t="n">
        <v>45971</v>
      </c>
      <c r="D6447" t="inlineStr">
        <is>
          <t>VÄSTERBOTTENS LÄN</t>
        </is>
      </c>
      <c r="E6447" t="inlineStr">
        <is>
          <t>VÄNNÄS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48820-2025</t>
        </is>
      </c>
      <c r="B6448" s="1" t="n">
        <v>45937.37208333334</v>
      </c>
      <c r="C6448" s="1" t="n">
        <v>45971</v>
      </c>
      <c r="D6448" t="inlineStr">
        <is>
          <t>VÄSTERBOTTENS LÄN</t>
        </is>
      </c>
      <c r="E6448" t="inlineStr">
        <is>
          <t>ÅSELE</t>
        </is>
      </c>
      <c r="F6448" t="inlineStr">
        <is>
          <t>Holmen skog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48878-2025</t>
        </is>
      </c>
      <c r="B6449" s="1" t="n">
        <v>45937.45689814815</v>
      </c>
      <c r="C6449" s="1" t="n">
        <v>45971</v>
      </c>
      <c r="D6449" t="inlineStr">
        <is>
          <t>VÄSTERBOTTENS LÄN</t>
        </is>
      </c>
      <c r="E6449" t="inlineStr">
        <is>
          <t>ÅSELE</t>
        </is>
      </c>
      <c r="F6449" t="inlineStr">
        <is>
          <t>Sveaskog</t>
        </is>
      </c>
      <c r="G6449" t="n">
        <v>16.6</v>
      </c>
      <c r="H6449" t="n">
        <v>0</v>
      </c>
      <c r="I6449" t="n">
        <v>0</v>
      </c>
      <c r="J6449" t="n">
        <v>0</v>
      </c>
      <c r="K6449" t="n">
        <v>0</v>
      </c>
      <c r="L6449" t="n">
        <v>0</v>
      </c>
      <c r="M6449" t="n">
        <v>0</v>
      </c>
      <c r="N6449" t="n">
        <v>0</v>
      </c>
      <c r="O6449" t="n">
        <v>0</v>
      </c>
      <c r="P6449" t="n">
        <v>0</v>
      </c>
      <c r="Q6449" t="n">
        <v>0</v>
      </c>
      <c r="R6449" s="2" t="inlineStr"/>
    </row>
    <row r="6450" ht="15" customHeight="1">
      <c r="A6450" t="inlineStr">
        <is>
          <t>A 26926-2024</t>
        </is>
      </c>
      <c r="B6450" s="1" t="n">
        <v>45470</v>
      </c>
      <c r="C6450" s="1" t="n">
        <v>45971</v>
      </c>
      <c r="D6450" t="inlineStr">
        <is>
          <t>VÄSTERBOTTENS LÄN</t>
        </is>
      </c>
      <c r="E6450" t="inlineStr">
        <is>
          <t>NORSJÖ</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27383-2024</t>
        </is>
      </c>
      <c r="B6451" s="1" t="n">
        <v>45473</v>
      </c>
      <c r="C6451" s="1" t="n">
        <v>45971</v>
      </c>
      <c r="D6451" t="inlineStr">
        <is>
          <t>VÄSTERBOTTENS LÄN</t>
        </is>
      </c>
      <c r="E6451" t="inlineStr">
        <is>
          <t>NORDMALING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28697-2024</t>
        </is>
      </c>
      <c r="B6452" s="1" t="n">
        <v>45478</v>
      </c>
      <c r="C6452" s="1" t="n">
        <v>45971</v>
      </c>
      <c r="D6452" t="inlineStr">
        <is>
          <t>VÄSTERBOTTENS LÄN</t>
        </is>
      </c>
      <c r="E6452" t="inlineStr">
        <is>
          <t>ÅSELE</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43791-2024</t>
        </is>
      </c>
      <c r="B6453" s="1" t="n">
        <v>45571</v>
      </c>
      <c r="C6453" s="1" t="n">
        <v>45971</v>
      </c>
      <c r="D6453" t="inlineStr">
        <is>
          <t>VÄSTERBOTTENS LÄN</t>
        </is>
      </c>
      <c r="E6453" t="inlineStr">
        <is>
          <t>VILHELMINA</t>
        </is>
      </c>
      <c r="G6453" t="n">
        <v>30.3</v>
      </c>
      <c r="H6453" t="n">
        <v>0</v>
      </c>
      <c r="I6453" t="n">
        <v>0</v>
      </c>
      <c r="J6453" t="n">
        <v>0</v>
      </c>
      <c r="K6453" t="n">
        <v>0</v>
      </c>
      <c r="L6453" t="n">
        <v>0</v>
      </c>
      <c r="M6453" t="n">
        <v>0</v>
      </c>
      <c r="N6453" t="n">
        <v>0</v>
      </c>
      <c r="O6453" t="n">
        <v>0</v>
      </c>
      <c r="P6453" t="n">
        <v>0</v>
      </c>
      <c r="Q6453" t="n">
        <v>0</v>
      </c>
      <c r="R6453" s="2" t="inlineStr"/>
    </row>
    <row r="6454" ht="15" customHeight="1">
      <c r="A6454" t="inlineStr">
        <is>
          <t>A 43792-2024</t>
        </is>
      </c>
      <c r="B6454" s="1" t="n">
        <v>45571</v>
      </c>
      <c r="C6454" s="1" t="n">
        <v>45971</v>
      </c>
      <c r="D6454" t="inlineStr">
        <is>
          <t>VÄSTERBOTTENS LÄN</t>
        </is>
      </c>
      <c r="E6454" t="inlineStr">
        <is>
          <t>VILHELMINA</t>
        </is>
      </c>
      <c r="G6454" t="n">
        <v>25.3</v>
      </c>
      <c r="H6454" t="n">
        <v>0</v>
      </c>
      <c r="I6454" t="n">
        <v>0</v>
      </c>
      <c r="J6454" t="n">
        <v>0</v>
      </c>
      <c r="K6454" t="n">
        <v>0</v>
      </c>
      <c r="L6454" t="n">
        <v>0</v>
      </c>
      <c r="M6454" t="n">
        <v>0</v>
      </c>
      <c r="N6454" t="n">
        <v>0</v>
      </c>
      <c r="O6454" t="n">
        <v>0</v>
      </c>
      <c r="P6454" t="n">
        <v>0</v>
      </c>
      <c r="Q6454" t="n">
        <v>0</v>
      </c>
      <c r="R6454" s="2" t="inlineStr"/>
    </row>
    <row r="6455" ht="15" customHeight="1">
      <c r="A6455" t="inlineStr">
        <is>
          <t>A 43793-2024</t>
        </is>
      </c>
      <c r="B6455" s="1" t="n">
        <v>45571.49777777777</v>
      </c>
      <c r="C6455" s="1" t="n">
        <v>45971</v>
      </c>
      <c r="D6455" t="inlineStr">
        <is>
          <t>VÄSTERBOTTENS LÄN</t>
        </is>
      </c>
      <c r="E6455" t="inlineStr">
        <is>
          <t>SKELLEFTEÅ</t>
        </is>
      </c>
      <c r="F6455" t="inlineStr">
        <is>
          <t>Sveaskog</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24932-2024</t>
        </is>
      </c>
      <c r="B6456" s="1" t="n">
        <v>45461</v>
      </c>
      <c r="C6456" s="1" t="n">
        <v>45971</v>
      </c>
      <c r="D6456" t="inlineStr">
        <is>
          <t>VÄSTERBOTTENS LÄN</t>
        </is>
      </c>
      <c r="E6456" t="inlineStr">
        <is>
          <t>STORUMAN</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51873-2024</t>
        </is>
      </c>
      <c r="B6457" s="1" t="n">
        <v>45607</v>
      </c>
      <c r="C6457" s="1" t="n">
        <v>45971</v>
      </c>
      <c r="D6457" t="inlineStr">
        <is>
          <t>VÄSTERBOTTENS LÄN</t>
        </is>
      </c>
      <c r="E6457" t="inlineStr">
        <is>
          <t>ROBERTSFORS</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49416-2025</t>
        </is>
      </c>
      <c r="B6458" s="1" t="n">
        <v>45938.69032407407</v>
      </c>
      <c r="C6458" s="1" t="n">
        <v>45971</v>
      </c>
      <c r="D6458" t="inlineStr">
        <is>
          <t>VÄSTERBOTTENS LÄN</t>
        </is>
      </c>
      <c r="E6458" t="inlineStr">
        <is>
          <t>STORUMAN</t>
        </is>
      </c>
      <c r="F6458" t="inlineStr">
        <is>
          <t>Holmen skog AB</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24234-2023</t>
        </is>
      </c>
      <c r="B6459" s="1" t="n">
        <v>45079</v>
      </c>
      <c r="C6459" s="1" t="n">
        <v>45971</v>
      </c>
      <c r="D6459" t="inlineStr">
        <is>
          <t>VÄSTERBOTTENS LÄN</t>
        </is>
      </c>
      <c r="E6459" t="inlineStr">
        <is>
          <t>LYCKSELE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37252-2024</t>
        </is>
      </c>
      <c r="B6460" s="1" t="n">
        <v>45540.3612037037</v>
      </c>
      <c r="C6460" s="1" t="n">
        <v>45971</v>
      </c>
      <c r="D6460" t="inlineStr">
        <is>
          <t>VÄSTERBOTTENS LÄN</t>
        </is>
      </c>
      <c r="E6460" t="inlineStr">
        <is>
          <t>NORSJÖ</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37260-2024</t>
        </is>
      </c>
      <c r="B6461" s="1" t="n">
        <v>45540.37623842592</v>
      </c>
      <c r="C6461" s="1" t="n">
        <v>45971</v>
      </c>
      <c r="D6461" t="inlineStr">
        <is>
          <t>VÄSTERBOTTENS LÄN</t>
        </is>
      </c>
      <c r="E6461" t="inlineStr">
        <is>
          <t>UMEÅ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1225-2022</t>
        </is>
      </c>
      <c r="B6462" s="1" t="n">
        <v>44572</v>
      </c>
      <c r="C6462" s="1" t="n">
        <v>45971</v>
      </c>
      <c r="D6462" t="inlineStr">
        <is>
          <t>VÄSTERBOTTENS LÄN</t>
        </is>
      </c>
      <c r="E6462" t="inlineStr">
        <is>
          <t>VINDELN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40324-2025</t>
        </is>
      </c>
      <c r="B6463" s="1" t="n">
        <v>45895.44799768519</v>
      </c>
      <c r="C6463" s="1" t="n">
        <v>45971</v>
      </c>
      <c r="D6463" t="inlineStr">
        <is>
          <t>VÄSTERBOTTENS LÄN</t>
        </is>
      </c>
      <c r="E6463" t="inlineStr">
        <is>
          <t>NORSJÖ</t>
        </is>
      </c>
      <c r="F6463" t="inlineStr">
        <is>
          <t>Holmen skog AB</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47864-2025</t>
        </is>
      </c>
      <c r="B6464" s="1" t="n">
        <v>45932</v>
      </c>
      <c r="C6464" s="1" t="n">
        <v>45971</v>
      </c>
      <c r="D6464" t="inlineStr">
        <is>
          <t>VÄSTERBOTTENS LÄN</t>
        </is>
      </c>
      <c r="E6464" t="inlineStr">
        <is>
          <t>SKELLEFTEÅ</t>
        </is>
      </c>
      <c r="F6464" t="inlineStr">
        <is>
          <t>Kyrkan</t>
        </is>
      </c>
      <c r="G6464" t="n">
        <v>10.8</v>
      </c>
      <c r="H6464" t="n">
        <v>0</v>
      </c>
      <c r="I6464" t="n">
        <v>0</v>
      </c>
      <c r="J6464" t="n">
        <v>0</v>
      </c>
      <c r="K6464" t="n">
        <v>0</v>
      </c>
      <c r="L6464" t="n">
        <v>0</v>
      </c>
      <c r="M6464" t="n">
        <v>0</v>
      </c>
      <c r="N6464" t="n">
        <v>0</v>
      </c>
      <c r="O6464" t="n">
        <v>0</v>
      </c>
      <c r="P6464" t="n">
        <v>0</v>
      </c>
      <c r="Q6464" t="n">
        <v>0</v>
      </c>
      <c r="R6464" s="2" t="inlineStr"/>
    </row>
    <row r="6465" ht="15" customHeight="1">
      <c r="A6465" t="inlineStr">
        <is>
          <t>A 40256-2025</t>
        </is>
      </c>
      <c r="B6465" s="1" t="n">
        <v>45895.32369212963</v>
      </c>
      <c r="C6465" s="1" t="n">
        <v>45971</v>
      </c>
      <c r="D6465" t="inlineStr">
        <is>
          <t>VÄSTERBOTTENS LÄN</t>
        </is>
      </c>
      <c r="E6465" t="inlineStr">
        <is>
          <t>SORSELE</t>
        </is>
      </c>
      <c r="F6465" t="inlineStr">
        <is>
          <t>Allmännings- och besparingsskogar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49236-2025</t>
        </is>
      </c>
      <c r="B6466" s="1" t="n">
        <v>45938.48</v>
      </c>
      <c r="C6466" s="1" t="n">
        <v>45971</v>
      </c>
      <c r="D6466" t="inlineStr">
        <is>
          <t>VÄSTERBOTTENS LÄN</t>
        </is>
      </c>
      <c r="E6466" t="inlineStr">
        <is>
          <t>BJURHOLM</t>
        </is>
      </c>
      <c r="F6466" t="inlineStr">
        <is>
          <t>Sveaskog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28906-2024</t>
        </is>
      </c>
      <c r="B6467" s="1" t="n">
        <v>45480.57652777778</v>
      </c>
      <c r="C6467" s="1" t="n">
        <v>45971</v>
      </c>
      <c r="D6467" t="inlineStr">
        <is>
          <t>VÄSTERBOTTENS LÄN</t>
        </is>
      </c>
      <c r="E6467" t="inlineStr">
        <is>
          <t>ROBERTSFORS</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29039-2024</t>
        </is>
      </c>
      <c r="B6468" s="1" t="n">
        <v>45481.60922453704</v>
      </c>
      <c r="C6468" s="1" t="n">
        <v>45971</v>
      </c>
      <c r="D6468" t="inlineStr">
        <is>
          <t>VÄSTERBOTTENS LÄN</t>
        </is>
      </c>
      <c r="E6468" t="inlineStr">
        <is>
          <t>ÅSELE</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40390-2025</t>
        </is>
      </c>
      <c r="B6469" s="1" t="n">
        <v>45895.55496527778</v>
      </c>
      <c r="C6469" s="1" t="n">
        <v>45971</v>
      </c>
      <c r="D6469" t="inlineStr">
        <is>
          <t>VÄSTERBOTTENS LÄN</t>
        </is>
      </c>
      <c r="E6469" t="inlineStr">
        <is>
          <t>VINDELN</t>
        </is>
      </c>
      <c r="F6469" t="inlineStr">
        <is>
          <t>Naturvårdsverket</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28549-2023</t>
        </is>
      </c>
      <c r="B6470" s="1" t="n">
        <v>45103</v>
      </c>
      <c r="C6470" s="1" t="n">
        <v>45971</v>
      </c>
      <c r="D6470" t="inlineStr">
        <is>
          <t>VÄSTERBOTTENS LÄN</t>
        </is>
      </c>
      <c r="E6470" t="inlineStr">
        <is>
          <t>DOROTEA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40454-2025</t>
        </is>
      </c>
      <c r="B6471" s="1" t="n">
        <v>45895.63664351852</v>
      </c>
      <c r="C6471" s="1" t="n">
        <v>45971</v>
      </c>
      <c r="D6471" t="inlineStr">
        <is>
          <t>VÄSTERBOTTENS LÄN</t>
        </is>
      </c>
      <c r="E6471" t="inlineStr">
        <is>
          <t>ÅSELE</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48786-2025</t>
        </is>
      </c>
      <c r="B6472" s="1" t="n">
        <v>45937.31471064815</v>
      </c>
      <c r="C6472" s="1" t="n">
        <v>45971</v>
      </c>
      <c r="D6472" t="inlineStr">
        <is>
          <t>VÄSTERBOTTENS LÄN</t>
        </is>
      </c>
      <c r="E6472" t="inlineStr">
        <is>
          <t>ÅSELE</t>
        </is>
      </c>
      <c r="F6472" t="inlineStr">
        <is>
          <t>Holmen skog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19279-2025</t>
        </is>
      </c>
      <c r="B6473" s="1" t="n">
        <v>45769</v>
      </c>
      <c r="C6473" s="1" t="n">
        <v>45971</v>
      </c>
      <c r="D6473" t="inlineStr">
        <is>
          <t>VÄSTERBOTTENS LÄN</t>
        </is>
      </c>
      <c r="E6473" t="inlineStr">
        <is>
          <t>SORSELE</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64663-2023</t>
        </is>
      </c>
      <c r="B6474" s="1" t="n">
        <v>45281</v>
      </c>
      <c r="C6474" s="1" t="n">
        <v>45971</v>
      </c>
      <c r="D6474" t="inlineStr">
        <is>
          <t>VÄSTERBOTTENS LÄN</t>
        </is>
      </c>
      <c r="E6474" t="inlineStr">
        <is>
          <t>LYCKSELE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40350-2025</t>
        </is>
      </c>
      <c r="B6475" s="1" t="n">
        <v>45895.48373842592</v>
      </c>
      <c r="C6475" s="1" t="n">
        <v>45971</v>
      </c>
      <c r="D6475" t="inlineStr">
        <is>
          <t>VÄSTERBOTTENS LÄN</t>
        </is>
      </c>
      <c r="E6475" t="inlineStr">
        <is>
          <t>ÅSELE</t>
        </is>
      </c>
      <c r="F6475" t="inlineStr">
        <is>
          <t>Sveaskog</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48932-2023</t>
        </is>
      </c>
      <c r="B6476" s="1" t="n">
        <v>45204</v>
      </c>
      <c r="C6476" s="1" t="n">
        <v>45971</v>
      </c>
      <c r="D6476" t="inlineStr">
        <is>
          <t>VÄSTERBOTTENS LÄN</t>
        </is>
      </c>
      <c r="E6476" t="inlineStr">
        <is>
          <t>NORDMALING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44588-2024</t>
        </is>
      </c>
      <c r="B6477" s="1" t="n">
        <v>45574.5038425926</v>
      </c>
      <c r="C6477" s="1" t="n">
        <v>45971</v>
      </c>
      <c r="D6477" t="inlineStr">
        <is>
          <t>VÄSTERBOTTENS LÄN</t>
        </is>
      </c>
      <c r="E6477" t="inlineStr">
        <is>
          <t>LYCKSELE</t>
        </is>
      </c>
      <c r="F6477" t="inlineStr">
        <is>
          <t>Sveaskog</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41583-2024</t>
        </is>
      </c>
      <c r="B6478" s="1" t="n">
        <v>45560.55664351852</v>
      </c>
      <c r="C6478" s="1" t="n">
        <v>45971</v>
      </c>
      <c r="D6478" t="inlineStr">
        <is>
          <t>VÄSTERBOTTENS LÄN</t>
        </is>
      </c>
      <c r="E6478" t="inlineStr">
        <is>
          <t>ÅSELE</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61730-2024</t>
        </is>
      </c>
      <c r="B6479" s="1" t="n">
        <v>45649</v>
      </c>
      <c r="C6479" s="1" t="n">
        <v>45971</v>
      </c>
      <c r="D6479" t="inlineStr">
        <is>
          <t>VÄSTERBOTTENS LÄN</t>
        </is>
      </c>
      <c r="E6479" t="inlineStr">
        <is>
          <t>BJURHOLM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61735-2024</t>
        </is>
      </c>
      <c r="B6480" s="1" t="n">
        <v>45649.3635300926</v>
      </c>
      <c r="C6480" s="1" t="n">
        <v>45971</v>
      </c>
      <c r="D6480" t="inlineStr">
        <is>
          <t>VÄSTERBOTTENS LÄN</t>
        </is>
      </c>
      <c r="E6480" t="inlineStr">
        <is>
          <t>BJURHOLM</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15808-2023</t>
        </is>
      </c>
      <c r="B6481" s="1" t="n">
        <v>45021</v>
      </c>
      <c r="C6481" s="1" t="n">
        <v>45971</v>
      </c>
      <c r="D6481" t="inlineStr">
        <is>
          <t>VÄSTERBOTTENS LÄN</t>
        </is>
      </c>
      <c r="E6481" t="inlineStr">
        <is>
          <t>NORDMALING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15809-2023</t>
        </is>
      </c>
      <c r="B6482" s="1" t="n">
        <v>45021</v>
      </c>
      <c r="C6482" s="1" t="n">
        <v>45971</v>
      </c>
      <c r="D6482" t="inlineStr">
        <is>
          <t>VÄSTERBOTTENS LÄN</t>
        </is>
      </c>
      <c r="E6482" t="inlineStr">
        <is>
          <t>LYCKSELE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7579-2022</t>
        </is>
      </c>
      <c r="B6483" s="1" t="n">
        <v>44607</v>
      </c>
      <c r="C6483" s="1" t="n">
        <v>45971</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41427-2024</t>
        </is>
      </c>
      <c r="B6484" s="1" t="n">
        <v>45560.35121527778</v>
      </c>
      <c r="C6484" s="1" t="n">
        <v>45971</v>
      </c>
      <c r="D6484" t="inlineStr">
        <is>
          <t>VÄSTERBOTTENS LÄN</t>
        </is>
      </c>
      <c r="E6484" t="inlineStr">
        <is>
          <t>ÅSELE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38818-2023</t>
        </is>
      </c>
      <c r="B6485" s="1" t="n">
        <v>45161</v>
      </c>
      <c r="C6485" s="1" t="n">
        <v>45971</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14316-2025</t>
        </is>
      </c>
      <c r="B6486" s="1" t="n">
        <v>45740</v>
      </c>
      <c r="C6486" s="1" t="n">
        <v>45971</v>
      </c>
      <c r="D6486" t="inlineStr">
        <is>
          <t>VÄSTERBOTTENS LÄN</t>
        </is>
      </c>
      <c r="E6486" t="inlineStr">
        <is>
          <t>UMEÅ</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7800-2024</t>
        </is>
      </c>
      <c r="B6487" s="1" t="n">
        <v>45348</v>
      </c>
      <c r="C6487" s="1" t="n">
        <v>45971</v>
      </c>
      <c r="D6487" t="inlineStr">
        <is>
          <t>VÄSTERBOTTENS LÄN</t>
        </is>
      </c>
      <c r="E6487" t="inlineStr">
        <is>
          <t>SKELLEFTEÅ</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15085-2022</t>
        </is>
      </c>
      <c r="B6488" s="1" t="n">
        <v>44657.93243055556</v>
      </c>
      <c r="C6488" s="1" t="n">
        <v>45971</v>
      </c>
      <c r="D6488" t="inlineStr">
        <is>
          <t>VÄSTERBOTTENS LÄN</t>
        </is>
      </c>
      <c r="E6488" t="inlineStr">
        <is>
          <t>NORSJÖ</t>
        </is>
      </c>
      <c r="F6488" t="inlineStr">
        <is>
          <t>Kyrkan</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16045-2021</t>
        </is>
      </c>
      <c r="B6489" s="1" t="n">
        <v>44287.61318287037</v>
      </c>
      <c r="C6489" s="1" t="n">
        <v>45971</v>
      </c>
      <c r="D6489" t="inlineStr">
        <is>
          <t>VÄSTERBOTTENS LÄN</t>
        </is>
      </c>
      <c r="E6489" t="inlineStr">
        <is>
          <t>UMEÅ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41851-2024</t>
        </is>
      </c>
      <c r="B6490" s="1" t="n">
        <v>45561.43890046296</v>
      </c>
      <c r="C6490" s="1" t="n">
        <v>45971</v>
      </c>
      <c r="D6490" t="inlineStr">
        <is>
          <t>VÄSTERBOTTENS LÄN</t>
        </is>
      </c>
      <c r="E6490" t="inlineStr">
        <is>
          <t>STORUMAN</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37211-2024</t>
        </is>
      </c>
      <c r="B6491" s="1" t="n">
        <v>45539</v>
      </c>
      <c r="C6491" s="1" t="n">
        <v>45971</v>
      </c>
      <c r="D6491" t="inlineStr">
        <is>
          <t>VÄSTERBOTTENS LÄN</t>
        </is>
      </c>
      <c r="E6491" t="inlineStr">
        <is>
          <t>VINDELN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7832-2024</t>
        </is>
      </c>
      <c r="B6492" s="1" t="n">
        <v>45349.80663194445</v>
      </c>
      <c r="C6492" s="1" t="n">
        <v>45971</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3254-2024</t>
        </is>
      </c>
      <c r="B6493" s="1" t="n">
        <v>45316</v>
      </c>
      <c r="C6493" s="1" t="n">
        <v>45971</v>
      </c>
      <c r="D6493" t="inlineStr">
        <is>
          <t>VÄSTERBOTTENS LÄN</t>
        </is>
      </c>
      <c r="E6493" t="inlineStr">
        <is>
          <t>UMEÅ</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17479-2024</t>
        </is>
      </c>
      <c r="B6494" s="1" t="n">
        <v>45415</v>
      </c>
      <c r="C6494" s="1" t="n">
        <v>45971</v>
      </c>
      <c r="D6494" t="inlineStr">
        <is>
          <t>VÄSTERBOTTENS LÄN</t>
        </is>
      </c>
      <c r="E6494" t="inlineStr">
        <is>
          <t>ROBERTSFORS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6910-2023</t>
        </is>
      </c>
      <c r="B6495" s="1" t="n">
        <v>44964</v>
      </c>
      <c r="C6495" s="1" t="n">
        <v>45971</v>
      </c>
      <c r="D6495" t="inlineStr">
        <is>
          <t>VÄSTERBOTTENS LÄN</t>
        </is>
      </c>
      <c r="E6495" t="inlineStr">
        <is>
          <t>MALÅ</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49030-2025</t>
        </is>
      </c>
      <c r="B6496" s="1" t="n">
        <v>45937.62387731481</v>
      </c>
      <c r="C6496" s="1" t="n">
        <v>45971</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49031-2025</t>
        </is>
      </c>
      <c r="B6497" s="1" t="n">
        <v>45936</v>
      </c>
      <c r="C6497" s="1" t="n">
        <v>45971</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48816-2025</t>
        </is>
      </c>
      <c r="B6498" s="1" t="n">
        <v>45937.36527777778</v>
      </c>
      <c r="C6498" s="1" t="n">
        <v>45971</v>
      </c>
      <c r="D6498" t="inlineStr">
        <is>
          <t>VÄSTERBOTTENS LÄN</t>
        </is>
      </c>
      <c r="E6498" t="inlineStr">
        <is>
          <t>VILHELMINA</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49120-2025</t>
        </is>
      </c>
      <c r="B6499" s="1" t="n">
        <v>45937.8341087963</v>
      </c>
      <c r="C6499" s="1" t="n">
        <v>45971</v>
      </c>
      <c r="D6499" t="inlineStr">
        <is>
          <t>VÄSTERBOTTENS LÄN</t>
        </is>
      </c>
      <c r="E6499" t="inlineStr">
        <is>
          <t>UMEÅ</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49126-2025</t>
        </is>
      </c>
      <c r="B6500" s="1" t="n">
        <v>45937.8712962963</v>
      </c>
      <c r="C6500" s="1" t="n">
        <v>45971</v>
      </c>
      <c r="D6500" t="inlineStr">
        <is>
          <t>VÄSTERBOTTENS LÄN</t>
        </is>
      </c>
      <c r="E6500" t="inlineStr">
        <is>
          <t>SKELLEFTEÅ</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48833-2025</t>
        </is>
      </c>
      <c r="B6501" s="1" t="n">
        <v>45937</v>
      </c>
      <c r="C6501" s="1" t="n">
        <v>45971</v>
      </c>
      <c r="D6501" t="inlineStr">
        <is>
          <t>VÄSTERBOTTENS LÄN</t>
        </is>
      </c>
      <c r="E6501" t="inlineStr">
        <is>
          <t>STORUMAN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24828-2023</t>
        </is>
      </c>
      <c r="B6502" s="1" t="n">
        <v>45084</v>
      </c>
      <c r="C6502" s="1" t="n">
        <v>45971</v>
      </c>
      <c r="D6502" t="inlineStr">
        <is>
          <t>VÄSTERBOTTENS LÄN</t>
        </is>
      </c>
      <c r="E6502" t="inlineStr">
        <is>
          <t>VILHELMINA</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49371-2025</t>
        </is>
      </c>
      <c r="B6503" s="1" t="n">
        <v>45938.63061342593</v>
      </c>
      <c r="C6503" s="1" t="n">
        <v>45971</v>
      </c>
      <c r="D6503" t="inlineStr">
        <is>
          <t>VÄSTERBOTTENS LÄN</t>
        </is>
      </c>
      <c r="E6503" t="inlineStr">
        <is>
          <t>VÄNNÄS</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40436-2025</t>
        </is>
      </c>
      <c r="B6504" s="1" t="n">
        <v>45895.61975694444</v>
      </c>
      <c r="C6504" s="1" t="n">
        <v>45971</v>
      </c>
      <c r="D6504" t="inlineStr">
        <is>
          <t>VÄSTERBOTTENS LÄN</t>
        </is>
      </c>
      <c r="E6504" t="inlineStr">
        <is>
          <t>NORSJÖ</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48900-2025</t>
        </is>
      </c>
      <c r="B6505" s="1" t="n">
        <v>45937.48125</v>
      </c>
      <c r="C6505" s="1" t="n">
        <v>45971</v>
      </c>
      <c r="D6505" t="inlineStr">
        <is>
          <t>VÄSTERBOTTENS LÄN</t>
        </is>
      </c>
      <c r="E6505" t="inlineStr">
        <is>
          <t>UMEÅ</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40263-2025</t>
        </is>
      </c>
      <c r="B6506" s="1" t="n">
        <v>45895.34429398148</v>
      </c>
      <c r="C6506" s="1" t="n">
        <v>45971</v>
      </c>
      <c r="D6506" t="inlineStr">
        <is>
          <t>VÄSTERBOTTENS LÄN</t>
        </is>
      </c>
      <c r="E6506" t="inlineStr">
        <is>
          <t>VINDELN</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37298-2024</t>
        </is>
      </c>
      <c r="B6507" s="1" t="n">
        <v>45540.45724537037</v>
      </c>
      <c r="C6507" s="1" t="n">
        <v>45971</v>
      </c>
      <c r="D6507" t="inlineStr">
        <is>
          <t>VÄSTERBOTTENS LÄN</t>
        </is>
      </c>
      <c r="E6507" t="inlineStr">
        <is>
          <t>SKELLEFTEÅ</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48945-2025</t>
        </is>
      </c>
      <c r="B6508" s="1" t="n">
        <v>45937.53739583334</v>
      </c>
      <c r="C6508" s="1" t="n">
        <v>45971</v>
      </c>
      <c r="D6508" t="inlineStr">
        <is>
          <t>VÄSTERBOTTENS LÄN</t>
        </is>
      </c>
      <c r="E6508" t="inlineStr">
        <is>
          <t>ÅSELE</t>
        </is>
      </c>
      <c r="F6508" t="inlineStr">
        <is>
          <t>Holmen skog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48886-2025</t>
        </is>
      </c>
      <c r="B6509" s="1" t="n">
        <v>45937.46611111111</v>
      </c>
      <c r="C6509" s="1" t="n">
        <v>45971</v>
      </c>
      <c r="D6509" t="inlineStr">
        <is>
          <t>VÄSTERBOTTENS LÄN</t>
        </is>
      </c>
      <c r="E6509" t="inlineStr">
        <is>
          <t>VÄNNÄS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51990-2023</t>
        </is>
      </c>
      <c r="B6510" s="1" t="n">
        <v>45216</v>
      </c>
      <c r="C6510" s="1" t="n">
        <v>45971</v>
      </c>
      <c r="D6510" t="inlineStr">
        <is>
          <t>VÄSTERBOTTENS LÄN</t>
        </is>
      </c>
      <c r="E6510" t="inlineStr">
        <is>
          <t>UMEÅ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49174-2025</t>
        </is>
      </c>
      <c r="B6511" s="1" t="n">
        <v>45938.37679398148</v>
      </c>
      <c r="C6511" s="1" t="n">
        <v>45971</v>
      </c>
      <c r="D6511" t="inlineStr">
        <is>
          <t>VÄSTERBOTTENS LÄN</t>
        </is>
      </c>
      <c r="E6511" t="inlineStr">
        <is>
          <t>ÅSELE</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49182-2025</t>
        </is>
      </c>
      <c r="B6512" s="1" t="n">
        <v>45938.38820601852</v>
      </c>
      <c r="C6512" s="1" t="n">
        <v>45971</v>
      </c>
      <c r="D6512" t="inlineStr">
        <is>
          <t>VÄSTERBOTTENS LÄN</t>
        </is>
      </c>
      <c r="E6512" t="inlineStr">
        <is>
          <t>UMEÅ</t>
        </is>
      </c>
      <c r="F6512" t="inlineStr">
        <is>
          <t>Holmen skog AB</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49184-2025</t>
        </is>
      </c>
      <c r="B6513" s="1" t="n">
        <v>45938.39759259259</v>
      </c>
      <c r="C6513" s="1" t="n">
        <v>45971</v>
      </c>
      <c r="D6513" t="inlineStr">
        <is>
          <t>VÄSTERBOTTENS LÄN</t>
        </is>
      </c>
      <c r="E6513" t="inlineStr">
        <is>
          <t>SKELLEFTEÅ</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40269-2025</t>
        </is>
      </c>
      <c r="B6514" s="1" t="n">
        <v>45895.34538194445</v>
      </c>
      <c r="C6514" s="1" t="n">
        <v>45971</v>
      </c>
      <c r="D6514" t="inlineStr">
        <is>
          <t>VÄSTERBOTTENS LÄN</t>
        </is>
      </c>
      <c r="E6514" t="inlineStr">
        <is>
          <t>BJURHOLM</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9026-2024</t>
        </is>
      </c>
      <c r="B6515" s="1" t="n">
        <v>45356</v>
      </c>
      <c r="C6515" s="1" t="n">
        <v>45971</v>
      </c>
      <c r="D6515" t="inlineStr">
        <is>
          <t>VÄSTERBOTTENS LÄN</t>
        </is>
      </c>
      <c r="E6515" t="inlineStr">
        <is>
          <t>VÄNNÄS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20068-2022</t>
        </is>
      </c>
      <c r="B6516" s="1" t="n">
        <v>44697</v>
      </c>
      <c r="C6516" s="1" t="n">
        <v>45971</v>
      </c>
      <c r="D6516" t="inlineStr">
        <is>
          <t>VÄSTERBOTTENS LÄN</t>
        </is>
      </c>
      <c r="E6516" t="inlineStr">
        <is>
          <t>ÅSELE</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40531-2025</t>
        </is>
      </c>
      <c r="B6517" s="1" t="n">
        <v>45896.38892361111</v>
      </c>
      <c r="C6517" s="1" t="n">
        <v>45971</v>
      </c>
      <c r="D6517" t="inlineStr">
        <is>
          <t>VÄSTERBOTTENS LÄN</t>
        </is>
      </c>
      <c r="E6517" t="inlineStr">
        <is>
          <t>VINDELN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12005-2023</t>
        </is>
      </c>
      <c r="B6518" s="1" t="n">
        <v>44994</v>
      </c>
      <c r="C6518" s="1" t="n">
        <v>45971</v>
      </c>
      <c r="D6518" t="inlineStr">
        <is>
          <t>VÄSTERBOTTENS LÄN</t>
        </is>
      </c>
      <c r="E6518" t="inlineStr">
        <is>
          <t>DOROTEA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40253-2025</t>
        </is>
      </c>
      <c r="B6519" s="1" t="n">
        <v>45895.32173611111</v>
      </c>
      <c r="C6519" s="1" t="n">
        <v>45971</v>
      </c>
      <c r="D6519" t="inlineStr">
        <is>
          <t>VÄSTERBOTTENS LÄN</t>
        </is>
      </c>
      <c r="E6519" t="inlineStr">
        <is>
          <t>SORSELE</t>
        </is>
      </c>
      <c r="F6519" t="inlineStr">
        <is>
          <t>Allmännings- och besparingsskogar</t>
        </is>
      </c>
      <c r="G6519" t="n">
        <v>32.5</v>
      </c>
      <c r="H6519" t="n">
        <v>0</v>
      </c>
      <c r="I6519" t="n">
        <v>0</v>
      </c>
      <c r="J6519" t="n">
        <v>0</v>
      </c>
      <c r="K6519" t="n">
        <v>0</v>
      </c>
      <c r="L6519" t="n">
        <v>0</v>
      </c>
      <c r="M6519" t="n">
        <v>0</v>
      </c>
      <c r="N6519" t="n">
        <v>0</v>
      </c>
      <c r="O6519" t="n">
        <v>0</v>
      </c>
      <c r="P6519" t="n">
        <v>0</v>
      </c>
      <c r="Q6519" t="n">
        <v>0</v>
      </c>
      <c r="R6519" s="2" t="inlineStr"/>
    </row>
    <row r="6520" ht="15" customHeight="1">
      <c r="A6520" t="inlineStr">
        <is>
          <t>A 52749-2023</t>
        </is>
      </c>
      <c r="B6520" s="1" t="n">
        <v>45225.9678587963</v>
      </c>
      <c r="C6520" s="1" t="n">
        <v>45971</v>
      </c>
      <c r="D6520" t="inlineStr">
        <is>
          <t>VÄSTERBOTTENS LÄN</t>
        </is>
      </c>
      <c r="E6520" t="inlineStr">
        <is>
          <t>VILHELMINA</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52755-2023</t>
        </is>
      </c>
      <c r="B6521" s="1" t="n">
        <v>45225.96839120371</v>
      </c>
      <c r="C6521" s="1" t="n">
        <v>45971</v>
      </c>
      <c r="D6521" t="inlineStr">
        <is>
          <t>VÄSTERBOTTENS LÄN</t>
        </is>
      </c>
      <c r="E6521" t="inlineStr">
        <is>
          <t>LYCKSELE</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20154-2025</t>
        </is>
      </c>
      <c r="B6522" s="1" t="n">
        <v>45772.55646990741</v>
      </c>
      <c r="C6522" s="1" t="n">
        <v>45971</v>
      </c>
      <c r="D6522" t="inlineStr">
        <is>
          <t>VÄSTERBOTTENS LÄN</t>
        </is>
      </c>
      <c r="E6522" t="inlineStr">
        <is>
          <t>ÅSELE</t>
        </is>
      </c>
      <c r="F6522" t="inlineStr">
        <is>
          <t>Holmen skog AB</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40966-2024</t>
        </is>
      </c>
      <c r="B6523" s="1" t="n">
        <v>45558.67207175926</v>
      </c>
      <c r="C6523" s="1" t="n">
        <v>45971</v>
      </c>
      <c r="D6523" t="inlineStr">
        <is>
          <t>VÄSTERBOTTENS LÄN</t>
        </is>
      </c>
      <c r="E6523" t="inlineStr">
        <is>
          <t>SKELLEFTEÅ</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40264-2025</t>
        </is>
      </c>
      <c r="B6524" s="1" t="n">
        <v>45895.34447916667</v>
      </c>
      <c r="C6524" s="1" t="n">
        <v>45971</v>
      </c>
      <c r="D6524" t="inlineStr">
        <is>
          <t>VÄSTERBOTTENS LÄN</t>
        </is>
      </c>
      <c r="E6524" t="inlineStr">
        <is>
          <t>VINDELN</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40271-2025</t>
        </is>
      </c>
      <c r="B6525" s="1" t="n">
        <v>45895.345625</v>
      </c>
      <c r="C6525" s="1" t="n">
        <v>45971</v>
      </c>
      <c r="D6525" t="inlineStr">
        <is>
          <t>VÄSTERBOTTENS LÄN</t>
        </is>
      </c>
      <c r="E6525" t="inlineStr">
        <is>
          <t>SKELLEFTEÅ</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6664-2021</t>
        </is>
      </c>
      <c r="B6526" s="1" t="n">
        <v>44235</v>
      </c>
      <c r="C6526" s="1" t="n">
        <v>45971</v>
      </c>
      <c r="D6526" t="inlineStr">
        <is>
          <t>VÄSTERBOTTENS LÄN</t>
        </is>
      </c>
      <c r="E6526" t="inlineStr">
        <is>
          <t>VILHELMINA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34844-2023</t>
        </is>
      </c>
      <c r="B6527" s="1" t="n">
        <v>45141.93166666666</v>
      </c>
      <c r="C6527" s="1" t="n">
        <v>45971</v>
      </c>
      <c r="D6527" t="inlineStr">
        <is>
          <t>VÄSTERBOTTENS LÄN</t>
        </is>
      </c>
      <c r="E6527" t="inlineStr">
        <is>
          <t>ROBERTSFORS</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41072-2024</t>
        </is>
      </c>
      <c r="B6528" s="1" t="n">
        <v>45559.39484953704</v>
      </c>
      <c r="C6528" s="1" t="n">
        <v>45971</v>
      </c>
      <c r="D6528" t="inlineStr">
        <is>
          <t>VÄSTERBOTTENS LÄN</t>
        </is>
      </c>
      <c r="E6528" t="inlineStr">
        <is>
          <t>SKELLEFTEÅ</t>
        </is>
      </c>
      <c r="F6528" t="inlineStr">
        <is>
          <t>Holmen skog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6699-2021</t>
        </is>
      </c>
      <c r="B6529" s="1" t="n">
        <v>44235</v>
      </c>
      <c r="C6529" s="1" t="n">
        <v>45971</v>
      </c>
      <c r="D6529" t="inlineStr">
        <is>
          <t>VÄSTERBOTTENS LÄN</t>
        </is>
      </c>
      <c r="E6529" t="inlineStr">
        <is>
          <t>VILHELMINA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37444-2023</t>
        </is>
      </c>
      <c r="B6530" s="1" t="n">
        <v>45155</v>
      </c>
      <c r="C6530" s="1" t="n">
        <v>45971</v>
      </c>
      <c r="D6530" t="inlineStr">
        <is>
          <t>VÄSTERBOTTENS LÄN</t>
        </is>
      </c>
      <c r="E6530" t="inlineStr">
        <is>
          <t>MALÅ</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37474-2023</t>
        </is>
      </c>
      <c r="B6531" s="1" t="n">
        <v>45156.92446759259</v>
      </c>
      <c r="C6531" s="1" t="n">
        <v>45971</v>
      </c>
      <c r="D6531" t="inlineStr">
        <is>
          <t>VÄSTERBOTTENS LÄN</t>
        </is>
      </c>
      <c r="E6531" t="inlineStr">
        <is>
          <t>SKELLEFTEÅ</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60810-2023</t>
        </is>
      </c>
      <c r="B6532" s="1" t="n">
        <v>45260</v>
      </c>
      <c r="C6532" s="1" t="n">
        <v>45971</v>
      </c>
      <c r="D6532" t="inlineStr">
        <is>
          <t>VÄSTERBOTTENS LÄN</t>
        </is>
      </c>
      <c r="E6532" t="inlineStr">
        <is>
          <t>VINDELN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60859-2023</t>
        </is>
      </c>
      <c r="B6533" s="1" t="n">
        <v>45260</v>
      </c>
      <c r="C6533" s="1" t="n">
        <v>45971</v>
      </c>
      <c r="D6533" t="inlineStr">
        <is>
          <t>VÄSTERBOTTENS LÄN</t>
        </is>
      </c>
      <c r="E6533" t="inlineStr">
        <is>
          <t>VINDELN</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34901-2023</t>
        </is>
      </c>
      <c r="B6534" s="1" t="n">
        <v>45141</v>
      </c>
      <c r="C6534" s="1" t="n">
        <v>45971</v>
      </c>
      <c r="D6534" t="inlineStr">
        <is>
          <t>VÄSTERBOTTENS LÄN</t>
        </is>
      </c>
      <c r="E6534" t="inlineStr">
        <is>
          <t>NORDMALING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34905-2023</t>
        </is>
      </c>
      <c r="B6535" s="1" t="n">
        <v>45141</v>
      </c>
      <c r="C6535" s="1" t="n">
        <v>45971</v>
      </c>
      <c r="D6535" t="inlineStr">
        <is>
          <t>VÄSTERBOTTENS LÄN</t>
        </is>
      </c>
      <c r="E6535" t="inlineStr">
        <is>
          <t>NORDMALING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12772-2024</t>
        </is>
      </c>
      <c r="B6536" s="1" t="n">
        <v>45384</v>
      </c>
      <c r="C6536" s="1" t="n">
        <v>45971</v>
      </c>
      <c r="D6536" t="inlineStr">
        <is>
          <t>VÄSTERBOTTENS LÄN</t>
        </is>
      </c>
      <c r="E6536" t="inlineStr">
        <is>
          <t>SKELLEFTEÅ</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4926-2025</t>
        </is>
      </c>
      <c r="B6537" s="1" t="n">
        <v>45688.68453703704</v>
      </c>
      <c r="C6537" s="1" t="n">
        <v>45971</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60939-2023</t>
        </is>
      </c>
      <c r="B6538" s="1" t="n">
        <v>45259</v>
      </c>
      <c r="C6538" s="1" t="n">
        <v>45971</v>
      </c>
      <c r="D6538" t="inlineStr">
        <is>
          <t>VÄSTERBOTTENS LÄN</t>
        </is>
      </c>
      <c r="E6538" t="inlineStr">
        <is>
          <t>SORSELE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8510-2024</t>
        </is>
      </c>
      <c r="B6539" s="1" t="n">
        <v>45351</v>
      </c>
      <c r="C6539" s="1" t="n">
        <v>45971</v>
      </c>
      <c r="D6539" t="inlineStr">
        <is>
          <t>VÄSTERBOTTENS LÄN</t>
        </is>
      </c>
      <c r="E6539" t="inlineStr">
        <is>
          <t>BJURHOLM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61779-2023</t>
        </is>
      </c>
      <c r="B6540" s="1" t="n">
        <v>45265.95677083333</v>
      </c>
      <c r="C6540" s="1" t="n">
        <v>45971</v>
      </c>
      <c r="D6540" t="inlineStr">
        <is>
          <t>VÄSTERBOTTENS LÄN</t>
        </is>
      </c>
      <c r="E6540" t="inlineStr">
        <is>
          <t>VILHELMINA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49434-2023</t>
        </is>
      </c>
      <c r="B6541" s="1" t="n">
        <v>45211</v>
      </c>
      <c r="C6541" s="1" t="n">
        <v>45971</v>
      </c>
      <c r="D6541" t="inlineStr">
        <is>
          <t>VÄSTERBOTTENS LÄN</t>
        </is>
      </c>
      <c r="E6541" t="inlineStr">
        <is>
          <t>MALÅ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64625-2023</t>
        </is>
      </c>
      <c r="B6542" s="1" t="n">
        <v>45281.53866898148</v>
      </c>
      <c r="C6542" s="1" t="n">
        <v>45971</v>
      </c>
      <c r="D6542" t="inlineStr">
        <is>
          <t>VÄSTERBOTTENS LÄN</t>
        </is>
      </c>
      <c r="E6542" t="inlineStr">
        <is>
          <t>ROBERTSFORS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64656-2023</t>
        </is>
      </c>
      <c r="B6543" s="1" t="n">
        <v>45281</v>
      </c>
      <c r="C6543" s="1" t="n">
        <v>45971</v>
      </c>
      <c r="D6543" t="inlineStr">
        <is>
          <t>VÄSTERBOTTENS LÄN</t>
        </is>
      </c>
      <c r="E6543" t="inlineStr">
        <is>
          <t>LYCKSELE</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6635-2021</t>
        </is>
      </c>
      <c r="B6544" s="1" t="n">
        <v>44236</v>
      </c>
      <c r="C6544" s="1" t="n">
        <v>45971</v>
      </c>
      <c r="D6544" t="inlineStr">
        <is>
          <t>VÄSTERBOTTENS LÄN</t>
        </is>
      </c>
      <c r="E6544" t="inlineStr">
        <is>
          <t>SKELLEFTEÅ</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61799-2023</t>
        </is>
      </c>
      <c r="B6545" s="1" t="n">
        <v>45265.95865740741</v>
      </c>
      <c r="C6545" s="1" t="n">
        <v>45971</v>
      </c>
      <c r="D6545" t="inlineStr">
        <is>
          <t>VÄSTERBOTTENS LÄN</t>
        </is>
      </c>
      <c r="E6545" t="inlineStr">
        <is>
          <t>LYCKSELE</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27028-2022</t>
        </is>
      </c>
      <c r="B6546" s="1" t="n">
        <v>44740</v>
      </c>
      <c r="C6546" s="1" t="n">
        <v>45971</v>
      </c>
      <c r="D6546" t="inlineStr">
        <is>
          <t>VÄSTERBOTTENS LÄN</t>
        </is>
      </c>
      <c r="E6546" t="inlineStr">
        <is>
          <t>SKELLEFTEÅ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63103-2021</t>
        </is>
      </c>
      <c r="B6547" s="1" t="n">
        <v>44505</v>
      </c>
      <c r="C6547" s="1" t="n">
        <v>45971</v>
      </c>
      <c r="D6547" t="inlineStr">
        <is>
          <t>VÄSTERBOTTENS LÄN</t>
        </is>
      </c>
      <c r="E6547" t="inlineStr">
        <is>
          <t>SORSELE</t>
        </is>
      </c>
      <c r="G6547" t="n">
        <v>13.9</v>
      </c>
      <c r="H6547" t="n">
        <v>0</v>
      </c>
      <c r="I6547" t="n">
        <v>0</v>
      </c>
      <c r="J6547" t="n">
        <v>0</v>
      </c>
      <c r="K6547" t="n">
        <v>0</v>
      </c>
      <c r="L6547" t="n">
        <v>0</v>
      </c>
      <c r="M6547" t="n">
        <v>0</v>
      </c>
      <c r="N6547" t="n">
        <v>0</v>
      </c>
      <c r="O6547" t="n">
        <v>0</v>
      </c>
      <c r="P6547" t="n">
        <v>0</v>
      </c>
      <c r="Q6547" t="n">
        <v>0</v>
      </c>
      <c r="R6547" s="2" t="inlineStr"/>
    </row>
    <row r="6548" ht="15" customHeight="1">
      <c r="A6548" t="inlineStr">
        <is>
          <t>A 48924-2025</t>
        </is>
      </c>
      <c r="B6548" s="1" t="n">
        <v>45937.50238425926</v>
      </c>
      <c r="C6548" s="1" t="n">
        <v>45971</v>
      </c>
      <c r="D6548" t="inlineStr">
        <is>
          <t>VÄSTERBOTTENS LÄN</t>
        </is>
      </c>
      <c r="E6548" t="inlineStr">
        <is>
          <t>MALÅ</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37897-2023</t>
        </is>
      </c>
      <c r="B6549" s="1" t="n">
        <v>45159</v>
      </c>
      <c r="C6549" s="1" t="n">
        <v>45971</v>
      </c>
      <c r="D6549" t="inlineStr">
        <is>
          <t>VÄSTERBOTTENS LÄN</t>
        </is>
      </c>
      <c r="E6549" t="inlineStr">
        <is>
          <t>MALÅ</t>
        </is>
      </c>
      <c r="G6549" t="n">
        <v>30.4</v>
      </c>
      <c r="H6549" t="n">
        <v>0</v>
      </c>
      <c r="I6549" t="n">
        <v>0</v>
      </c>
      <c r="J6549" t="n">
        <v>0</v>
      </c>
      <c r="K6549" t="n">
        <v>0</v>
      </c>
      <c r="L6549" t="n">
        <v>0</v>
      </c>
      <c r="M6549" t="n">
        <v>0</v>
      </c>
      <c r="N6549" t="n">
        <v>0</v>
      </c>
      <c r="O6549" t="n">
        <v>0</v>
      </c>
      <c r="P6549" t="n">
        <v>0</v>
      </c>
      <c r="Q6549" t="n">
        <v>0</v>
      </c>
      <c r="R6549" s="2" t="inlineStr"/>
    </row>
    <row r="6550" ht="15" customHeight="1">
      <c r="A6550" t="inlineStr">
        <is>
          <t>A 2840-2024</t>
        </is>
      </c>
      <c r="B6550" s="1" t="n">
        <v>45315</v>
      </c>
      <c r="C6550" s="1" t="n">
        <v>45971</v>
      </c>
      <c r="D6550" t="inlineStr">
        <is>
          <t>VÄSTERBOTTENS LÄN</t>
        </is>
      </c>
      <c r="E6550" t="inlineStr">
        <is>
          <t>SKELLEFTEÅ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26372-2024</t>
        </is>
      </c>
      <c r="B6551" s="1" t="n">
        <v>45468</v>
      </c>
      <c r="C6551" s="1" t="n">
        <v>45971</v>
      </c>
      <c r="D6551" t="inlineStr">
        <is>
          <t>VÄSTERBOTTENS LÄN</t>
        </is>
      </c>
      <c r="E6551" t="inlineStr">
        <is>
          <t>ROBERTSFORS</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58872-2021</t>
        </is>
      </c>
      <c r="B6552" s="1" t="n">
        <v>44489</v>
      </c>
      <c r="C6552" s="1" t="n">
        <v>45971</v>
      </c>
      <c r="D6552" t="inlineStr">
        <is>
          <t>VÄSTERBOTTENS LÄN</t>
        </is>
      </c>
      <c r="E6552" t="inlineStr">
        <is>
          <t>SKELLEFTEÅ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7710-2023</t>
        </is>
      </c>
      <c r="B6553" s="1" t="n">
        <v>44972</v>
      </c>
      <c r="C6553" s="1" t="n">
        <v>45971</v>
      </c>
      <c r="D6553" t="inlineStr">
        <is>
          <t>VÄSTERBOTTENS LÄN</t>
        </is>
      </c>
      <c r="E6553" t="inlineStr">
        <is>
          <t>STORUMAN</t>
        </is>
      </c>
      <c r="G6553" t="n">
        <v>30.5</v>
      </c>
      <c r="H6553" t="n">
        <v>0</v>
      </c>
      <c r="I6553" t="n">
        <v>0</v>
      </c>
      <c r="J6553" t="n">
        <v>0</v>
      </c>
      <c r="K6553" t="n">
        <v>0</v>
      </c>
      <c r="L6553" t="n">
        <v>0</v>
      </c>
      <c r="M6553" t="n">
        <v>0</v>
      </c>
      <c r="N6553" t="n">
        <v>0</v>
      </c>
      <c r="O6553" t="n">
        <v>0</v>
      </c>
      <c r="P6553" t="n">
        <v>0</v>
      </c>
      <c r="Q6553" t="n">
        <v>0</v>
      </c>
      <c r="R6553" s="2" t="inlineStr"/>
    </row>
    <row r="6554" ht="15" customHeight="1">
      <c r="A6554" t="inlineStr">
        <is>
          <t>A 31648-2024</t>
        </is>
      </c>
      <c r="B6554" s="1" t="n">
        <v>45506.61575231481</v>
      </c>
      <c r="C6554" s="1" t="n">
        <v>45971</v>
      </c>
      <c r="D6554" t="inlineStr">
        <is>
          <t>VÄSTERBOTTENS LÄN</t>
        </is>
      </c>
      <c r="E6554" t="inlineStr">
        <is>
          <t>LYCKSELE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52536-2024</t>
        </is>
      </c>
      <c r="B6555" s="1" t="n">
        <v>45609.61851851852</v>
      </c>
      <c r="C6555" s="1" t="n">
        <v>45971</v>
      </c>
      <c r="D6555" t="inlineStr">
        <is>
          <t>VÄSTERBOTTENS LÄN</t>
        </is>
      </c>
      <c r="E6555" t="inlineStr">
        <is>
          <t>VÄNNÄS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36376-2023</t>
        </is>
      </c>
      <c r="B6556" s="1" t="n">
        <v>45152</v>
      </c>
      <c r="C6556" s="1" t="n">
        <v>45971</v>
      </c>
      <c r="D6556" t="inlineStr">
        <is>
          <t>VÄSTERBOTTENS LÄN</t>
        </is>
      </c>
      <c r="E6556" t="inlineStr">
        <is>
          <t>VILHELMINA</t>
        </is>
      </c>
      <c r="G6556" t="n">
        <v>12.7</v>
      </c>
      <c r="H6556" t="n">
        <v>0</v>
      </c>
      <c r="I6556" t="n">
        <v>0</v>
      </c>
      <c r="J6556" t="n">
        <v>0</v>
      </c>
      <c r="K6556" t="n">
        <v>0</v>
      </c>
      <c r="L6556" t="n">
        <v>0</v>
      </c>
      <c r="M6556" t="n">
        <v>0</v>
      </c>
      <c r="N6556" t="n">
        <v>0</v>
      </c>
      <c r="O6556" t="n">
        <v>0</v>
      </c>
      <c r="P6556" t="n">
        <v>0</v>
      </c>
      <c r="Q6556" t="n">
        <v>0</v>
      </c>
      <c r="R6556" s="2" t="inlineStr"/>
    </row>
    <row r="6557" ht="15" customHeight="1">
      <c r="A6557" t="inlineStr">
        <is>
          <t>A 36425-2023</t>
        </is>
      </c>
      <c r="B6557" s="1" t="n">
        <v>45152</v>
      </c>
      <c r="C6557" s="1" t="n">
        <v>45971</v>
      </c>
      <c r="D6557" t="inlineStr">
        <is>
          <t>VÄSTERBOTTENS LÄN</t>
        </is>
      </c>
      <c r="E6557" t="inlineStr">
        <is>
          <t>MALÅ</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27852-2024</t>
        </is>
      </c>
      <c r="B6558" s="1" t="n">
        <v>45475</v>
      </c>
      <c r="C6558" s="1" t="n">
        <v>45971</v>
      </c>
      <c r="D6558" t="inlineStr">
        <is>
          <t>VÄSTERBOTTENS LÄN</t>
        </is>
      </c>
      <c r="E6558" t="inlineStr">
        <is>
          <t>ROBERTSFORS</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52550-2024</t>
        </is>
      </c>
      <c r="B6559" s="1" t="n">
        <v>45609.64046296296</v>
      </c>
      <c r="C6559" s="1" t="n">
        <v>45971</v>
      </c>
      <c r="D6559" t="inlineStr">
        <is>
          <t>VÄSTERBOTTENS LÄN</t>
        </is>
      </c>
      <c r="E6559" t="inlineStr">
        <is>
          <t>BJURHOLM</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72125-2021</t>
        </is>
      </c>
      <c r="B6560" s="1" t="n">
        <v>44543</v>
      </c>
      <c r="C6560" s="1" t="n">
        <v>45971</v>
      </c>
      <c r="D6560" t="inlineStr">
        <is>
          <t>VÄSTERBOTTENS LÄN</t>
        </is>
      </c>
      <c r="E6560" t="inlineStr">
        <is>
          <t>UMEÅ</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24944-2022</t>
        </is>
      </c>
      <c r="B6561" s="1" t="n">
        <v>44728</v>
      </c>
      <c r="C6561" s="1" t="n">
        <v>45971</v>
      </c>
      <c r="D6561" t="inlineStr">
        <is>
          <t>VÄSTERBOTTENS LÄN</t>
        </is>
      </c>
      <c r="E6561" t="inlineStr">
        <is>
          <t>NORDMALING</t>
        </is>
      </c>
      <c r="G6561" t="n">
        <v>1.2</v>
      </c>
      <c r="H6561" t="n">
        <v>0</v>
      </c>
      <c r="I6561" t="n">
        <v>0</v>
      </c>
      <c r="J6561" t="n">
        <v>0</v>
      </c>
      <c r="K6561" t="n">
        <v>0</v>
      </c>
      <c r="L6561" t="n">
        <v>0</v>
      </c>
      <c r="M6561" t="n">
        <v>0</v>
      </c>
      <c r="N6561" t="n">
        <v>0</v>
      </c>
      <c r="O6561" t="n">
        <v>0</v>
      </c>
      <c r="P6561" t="n">
        <v>0</v>
      </c>
      <c r="Q6561" t="n">
        <v>0</v>
      </c>
      <c r="R6561" s="2" t="inlineStr"/>
      <c r="U6561">
        <f>HYPERLINK("https://klasma.github.io/Logging_2401/knärot/A 24944-2022 karta knärot.png", "A 24944-2022")</f>
        <v/>
      </c>
      <c r="V6561">
        <f>HYPERLINK("https://klasma.github.io/Logging_2401/klagomål/A 24944-2022 FSC-klagomål.docx", "A 24944-2022")</f>
        <v/>
      </c>
      <c r="W6561">
        <f>HYPERLINK("https://klasma.github.io/Logging_2401/klagomålsmail/A 24944-2022 FSC-klagomål mail.docx", "A 24944-2022")</f>
        <v/>
      </c>
      <c r="X6561">
        <f>HYPERLINK("https://klasma.github.io/Logging_2401/tillsyn/A 24944-2022 tillsynsbegäran.docx", "A 24944-2022")</f>
        <v/>
      </c>
      <c r="Y6561">
        <f>HYPERLINK("https://klasma.github.io/Logging_2401/tillsynsmail/A 24944-2022 tillsynsbegäran mail.docx", "A 24944-2022")</f>
        <v/>
      </c>
    </row>
    <row r="6562" ht="15" customHeight="1">
      <c r="A6562" t="inlineStr">
        <is>
          <t>A 46904-2025</t>
        </is>
      </c>
      <c r="B6562" s="1" t="n">
        <v>45929</v>
      </c>
      <c r="C6562" s="1" t="n">
        <v>45971</v>
      </c>
      <c r="D6562" t="inlineStr">
        <is>
          <t>VÄSTERBOTTENS LÄN</t>
        </is>
      </c>
      <c r="E6562" t="inlineStr">
        <is>
          <t>SKELLEFTEÅ</t>
        </is>
      </c>
      <c r="F6562" t="inlineStr">
        <is>
          <t>Kyrkan</t>
        </is>
      </c>
      <c r="G6562" t="n">
        <v>21.8</v>
      </c>
      <c r="H6562" t="n">
        <v>0</v>
      </c>
      <c r="I6562" t="n">
        <v>0</v>
      </c>
      <c r="J6562" t="n">
        <v>0</v>
      </c>
      <c r="K6562" t="n">
        <v>0</v>
      </c>
      <c r="L6562" t="n">
        <v>0</v>
      </c>
      <c r="M6562" t="n">
        <v>0</v>
      </c>
      <c r="N6562" t="n">
        <v>0</v>
      </c>
      <c r="O6562" t="n">
        <v>0</v>
      </c>
      <c r="P6562" t="n">
        <v>0</v>
      </c>
      <c r="Q6562" t="n">
        <v>0</v>
      </c>
      <c r="R6562" s="2" t="inlineStr"/>
    </row>
    <row r="6563" ht="15" customHeight="1">
      <c r="A6563" t="inlineStr">
        <is>
          <t>A 40260-2025</t>
        </is>
      </c>
      <c r="B6563" s="1" t="n">
        <v>45895.3334837963</v>
      </c>
      <c r="C6563" s="1" t="n">
        <v>45971</v>
      </c>
      <c r="D6563" t="inlineStr">
        <is>
          <t>VÄSTERBOTTENS LÄN</t>
        </is>
      </c>
      <c r="E6563" t="inlineStr">
        <is>
          <t>ROBERTSFORS</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30575-2024</t>
        </is>
      </c>
      <c r="B6564" s="1" t="n">
        <v>45492.95818287037</v>
      </c>
      <c r="C6564" s="1" t="n">
        <v>45971</v>
      </c>
      <c r="D6564" t="inlineStr">
        <is>
          <t>VÄSTERBOTTENS LÄN</t>
        </is>
      </c>
      <c r="E6564" t="inlineStr">
        <is>
          <t>VILHELMINA</t>
        </is>
      </c>
      <c r="F6564" t="inlineStr">
        <is>
          <t>SCA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30578-2024</t>
        </is>
      </c>
      <c r="B6565" s="1" t="n">
        <v>45492.95939814814</v>
      </c>
      <c r="C6565" s="1" t="n">
        <v>45971</v>
      </c>
      <c r="D6565" t="inlineStr">
        <is>
          <t>VÄSTERBOTTENS LÄN</t>
        </is>
      </c>
      <c r="E6565" t="inlineStr">
        <is>
          <t>VILHELMINA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30580-2024</t>
        </is>
      </c>
      <c r="B6566" s="1" t="n">
        <v>45492.95981481481</v>
      </c>
      <c r="C6566" s="1" t="n">
        <v>45971</v>
      </c>
      <c r="D6566" t="inlineStr">
        <is>
          <t>VÄSTERBOTTENS LÄN</t>
        </is>
      </c>
      <c r="E6566" t="inlineStr">
        <is>
          <t>VILHELMINA</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30581-2024</t>
        </is>
      </c>
      <c r="B6567" s="1" t="n">
        <v>45492.96038194445</v>
      </c>
      <c r="C6567" s="1" t="n">
        <v>45971</v>
      </c>
      <c r="D6567" t="inlineStr">
        <is>
          <t>VÄSTERBOTTENS LÄN</t>
        </is>
      </c>
      <c r="E6567" t="inlineStr">
        <is>
          <t>LYCKSELE</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40262-2025</t>
        </is>
      </c>
      <c r="B6568" s="1" t="n">
        <v>45895.33680555555</v>
      </c>
      <c r="C6568" s="1" t="n">
        <v>45971</v>
      </c>
      <c r="D6568" t="inlineStr">
        <is>
          <t>VÄSTERBOTTENS LÄN</t>
        </is>
      </c>
      <c r="E6568" t="inlineStr">
        <is>
          <t>NORSJÖ</t>
        </is>
      </c>
      <c r="F6568" t="inlineStr">
        <is>
          <t>Holmen skog AB</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72018-2021</t>
        </is>
      </c>
      <c r="B6569" s="1" t="n">
        <v>44540</v>
      </c>
      <c r="C6569" s="1" t="n">
        <v>45971</v>
      </c>
      <c r="D6569" t="inlineStr">
        <is>
          <t>VÄSTERBOTTENS LÄN</t>
        </is>
      </c>
      <c r="E6569" t="inlineStr">
        <is>
          <t>NORDMALING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72153-2021</t>
        </is>
      </c>
      <c r="B6570" s="1" t="n">
        <v>44543</v>
      </c>
      <c r="C6570" s="1" t="n">
        <v>45971</v>
      </c>
      <c r="D6570" t="inlineStr">
        <is>
          <t>VÄSTERBOTTENS LÄN</t>
        </is>
      </c>
      <c r="E6570" t="inlineStr">
        <is>
          <t>VILHELMINA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46212-2024</t>
        </is>
      </c>
      <c r="B6571" s="1" t="n">
        <v>45581.55569444445</v>
      </c>
      <c r="C6571" s="1" t="n">
        <v>45971</v>
      </c>
      <c r="D6571" t="inlineStr">
        <is>
          <t>VÄSTERBOTTENS LÄN</t>
        </is>
      </c>
      <c r="E6571" t="inlineStr">
        <is>
          <t>VÄNNÄS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35983-2023</t>
        </is>
      </c>
      <c r="B6572" s="1" t="n">
        <v>45148.96185185185</v>
      </c>
      <c r="C6572" s="1" t="n">
        <v>45971</v>
      </c>
      <c r="D6572" t="inlineStr">
        <is>
          <t>VÄSTERBOTTENS LÄN</t>
        </is>
      </c>
      <c r="E6572" t="inlineStr">
        <is>
          <t>VILHELMINA</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29524-2023</t>
        </is>
      </c>
      <c r="B6573" s="1" t="n">
        <v>45106.62175925926</v>
      </c>
      <c r="C6573" s="1" t="n">
        <v>45971</v>
      </c>
      <c r="D6573" t="inlineStr">
        <is>
          <t>VÄSTERBOTTENS LÄN</t>
        </is>
      </c>
      <c r="E6573" t="inlineStr">
        <is>
          <t>LYCKSELE</t>
        </is>
      </c>
      <c r="F6573" t="inlineStr">
        <is>
          <t>Holmen skog AB</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35491-2022</t>
        </is>
      </c>
      <c r="B6574" s="1" t="n">
        <v>44798</v>
      </c>
      <c r="C6574" s="1" t="n">
        <v>45971</v>
      </c>
      <c r="D6574" t="inlineStr">
        <is>
          <t>VÄSTERBOTTENS LÄN</t>
        </is>
      </c>
      <c r="E6574" t="inlineStr">
        <is>
          <t>SKELLEFTEÅ</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40615-2025</t>
        </is>
      </c>
      <c r="B6575" s="1" t="n">
        <v>45896.57956018519</v>
      </c>
      <c r="C6575" s="1" t="n">
        <v>45971</v>
      </c>
      <c r="D6575" t="inlineStr">
        <is>
          <t>VÄSTERBOTTENS LÄN</t>
        </is>
      </c>
      <c r="E6575" t="inlineStr">
        <is>
          <t>SKELLEFTEÅ</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57777-2023</t>
        </is>
      </c>
      <c r="B6576" s="1" t="n">
        <v>45246</v>
      </c>
      <c r="C6576" s="1" t="n">
        <v>45971</v>
      </c>
      <c r="D6576" t="inlineStr">
        <is>
          <t>VÄSTERBOTTENS LÄN</t>
        </is>
      </c>
      <c r="E6576" t="inlineStr">
        <is>
          <t>VÄNNÄS</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40342-2025</t>
        </is>
      </c>
      <c r="B6577" s="1" t="n">
        <v>45895.46971064815</v>
      </c>
      <c r="C6577" s="1" t="n">
        <v>45971</v>
      </c>
      <c r="D6577" t="inlineStr">
        <is>
          <t>VÄSTERBOTTENS LÄN</t>
        </is>
      </c>
      <c r="E6577" t="inlineStr">
        <is>
          <t>LYCKSELE</t>
        </is>
      </c>
      <c r="F6577" t="inlineStr">
        <is>
          <t>Holmen skog AB</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46156-2024</t>
        </is>
      </c>
      <c r="B6578" s="1" t="n">
        <v>45581.45914351852</v>
      </c>
      <c r="C6578" s="1" t="n">
        <v>45971</v>
      </c>
      <c r="D6578" t="inlineStr">
        <is>
          <t>VÄSTERBOTTENS LÄN</t>
        </is>
      </c>
      <c r="E6578" t="inlineStr">
        <is>
          <t>ROBERTSFORS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15459-2025</t>
        </is>
      </c>
      <c r="B6579" s="1" t="n">
        <v>45747.50991898148</v>
      </c>
      <c r="C6579" s="1" t="n">
        <v>45971</v>
      </c>
      <c r="D6579" t="inlineStr">
        <is>
          <t>VÄSTERBOTTENS LÄN</t>
        </is>
      </c>
      <c r="E6579" t="inlineStr">
        <is>
          <t>UMEÅ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60570-2024</t>
        </is>
      </c>
      <c r="B6580" s="1" t="n">
        <v>45644.32280092593</v>
      </c>
      <c r="C6580" s="1" t="n">
        <v>45971</v>
      </c>
      <c r="D6580" t="inlineStr">
        <is>
          <t>VÄSTERBOTTENS LÄN</t>
        </is>
      </c>
      <c r="E6580" t="inlineStr">
        <is>
          <t>ROBERTSFORS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24415-2024</t>
        </is>
      </c>
      <c r="B6581" s="1" t="n">
        <v>45457</v>
      </c>
      <c r="C6581" s="1" t="n">
        <v>45971</v>
      </c>
      <c r="D6581" t="inlineStr">
        <is>
          <t>VÄSTERBOTTENS LÄN</t>
        </is>
      </c>
      <c r="E6581" t="inlineStr">
        <is>
          <t>NORDMALING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31946-2024</t>
        </is>
      </c>
      <c r="B6582" s="1" t="n">
        <v>45510</v>
      </c>
      <c r="C6582" s="1" t="n">
        <v>45971</v>
      </c>
      <c r="D6582" t="inlineStr">
        <is>
          <t>VÄSTERBOTTENS LÄN</t>
        </is>
      </c>
      <c r="E6582" t="inlineStr">
        <is>
          <t>VINDELN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23520-2024</t>
        </is>
      </c>
      <c r="B6583" s="1" t="n">
        <v>45453</v>
      </c>
      <c r="C6583" s="1" t="n">
        <v>45971</v>
      </c>
      <c r="D6583" t="inlineStr">
        <is>
          <t>VÄSTERBOTTENS LÄN</t>
        </is>
      </c>
      <c r="E6583" t="inlineStr">
        <is>
          <t>SKELLEFTEÅ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23536-2024</t>
        </is>
      </c>
      <c r="B6584" s="1" t="n">
        <v>45453.95199074074</v>
      </c>
      <c r="C6584" s="1" t="n">
        <v>45971</v>
      </c>
      <c r="D6584" t="inlineStr">
        <is>
          <t>VÄSTERBOTTENS LÄN</t>
        </is>
      </c>
      <c r="E6584" t="inlineStr">
        <is>
          <t>VILHELMINA</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31966-2024</t>
        </is>
      </c>
      <c r="B6585" s="1" t="n">
        <v>45510.53748842593</v>
      </c>
      <c r="C6585" s="1" t="n">
        <v>45971</v>
      </c>
      <c r="D6585" t="inlineStr">
        <is>
          <t>VÄSTERBOTTENS LÄN</t>
        </is>
      </c>
      <c r="E6585" t="inlineStr">
        <is>
          <t>SKELLEFTEÅ</t>
        </is>
      </c>
      <c r="F6585" t="inlineStr">
        <is>
          <t>Holmen skog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13348-2023</t>
        </is>
      </c>
      <c r="B6586" s="1" t="n">
        <v>45005</v>
      </c>
      <c r="C6586" s="1" t="n">
        <v>45971</v>
      </c>
      <c r="D6586" t="inlineStr">
        <is>
          <t>VÄSTERBOTTENS LÄN</t>
        </is>
      </c>
      <c r="E6586" t="inlineStr">
        <is>
          <t>ÅSELE</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40600-2025</t>
        </is>
      </c>
      <c r="B6587" s="1" t="n">
        <v>45896.55915509259</v>
      </c>
      <c r="C6587" s="1" t="n">
        <v>45971</v>
      </c>
      <c r="D6587" t="inlineStr">
        <is>
          <t>VÄSTERBOTTENS LÄN</t>
        </is>
      </c>
      <c r="E6587" t="inlineStr">
        <is>
          <t>VINDELN</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40603-2025</t>
        </is>
      </c>
      <c r="B6588" s="1" t="n">
        <v>45896.56402777778</v>
      </c>
      <c r="C6588" s="1" t="n">
        <v>45971</v>
      </c>
      <c r="D6588" t="inlineStr">
        <is>
          <t>VÄSTERBOTTENS LÄN</t>
        </is>
      </c>
      <c r="E6588" t="inlineStr">
        <is>
          <t>VINDELN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7635-2024</t>
        </is>
      </c>
      <c r="B6589" s="1" t="n">
        <v>45348.62467592592</v>
      </c>
      <c r="C6589" s="1" t="n">
        <v>45971</v>
      </c>
      <c r="D6589" t="inlineStr">
        <is>
          <t>VÄSTERBOTTENS LÄN</t>
        </is>
      </c>
      <c r="E6589" t="inlineStr">
        <is>
          <t>UMEÅ</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57008-2024</t>
        </is>
      </c>
      <c r="B6590" s="1" t="n">
        <v>45628</v>
      </c>
      <c r="C6590" s="1" t="n">
        <v>45971</v>
      </c>
      <c r="D6590" t="inlineStr">
        <is>
          <t>VÄSTERBOTTENS LÄN</t>
        </is>
      </c>
      <c r="E6590" t="inlineStr">
        <is>
          <t>ROBERTSFORS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27818-2024</t>
        </is>
      </c>
      <c r="B6591" s="1" t="n">
        <v>45475.60128472222</v>
      </c>
      <c r="C6591" s="1" t="n">
        <v>45971</v>
      </c>
      <c r="D6591" t="inlineStr">
        <is>
          <t>VÄSTERBOTTENS LÄN</t>
        </is>
      </c>
      <c r="E6591" t="inlineStr">
        <is>
          <t>LYCKSELE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40664-2025</t>
        </is>
      </c>
      <c r="B6592" s="1" t="n">
        <v>45896.65391203704</v>
      </c>
      <c r="C6592" s="1" t="n">
        <v>45971</v>
      </c>
      <c r="D6592" t="inlineStr">
        <is>
          <t>VÄSTERBOTTENS LÄN</t>
        </is>
      </c>
      <c r="E6592" t="inlineStr">
        <is>
          <t>STORUMAN</t>
        </is>
      </c>
      <c r="F6592" t="inlineStr">
        <is>
          <t>Holmen skog AB</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10082-2025</t>
        </is>
      </c>
      <c r="B6593" s="1" t="n">
        <v>45719</v>
      </c>
      <c r="C6593" s="1" t="n">
        <v>45971</v>
      </c>
      <c r="D6593" t="inlineStr">
        <is>
          <t>VÄSTERBOTTENS LÄN</t>
        </is>
      </c>
      <c r="E6593" t="inlineStr">
        <is>
          <t>SKELLEFTEÅ</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49408-2025</t>
        </is>
      </c>
      <c r="B6594" s="1" t="n">
        <v>45938.678125</v>
      </c>
      <c r="C6594" s="1" t="n">
        <v>45971</v>
      </c>
      <c r="D6594" t="inlineStr">
        <is>
          <t>VÄSTERBOTTENS LÄN</t>
        </is>
      </c>
      <c r="E6594" t="inlineStr">
        <is>
          <t>DOROTEA</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10852-2023</t>
        </is>
      </c>
      <c r="B6595" s="1" t="n">
        <v>44985</v>
      </c>
      <c r="C6595" s="1" t="n">
        <v>45971</v>
      </c>
      <c r="D6595" t="inlineStr">
        <is>
          <t>VÄSTERBOTTENS LÄN</t>
        </is>
      </c>
      <c r="E6595" t="inlineStr">
        <is>
          <t>SKELLEFTEÅ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60510-2022</t>
        </is>
      </c>
      <c r="B6596" s="1" t="n">
        <v>44911</v>
      </c>
      <c r="C6596" s="1" t="n">
        <v>45971</v>
      </c>
      <c r="D6596" t="inlineStr">
        <is>
          <t>VÄSTERBOTTENS LÄN</t>
        </is>
      </c>
      <c r="E6596" t="inlineStr">
        <is>
          <t>ROBERTSFORS</t>
        </is>
      </c>
      <c r="F6596" t="inlineStr">
        <is>
          <t>Sveaskog</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12364-2025</t>
        </is>
      </c>
      <c r="B6597" s="1" t="n">
        <v>45730.37515046296</v>
      </c>
      <c r="C6597" s="1" t="n">
        <v>45971</v>
      </c>
      <c r="D6597" t="inlineStr">
        <is>
          <t>VÄSTERBOTTENS LÄN</t>
        </is>
      </c>
      <c r="E6597" t="inlineStr">
        <is>
          <t>VILHELMINA</t>
        </is>
      </c>
      <c r="F6597" t="inlineStr">
        <is>
          <t>Övriga statliga verk och myndigheter</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48976-2025</t>
        </is>
      </c>
      <c r="B6598" s="1" t="n">
        <v>45937.56901620371</v>
      </c>
      <c r="C6598" s="1" t="n">
        <v>45971</v>
      </c>
      <c r="D6598" t="inlineStr">
        <is>
          <t>VÄSTERBOTTENS LÄN</t>
        </is>
      </c>
      <c r="E6598" t="inlineStr">
        <is>
          <t>MALÅ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7996-2023</t>
        </is>
      </c>
      <c r="B6599" s="1" t="n">
        <v>44973.80899305556</v>
      </c>
      <c r="C6599" s="1" t="n">
        <v>45971</v>
      </c>
      <c r="D6599" t="inlineStr">
        <is>
          <t>VÄSTERBOTTENS LÄN</t>
        </is>
      </c>
      <c r="E6599" t="inlineStr">
        <is>
          <t>VINDELN</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27671-2024</t>
        </is>
      </c>
      <c r="B6600" s="1" t="n">
        <v>45474.95578703703</v>
      </c>
      <c r="C6600" s="1" t="n">
        <v>45971</v>
      </c>
      <c r="D6600" t="inlineStr">
        <is>
          <t>VÄSTERBOTTENS LÄN</t>
        </is>
      </c>
      <c r="E6600" t="inlineStr">
        <is>
          <t>LYCKSELE</t>
        </is>
      </c>
      <c r="F6600" t="inlineStr">
        <is>
          <t>Naturvårdsverket</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35011-2024</t>
        </is>
      </c>
      <c r="B6601" s="1" t="n">
        <v>45527</v>
      </c>
      <c r="C6601" s="1" t="n">
        <v>45971</v>
      </c>
      <c r="D6601" t="inlineStr">
        <is>
          <t>VÄSTERBOTTENS LÄN</t>
        </is>
      </c>
      <c r="E6601" t="inlineStr">
        <is>
          <t>VÄNNÄS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12377-2025</t>
        </is>
      </c>
      <c r="B6602" s="1" t="n">
        <v>45730</v>
      </c>
      <c r="C6602" s="1" t="n">
        <v>45971</v>
      </c>
      <c r="D6602" t="inlineStr">
        <is>
          <t>VÄSTERBOTTENS LÄN</t>
        </is>
      </c>
      <c r="E6602" t="inlineStr">
        <is>
          <t>VILHELMINA</t>
        </is>
      </c>
      <c r="F6602" t="inlineStr">
        <is>
          <t>Övriga statliga verk och myndigheter</t>
        </is>
      </c>
      <c r="G6602" t="n">
        <v>37.1</v>
      </c>
      <c r="H6602" t="n">
        <v>0</v>
      </c>
      <c r="I6602" t="n">
        <v>0</v>
      </c>
      <c r="J6602" t="n">
        <v>0</v>
      </c>
      <c r="K6602" t="n">
        <v>0</v>
      </c>
      <c r="L6602" t="n">
        <v>0</v>
      </c>
      <c r="M6602" t="n">
        <v>0</v>
      </c>
      <c r="N6602" t="n">
        <v>0</v>
      </c>
      <c r="O6602" t="n">
        <v>0</v>
      </c>
      <c r="P6602" t="n">
        <v>0</v>
      </c>
      <c r="Q6602" t="n">
        <v>0</v>
      </c>
      <c r="R6602" s="2" t="inlineStr"/>
    </row>
    <row r="6603" ht="15" customHeight="1">
      <c r="A6603" t="inlineStr">
        <is>
          <t>A 38083-2023</t>
        </is>
      </c>
      <c r="B6603" s="1" t="n">
        <v>45160</v>
      </c>
      <c r="C6603" s="1" t="n">
        <v>45971</v>
      </c>
      <c r="D6603" t="inlineStr">
        <is>
          <t>VÄSTERBOTTENS LÄN</t>
        </is>
      </c>
      <c r="E6603" t="inlineStr">
        <is>
          <t>ROBERTSFORS</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35035-2024</t>
        </is>
      </c>
      <c r="B6604" s="1" t="n">
        <v>45527.61482638889</v>
      </c>
      <c r="C6604" s="1" t="n">
        <v>45971</v>
      </c>
      <c r="D6604" t="inlineStr">
        <is>
          <t>VÄSTERBOTTENS LÄN</t>
        </is>
      </c>
      <c r="E6604" t="inlineStr">
        <is>
          <t>SKELLEFTEÅ</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35569-2024</t>
        </is>
      </c>
      <c r="B6605" s="1" t="n">
        <v>45531.6409375</v>
      </c>
      <c r="C6605" s="1" t="n">
        <v>45971</v>
      </c>
      <c r="D6605" t="inlineStr">
        <is>
          <t>VÄSTERBOTTENS LÄN</t>
        </is>
      </c>
      <c r="E6605" t="inlineStr">
        <is>
          <t>LYCKSELE</t>
        </is>
      </c>
      <c r="F6605" t="inlineStr">
        <is>
          <t>Sveaskog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49242-2025</t>
        </is>
      </c>
      <c r="B6606" s="1" t="n">
        <v>45937</v>
      </c>
      <c r="C6606" s="1" t="n">
        <v>45971</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10337-2024</t>
        </is>
      </c>
      <c r="B6607" s="1" t="n">
        <v>45365</v>
      </c>
      <c r="C6607" s="1" t="n">
        <v>45971</v>
      </c>
      <c r="D6607" t="inlineStr">
        <is>
          <t>VÄSTERBOTTENS LÄN</t>
        </is>
      </c>
      <c r="E6607" t="inlineStr">
        <is>
          <t>ROBERTSFORS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35615-2024</t>
        </is>
      </c>
      <c r="B6608" s="1" t="n">
        <v>45531.69771990741</v>
      </c>
      <c r="C6608" s="1" t="n">
        <v>45971</v>
      </c>
      <c r="D6608" t="inlineStr">
        <is>
          <t>VÄSTERBOTTENS LÄN</t>
        </is>
      </c>
      <c r="E6608" t="inlineStr">
        <is>
          <t>VINDELN</t>
        </is>
      </c>
      <c r="F6608" t="inlineStr">
        <is>
          <t>Holmen skog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35630-2024</t>
        </is>
      </c>
      <c r="B6609" s="1" t="n">
        <v>45531</v>
      </c>
      <c r="C6609" s="1" t="n">
        <v>45971</v>
      </c>
      <c r="D6609" t="inlineStr">
        <is>
          <t>VÄSTERBOTTENS LÄN</t>
        </is>
      </c>
      <c r="E6609" t="inlineStr">
        <is>
          <t>UMEÅ</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57003-2024</t>
        </is>
      </c>
      <c r="B6610" s="1" t="n">
        <v>45628.73037037037</v>
      </c>
      <c r="C6610" s="1" t="n">
        <v>45971</v>
      </c>
      <c r="D6610" t="inlineStr">
        <is>
          <t>VÄSTERBOTTENS LÄN</t>
        </is>
      </c>
      <c r="E6610" t="inlineStr">
        <is>
          <t>SKELLEFTEÅ</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57020-2024</t>
        </is>
      </c>
      <c r="B6611" s="1" t="n">
        <v>45626</v>
      </c>
      <c r="C6611" s="1" t="n">
        <v>45971</v>
      </c>
      <c r="D6611" t="inlineStr">
        <is>
          <t>VÄSTERBOTTENS LÄN</t>
        </is>
      </c>
      <c r="E6611" t="inlineStr">
        <is>
          <t>SORSELE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49140-2025</t>
        </is>
      </c>
      <c r="B6612" s="1" t="n">
        <v>45938.31708333334</v>
      </c>
      <c r="C6612" s="1" t="n">
        <v>45971</v>
      </c>
      <c r="D6612" t="inlineStr">
        <is>
          <t>VÄSTERBOTTENS LÄN</t>
        </is>
      </c>
      <c r="E6612" t="inlineStr">
        <is>
          <t>ROBERTSFORS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36448-2024</t>
        </is>
      </c>
      <c r="B6613" s="1" t="n">
        <v>45537</v>
      </c>
      <c r="C6613" s="1" t="n">
        <v>45971</v>
      </c>
      <c r="D6613" t="inlineStr">
        <is>
          <t>VÄSTERBOTTENS LÄN</t>
        </is>
      </c>
      <c r="E6613" t="inlineStr">
        <is>
          <t>BJURHOLM</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5687-2025</t>
        </is>
      </c>
      <c r="B6614" s="1" t="n">
        <v>45694</v>
      </c>
      <c r="C6614" s="1" t="n">
        <v>45971</v>
      </c>
      <c r="D6614" t="inlineStr">
        <is>
          <t>VÄSTERBOTTENS LÄN</t>
        </is>
      </c>
      <c r="E6614" t="inlineStr">
        <is>
          <t>LYCKSELE</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45192-2024</t>
        </is>
      </c>
      <c r="B6615" s="1" t="n">
        <v>45575.67871527778</v>
      </c>
      <c r="C6615" s="1" t="n">
        <v>45971</v>
      </c>
      <c r="D6615" t="inlineStr">
        <is>
          <t>VÄSTERBOTTENS LÄN</t>
        </is>
      </c>
      <c r="E6615" t="inlineStr">
        <is>
          <t>VINDELN</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48761-2024</t>
        </is>
      </c>
      <c r="B6616" s="1" t="n">
        <v>45593</v>
      </c>
      <c r="C6616" s="1" t="n">
        <v>45971</v>
      </c>
      <c r="D6616" t="inlineStr">
        <is>
          <t>VÄSTERBOTTENS LÄN</t>
        </is>
      </c>
      <c r="E6616" t="inlineStr">
        <is>
          <t>STORUMAN</t>
        </is>
      </c>
      <c r="G6616" t="n">
        <v>35.7</v>
      </c>
      <c r="H6616" t="n">
        <v>0</v>
      </c>
      <c r="I6616" t="n">
        <v>0</v>
      </c>
      <c r="J6616" t="n">
        <v>0</v>
      </c>
      <c r="K6616" t="n">
        <v>0</v>
      </c>
      <c r="L6616" t="n">
        <v>0</v>
      </c>
      <c r="M6616" t="n">
        <v>0</v>
      </c>
      <c r="N6616" t="n">
        <v>0</v>
      </c>
      <c r="O6616" t="n">
        <v>0</v>
      </c>
      <c r="P6616" t="n">
        <v>0</v>
      </c>
      <c r="Q6616" t="n">
        <v>0</v>
      </c>
      <c r="R6616" s="2" t="inlineStr"/>
    </row>
    <row r="6617" ht="15" customHeight="1">
      <c r="A6617" t="inlineStr">
        <is>
          <t>A 5700-2025</t>
        </is>
      </c>
      <c r="B6617" s="1" t="n">
        <v>45694.42777777778</v>
      </c>
      <c r="C6617" s="1" t="n">
        <v>45971</v>
      </c>
      <c r="D6617" t="inlineStr">
        <is>
          <t>VÄSTERBOTTENS LÄN</t>
        </is>
      </c>
      <c r="E6617" t="inlineStr">
        <is>
          <t>MALÅ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49361-2025</t>
        </is>
      </c>
      <c r="B6618" s="1" t="n">
        <v>45938.61686342592</v>
      </c>
      <c r="C6618" s="1" t="n">
        <v>45971</v>
      </c>
      <c r="D6618" t="inlineStr">
        <is>
          <t>VÄSTERBOTTENS LÄN</t>
        </is>
      </c>
      <c r="E6618" t="inlineStr">
        <is>
          <t>NORDMALING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45259-2024</t>
        </is>
      </c>
      <c r="B6619" s="1" t="n">
        <v>45576</v>
      </c>
      <c r="C6619" s="1" t="n">
        <v>45971</v>
      </c>
      <c r="D6619" t="inlineStr">
        <is>
          <t>VÄSTERBOTTENS LÄN</t>
        </is>
      </c>
      <c r="E6619" t="inlineStr">
        <is>
          <t>UMEÅ</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1746-2025</t>
        </is>
      </c>
      <c r="B6620" s="1" t="n">
        <v>45671.40643518518</v>
      </c>
      <c r="C6620" s="1" t="n">
        <v>45971</v>
      </c>
      <c r="D6620" t="inlineStr">
        <is>
          <t>VÄSTERBOTTENS LÄN</t>
        </is>
      </c>
      <c r="E6620" t="inlineStr">
        <is>
          <t>SKELLEFTEÅ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52795-2024</t>
        </is>
      </c>
      <c r="B6621" s="1" t="n">
        <v>45610</v>
      </c>
      <c r="C6621" s="1" t="n">
        <v>45971</v>
      </c>
      <c r="D6621" t="inlineStr">
        <is>
          <t>VÄSTERBOTTENS LÄN</t>
        </is>
      </c>
      <c r="E6621" t="inlineStr">
        <is>
          <t>MALÅ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14734-2023</t>
        </is>
      </c>
      <c r="B6622" s="1" t="n">
        <v>45013</v>
      </c>
      <c r="C6622" s="1" t="n">
        <v>45971</v>
      </c>
      <c r="D6622" t="inlineStr">
        <is>
          <t>VÄSTERBOTTENS LÄN</t>
        </is>
      </c>
      <c r="E6622" t="inlineStr">
        <is>
          <t>UMEÅ</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12197-2023</t>
        </is>
      </c>
      <c r="B6623" s="1" t="n">
        <v>44998</v>
      </c>
      <c r="C6623" s="1" t="n">
        <v>45971</v>
      </c>
      <c r="D6623" t="inlineStr">
        <is>
          <t>VÄSTERBOTTENS LÄN</t>
        </is>
      </c>
      <c r="E6623" t="inlineStr">
        <is>
          <t>BJURHOLM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18156-2023</t>
        </is>
      </c>
      <c r="B6624" s="1" t="n">
        <v>45040</v>
      </c>
      <c r="C6624" s="1" t="n">
        <v>45971</v>
      </c>
      <c r="D6624" t="inlineStr">
        <is>
          <t>VÄSTERBOTTENS LÄN</t>
        </is>
      </c>
      <c r="E6624" t="inlineStr">
        <is>
          <t>LYCKSELE</t>
        </is>
      </c>
      <c r="F6624" t="inlineStr">
        <is>
          <t>SCA</t>
        </is>
      </c>
      <c r="G6624" t="n">
        <v>22.9</v>
      </c>
      <c r="H6624" t="n">
        <v>0</v>
      </c>
      <c r="I6624" t="n">
        <v>0</v>
      </c>
      <c r="J6624" t="n">
        <v>0</v>
      </c>
      <c r="K6624" t="n">
        <v>0</v>
      </c>
      <c r="L6624" t="n">
        <v>0</v>
      </c>
      <c r="M6624" t="n">
        <v>0</v>
      </c>
      <c r="N6624" t="n">
        <v>0</v>
      </c>
      <c r="O6624" t="n">
        <v>0</v>
      </c>
      <c r="P6624" t="n">
        <v>0</v>
      </c>
      <c r="Q6624" t="n">
        <v>0</v>
      </c>
      <c r="R6624" s="2" t="inlineStr"/>
    </row>
    <row r="6625" ht="15" customHeight="1">
      <c r="A6625" t="inlineStr">
        <is>
          <t>A 20640-2025</t>
        </is>
      </c>
      <c r="B6625" s="1" t="n">
        <v>45776.37438657408</v>
      </c>
      <c r="C6625" s="1" t="n">
        <v>45971</v>
      </c>
      <c r="D6625" t="inlineStr">
        <is>
          <t>VÄSTERBOTTENS LÄN</t>
        </is>
      </c>
      <c r="E6625" t="inlineStr">
        <is>
          <t>VÄNNÄS</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20685-2025</t>
        </is>
      </c>
      <c r="B6626" s="1" t="n">
        <v>45776.45245370371</v>
      </c>
      <c r="C6626" s="1" t="n">
        <v>45971</v>
      </c>
      <c r="D6626" t="inlineStr">
        <is>
          <t>VÄSTERBOTTENS LÄN</t>
        </is>
      </c>
      <c r="E6626" t="inlineStr">
        <is>
          <t>LYCKSELE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62599-2023</t>
        </is>
      </c>
      <c r="B6627" s="1" t="n">
        <v>45267</v>
      </c>
      <c r="C6627" s="1" t="n">
        <v>45971</v>
      </c>
      <c r="D6627" t="inlineStr">
        <is>
          <t>VÄSTERBOTTENS LÄN</t>
        </is>
      </c>
      <c r="E6627" t="inlineStr">
        <is>
          <t>SKELLEFTEÅ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62601-2023</t>
        </is>
      </c>
      <c r="B6628" s="1" t="n">
        <v>45267</v>
      </c>
      <c r="C6628" s="1" t="n">
        <v>45971</v>
      </c>
      <c r="D6628" t="inlineStr">
        <is>
          <t>VÄSTERBOTTENS LÄN</t>
        </is>
      </c>
      <c r="E6628" t="inlineStr">
        <is>
          <t>SKELLEFTEÅ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32561-2023</t>
        </is>
      </c>
      <c r="B6629" s="1" t="n">
        <v>45121.45128472222</v>
      </c>
      <c r="C6629" s="1" t="n">
        <v>45971</v>
      </c>
      <c r="D6629" t="inlineStr">
        <is>
          <t>VÄSTERBOTTENS LÄN</t>
        </is>
      </c>
      <c r="E6629" t="inlineStr">
        <is>
          <t>ÅSELE</t>
        </is>
      </c>
      <c r="F6629" t="inlineStr">
        <is>
          <t>Naturvårdsverket</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52822-2024</t>
        </is>
      </c>
      <c r="B6630" s="1" t="n">
        <v>45610.5895949074</v>
      </c>
      <c r="C6630" s="1" t="n">
        <v>45971</v>
      </c>
      <c r="D6630" t="inlineStr">
        <is>
          <t>VÄSTERBOTTENS LÄN</t>
        </is>
      </c>
      <c r="E6630" t="inlineStr">
        <is>
          <t>NORSJÖ</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52833-2024</t>
        </is>
      </c>
      <c r="B6631" s="1" t="n">
        <v>45610.59439814815</v>
      </c>
      <c r="C6631" s="1" t="n">
        <v>45971</v>
      </c>
      <c r="D6631" t="inlineStr">
        <is>
          <t>VÄSTERBOTTENS LÄN</t>
        </is>
      </c>
      <c r="E6631" t="inlineStr">
        <is>
          <t>ROBERTSFORS</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12410-2025</t>
        </is>
      </c>
      <c r="B6632" s="1" t="n">
        <v>45730.43505787037</v>
      </c>
      <c r="C6632" s="1" t="n">
        <v>45971</v>
      </c>
      <c r="D6632" t="inlineStr">
        <is>
          <t>VÄSTERBOTTENS LÄN</t>
        </is>
      </c>
      <c r="E6632" t="inlineStr">
        <is>
          <t>VÄNNÄS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59671-2023</t>
        </is>
      </c>
      <c r="B6633" s="1" t="n">
        <v>45254.96524305556</v>
      </c>
      <c r="C6633" s="1" t="n">
        <v>45971</v>
      </c>
      <c r="D6633" t="inlineStr">
        <is>
          <t>VÄSTERBOTTENS LÄN</t>
        </is>
      </c>
      <c r="E6633" t="inlineStr">
        <is>
          <t>VILHELMINA</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45770-2024</t>
        </is>
      </c>
      <c r="B6634" s="1" t="n">
        <v>45579.64884259259</v>
      </c>
      <c r="C6634" s="1" t="n">
        <v>45971</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12424-2025</t>
        </is>
      </c>
      <c r="B6635" s="1" t="n">
        <v>45730.45533564815</v>
      </c>
      <c r="C6635" s="1" t="n">
        <v>45971</v>
      </c>
      <c r="D6635" t="inlineStr">
        <is>
          <t>VÄSTERBOTTENS LÄN</t>
        </is>
      </c>
      <c r="E6635" t="inlineStr">
        <is>
          <t>LYCKSELE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40532-2025</t>
        </is>
      </c>
      <c r="B6636" s="1" t="n">
        <v>45896.39108796296</v>
      </c>
      <c r="C6636" s="1" t="n">
        <v>45971</v>
      </c>
      <c r="D6636" t="inlineStr">
        <is>
          <t>VÄSTERBOTTENS LÄN</t>
        </is>
      </c>
      <c r="E6636" t="inlineStr">
        <is>
          <t>VINDELN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20800-2025</t>
        </is>
      </c>
      <c r="B6637" s="1" t="n">
        <v>45776.6444212963</v>
      </c>
      <c r="C6637" s="1" t="n">
        <v>45971</v>
      </c>
      <c r="D6637" t="inlineStr">
        <is>
          <t>VÄSTERBOTTENS LÄN</t>
        </is>
      </c>
      <c r="E6637" t="inlineStr">
        <is>
          <t>VINDELN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1814-2025</t>
        </is>
      </c>
      <c r="B6638" s="1" t="n">
        <v>45671</v>
      </c>
      <c r="C6638" s="1" t="n">
        <v>45971</v>
      </c>
      <c r="D6638" t="inlineStr">
        <is>
          <t>VÄSTERBOTTENS LÄN</t>
        </is>
      </c>
      <c r="E6638" t="inlineStr">
        <is>
          <t>ROBERTSFORS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59516-2021</t>
        </is>
      </c>
      <c r="B6639" s="1" t="n">
        <v>44491</v>
      </c>
      <c r="C6639" s="1" t="n">
        <v>45971</v>
      </c>
      <c r="D6639" t="inlineStr">
        <is>
          <t>VÄSTERBOTTENS LÄN</t>
        </is>
      </c>
      <c r="E6639" t="inlineStr">
        <is>
          <t>LYCKSELE</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31865-2023</t>
        </is>
      </c>
      <c r="B6640" s="1" t="n">
        <v>45118.61383101852</v>
      </c>
      <c r="C6640" s="1" t="n">
        <v>45971</v>
      </c>
      <c r="D6640" t="inlineStr">
        <is>
          <t>VÄSTERBOTTENS LÄN</t>
        </is>
      </c>
      <c r="E6640" t="inlineStr">
        <is>
          <t>VÄNNÄS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20796-2025</t>
        </is>
      </c>
      <c r="B6641" s="1" t="n">
        <v>45776.63987268518</v>
      </c>
      <c r="C6641" s="1" t="n">
        <v>45971</v>
      </c>
      <c r="D6641" t="inlineStr">
        <is>
          <t>VÄSTERBOTTENS LÄN</t>
        </is>
      </c>
      <c r="E6641" t="inlineStr">
        <is>
          <t>VINDELN</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40282-2025</t>
        </is>
      </c>
      <c r="B6642" s="1" t="n">
        <v>45895.36784722222</v>
      </c>
      <c r="C6642" s="1" t="n">
        <v>45971</v>
      </c>
      <c r="D6642" t="inlineStr">
        <is>
          <t>VÄSTERBOTTENS LÄN</t>
        </is>
      </c>
      <c r="E6642" t="inlineStr">
        <is>
          <t>NORSJÖ</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30583-2024</t>
        </is>
      </c>
      <c r="B6643" s="1" t="n">
        <v>45492.96108796296</v>
      </c>
      <c r="C6643" s="1" t="n">
        <v>45971</v>
      </c>
      <c r="D6643" t="inlineStr">
        <is>
          <t>VÄSTERBOTTENS LÄN</t>
        </is>
      </c>
      <c r="E6643" t="inlineStr">
        <is>
          <t>VILHELMINA</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56414-2022</t>
        </is>
      </c>
      <c r="B6644" s="1" t="n">
        <v>44890</v>
      </c>
      <c r="C6644" s="1" t="n">
        <v>45971</v>
      </c>
      <c r="D6644" t="inlineStr">
        <is>
          <t>VÄSTERBOTTENS LÄN</t>
        </is>
      </c>
      <c r="E6644" t="inlineStr">
        <is>
          <t>SORSELE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66917-2021</t>
        </is>
      </c>
      <c r="B6645" s="1" t="n">
        <v>44522</v>
      </c>
      <c r="C6645" s="1" t="n">
        <v>45971</v>
      </c>
      <c r="D6645" t="inlineStr">
        <is>
          <t>VÄSTERBOTTENS LÄN</t>
        </is>
      </c>
      <c r="E6645" t="inlineStr">
        <is>
          <t>VILHELMINA</t>
        </is>
      </c>
      <c r="F6645" t="inlineStr">
        <is>
          <t>Allmännings- och besparingsskogar</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56533-2021</t>
        </is>
      </c>
      <c r="B6646" s="1" t="n">
        <v>44480</v>
      </c>
      <c r="C6646" s="1" t="n">
        <v>45971</v>
      </c>
      <c r="D6646" t="inlineStr">
        <is>
          <t>VÄSTERBOTTENS LÄN</t>
        </is>
      </c>
      <c r="E6646" t="inlineStr">
        <is>
          <t>STORUMAN</t>
        </is>
      </c>
      <c r="G6646" t="n">
        <v>19.4</v>
      </c>
      <c r="H6646" t="n">
        <v>0</v>
      </c>
      <c r="I6646" t="n">
        <v>0</v>
      </c>
      <c r="J6646" t="n">
        <v>0</v>
      </c>
      <c r="K6646" t="n">
        <v>0</v>
      </c>
      <c r="L6646" t="n">
        <v>0</v>
      </c>
      <c r="M6646" t="n">
        <v>0</v>
      </c>
      <c r="N6646" t="n">
        <v>0</v>
      </c>
      <c r="O6646" t="n">
        <v>0</v>
      </c>
      <c r="P6646" t="n">
        <v>0</v>
      </c>
      <c r="Q6646" t="n">
        <v>0</v>
      </c>
      <c r="R6646" s="2" t="inlineStr"/>
    </row>
    <row r="6647" ht="15" customHeight="1">
      <c r="A6647" t="inlineStr">
        <is>
          <t>A 48904-2025</t>
        </is>
      </c>
      <c r="B6647" s="1" t="n">
        <v>45937.4828125</v>
      </c>
      <c r="C6647" s="1" t="n">
        <v>45971</v>
      </c>
      <c r="D6647" t="inlineStr">
        <is>
          <t>VÄSTERBOTTENS LÄN</t>
        </is>
      </c>
      <c r="E6647" t="inlineStr">
        <is>
          <t>VILHELMINA</t>
        </is>
      </c>
      <c r="F6647" t="inlineStr">
        <is>
          <t>Sveaskog</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40072-2024</t>
        </is>
      </c>
      <c r="B6648" s="1" t="n">
        <v>45554.32503472222</v>
      </c>
      <c r="C6648" s="1" t="n">
        <v>45971</v>
      </c>
      <c r="D6648" t="inlineStr">
        <is>
          <t>VÄSTERBOTTENS LÄN</t>
        </is>
      </c>
      <c r="E6648" t="inlineStr">
        <is>
          <t>SKELLEFTEÅ</t>
        </is>
      </c>
      <c r="F6648" t="inlineStr">
        <is>
          <t>Holmen skog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49239-2025</t>
        </is>
      </c>
      <c r="B6649" s="1" t="n">
        <v>45937</v>
      </c>
      <c r="C6649" s="1" t="n">
        <v>45971</v>
      </c>
      <c r="D6649" t="inlineStr">
        <is>
          <t>VÄSTERBOTTENS LÄN</t>
        </is>
      </c>
      <c r="E6649" t="inlineStr">
        <is>
          <t>SKELLEFTEÅ</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38352-2023</t>
        </is>
      </c>
      <c r="B6650" s="1" t="n">
        <v>45161</v>
      </c>
      <c r="C6650" s="1" t="n">
        <v>45971</v>
      </c>
      <c r="D6650" t="inlineStr">
        <is>
          <t>VÄSTERBOTTENS LÄN</t>
        </is>
      </c>
      <c r="E6650" t="inlineStr">
        <is>
          <t>ROBERTSFORS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49264-2025</t>
        </is>
      </c>
      <c r="B6651" s="1" t="n">
        <v>45938.49991898148</v>
      </c>
      <c r="C6651" s="1" t="n">
        <v>45971</v>
      </c>
      <c r="D6651" t="inlineStr">
        <is>
          <t>VÄSTERBOTTENS LÄN</t>
        </is>
      </c>
      <c r="E6651" t="inlineStr">
        <is>
          <t>UMEÅ</t>
        </is>
      </c>
      <c r="F6651" t="inlineStr">
        <is>
          <t>Sveaskog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58680-2024</t>
        </is>
      </c>
      <c r="B6652" s="1" t="n">
        <v>45635</v>
      </c>
      <c r="C6652" s="1" t="n">
        <v>45971</v>
      </c>
      <c r="D6652" t="inlineStr">
        <is>
          <t>VÄSTERBOTTENS LÄN</t>
        </is>
      </c>
      <c r="E6652" t="inlineStr">
        <is>
          <t>UMEÅ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12127-2023</t>
        </is>
      </c>
      <c r="B6653" s="1" t="n">
        <v>44995</v>
      </c>
      <c r="C6653" s="1" t="n">
        <v>45971</v>
      </c>
      <c r="D6653" t="inlineStr">
        <is>
          <t>VÄSTERBOTTENS LÄN</t>
        </is>
      </c>
      <c r="E6653" t="inlineStr">
        <is>
          <t>VINDELN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20738-2025</t>
        </is>
      </c>
      <c r="B6654" s="1" t="n">
        <v>45776</v>
      </c>
      <c r="C6654" s="1" t="n">
        <v>45971</v>
      </c>
      <c r="D6654" t="inlineStr">
        <is>
          <t>VÄSTERBOTTENS LÄN</t>
        </is>
      </c>
      <c r="E6654" t="inlineStr">
        <is>
          <t>VINDELN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54430-2024</t>
        </is>
      </c>
      <c r="B6655" s="1" t="n">
        <v>45617.49107638889</v>
      </c>
      <c r="C6655" s="1" t="n">
        <v>45971</v>
      </c>
      <c r="D6655" t="inlineStr">
        <is>
          <t>VÄSTERBOTTENS LÄN</t>
        </is>
      </c>
      <c r="E6655" t="inlineStr">
        <is>
          <t>VILHELMINA</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39371-2024</t>
        </is>
      </c>
      <c r="B6656" s="1" t="n">
        <v>45551</v>
      </c>
      <c r="C6656" s="1" t="n">
        <v>45971</v>
      </c>
      <c r="D6656" t="inlineStr">
        <is>
          <t>VÄSTERBOTTENS LÄN</t>
        </is>
      </c>
      <c r="E6656" t="inlineStr">
        <is>
          <t>SKELLEFTEÅ</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40303-2025</t>
        </is>
      </c>
      <c r="B6657" s="1" t="n">
        <v>45895.40678240741</v>
      </c>
      <c r="C6657" s="1" t="n">
        <v>45971</v>
      </c>
      <c r="D6657" t="inlineStr">
        <is>
          <t>VÄSTERBOTTENS LÄN</t>
        </is>
      </c>
      <c r="E6657" t="inlineStr">
        <is>
          <t>BJURHOLM</t>
        </is>
      </c>
      <c r="F6657" t="inlineStr">
        <is>
          <t>SCA</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8642-2023</t>
        </is>
      </c>
      <c r="B6658" s="1" t="n">
        <v>44977</v>
      </c>
      <c r="C6658" s="1" t="n">
        <v>45971</v>
      </c>
      <c r="D6658" t="inlineStr">
        <is>
          <t>VÄSTERBOTTENS LÄN</t>
        </is>
      </c>
      <c r="E6658" t="inlineStr">
        <is>
          <t>NORDMALING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8643-2023</t>
        </is>
      </c>
      <c r="B6659" s="1" t="n">
        <v>44977.98320601852</v>
      </c>
      <c r="C6659" s="1" t="n">
        <v>45971</v>
      </c>
      <c r="D6659" t="inlineStr">
        <is>
          <t>VÄSTERBOTTENS LÄN</t>
        </is>
      </c>
      <c r="E6659" t="inlineStr">
        <is>
          <t>VINDELN</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8644-2023</t>
        </is>
      </c>
      <c r="B6660" s="1" t="n">
        <v>44977</v>
      </c>
      <c r="C6660" s="1" t="n">
        <v>45971</v>
      </c>
      <c r="D6660" t="inlineStr">
        <is>
          <t>VÄSTERBOTTENS LÄN</t>
        </is>
      </c>
      <c r="E6660" t="inlineStr">
        <is>
          <t>BJURHOLM</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8652-2023</t>
        </is>
      </c>
      <c r="B6661" s="1" t="n">
        <v>44977.98401620371</v>
      </c>
      <c r="C6661" s="1" t="n">
        <v>45971</v>
      </c>
      <c r="D6661" t="inlineStr">
        <is>
          <t>VÄSTERBOTTENS LÄN</t>
        </is>
      </c>
      <c r="E6661" t="inlineStr">
        <is>
          <t>VILHELMINA</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8653-2023</t>
        </is>
      </c>
      <c r="B6662" s="1" t="n">
        <v>44977</v>
      </c>
      <c r="C6662" s="1" t="n">
        <v>45971</v>
      </c>
      <c r="D6662" t="inlineStr">
        <is>
          <t>VÄSTERBOTTENS LÄN</t>
        </is>
      </c>
      <c r="E6662" t="inlineStr">
        <is>
          <t>VILHELMINA</t>
        </is>
      </c>
      <c r="F6662" t="inlineStr">
        <is>
          <t>SCA</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47813-2025</t>
        </is>
      </c>
      <c r="B6663" s="1" t="n">
        <v>45932</v>
      </c>
      <c r="C6663" s="1" t="n">
        <v>45971</v>
      </c>
      <c r="D6663" t="inlineStr">
        <is>
          <t>VÄSTERBOTTENS LÄN</t>
        </is>
      </c>
      <c r="E6663" t="inlineStr">
        <is>
          <t>SKELLEFTEÅ</t>
        </is>
      </c>
      <c r="F6663" t="inlineStr">
        <is>
          <t>Kyrkan</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12550-2023</t>
        </is>
      </c>
      <c r="B6664" s="1" t="n">
        <v>44998</v>
      </c>
      <c r="C6664" s="1" t="n">
        <v>45971</v>
      </c>
      <c r="D6664" t="inlineStr">
        <is>
          <t>VÄSTERBOTTENS LÄN</t>
        </is>
      </c>
      <c r="E6664" t="inlineStr">
        <is>
          <t>STORUMAN</t>
        </is>
      </c>
      <c r="F6664" t="inlineStr">
        <is>
          <t>Övriga statliga verk och myndigheter</t>
        </is>
      </c>
      <c r="G6664" t="n">
        <v>9.300000000000001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12556-2023</t>
        </is>
      </c>
      <c r="B6665" s="1" t="n">
        <v>44998</v>
      </c>
      <c r="C6665" s="1" t="n">
        <v>45971</v>
      </c>
      <c r="D6665" t="inlineStr">
        <is>
          <t>VÄSTERBOTTENS LÄN</t>
        </is>
      </c>
      <c r="E6665" t="inlineStr">
        <is>
          <t>STORUMAN</t>
        </is>
      </c>
      <c r="F6665" t="inlineStr">
        <is>
          <t>Övriga statliga verk och myndigheter</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53716-2024</t>
        </is>
      </c>
      <c r="B6666" s="1" t="n">
        <v>45615.43059027778</v>
      </c>
      <c r="C6666" s="1" t="n">
        <v>45971</v>
      </c>
      <c r="D6666" t="inlineStr">
        <is>
          <t>VÄSTERBOTTENS LÄN</t>
        </is>
      </c>
      <c r="E6666" t="inlineStr">
        <is>
          <t>SKELLEFTEÅ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5955-2023</t>
        </is>
      </c>
      <c r="B6667" s="1" t="n">
        <v>44963.93989583333</v>
      </c>
      <c r="C6667" s="1" t="n">
        <v>45971</v>
      </c>
      <c r="D6667" t="inlineStr">
        <is>
          <t>VÄSTERBOTTENS LÄN</t>
        </is>
      </c>
      <c r="E6667" t="inlineStr">
        <is>
          <t>VILHELMINA</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52509-2024</t>
        </is>
      </c>
      <c r="B6668" s="1" t="n">
        <v>45609.59239583334</v>
      </c>
      <c r="C6668" s="1" t="n">
        <v>45971</v>
      </c>
      <c r="D6668" t="inlineStr">
        <is>
          <t>VÄSTERBOTTENS LÄN</t>
        </is>
      </c>
      <c r="E6668" t="inlineStr">
        <is>
          <t>SKELLEFTEÅ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52549-2024</t>
        </is>
      </c>
      <c r="B6669" s="1" t="n">
        <v>45609.64043981482</v>
      </c>
      <c r="C6669" s="1" t="n">
        <v>45971</v>
      </c>
      <c r="D6669" t="inlineStr">
        <is>
          <t>VÄSTERBOTTENS LÄN</t>
        </is>
      </c>
      <c r="E6669" t="inlineStr">
        <is>
          <t>BJURHOLM</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52552-2024</t>
        </is>
      </c>
      <c r="B6670" s="1" t="n">
        <v>45609.64550925926</v>
      </c>
      <c r="C6670" s="1" t="n">
        <v>45971</v>
      </c>
      <c r="D6670" t="inlineStr">
        <is>
          <t>VÄSTERBOTTENS LÄN</t>
        </is>
      </c>
      <c r="E6670" t="inlineStr">
        <is>
          <t>STORUMAN</t>
        </is>
      </c>
      <c r="F6670" t="inlineStr">
        <is>
          <t>Sveaskog</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5996-2023</t>
        </is>
      </c>
      <c r="B6671" s="1" t="n">
        <v>44959</v>
      </c>
      <c r="C6671" s="1" t="n">
        <v>45971</v>
      </c>
      <c r="D6671" t="inlineStr">
        <is>
          <t>VÄSTERBOTTENS LÄN</t>
        </is>
      </c>
      <c r="E6671" t="inlineStr">
        <is>
          <t>SKELLEFTEÅ</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21046-2025</t>
        </is>
      </c>
      <c r="B6672" s="1" t="n">
        <v>45777.55637731482</v>
      </c>
      <c r="C6672" s="1" t="n">
        <v>45971</v>
      </c>
      <c r="D6672" t="inlineStr">
        <is>
          <t>VÄSTERBOTTENS LÄN</t>
        </is>
      </c>
      <c r="E6672" t="inlineStr">
        <is>
          <t>LYCKSELE</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14857-2023</t>
        </is>
      </c>
      <c r="B6673" s="1" t="n">
        <v>45014</v>
      </c>
      <c r="C6673" s="1" t="n">
        <v>45971</v>
      </c>
      <c r="D6673" t="inlineStr">
        <is>
          <t>VÄSTERBOTTENS LÄN</t>
        </is>
      </c>
      <c r="E6673" t="inlineStr">
        <is>
          <t>LYCKSELE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58579-2023</t>
        </is>
      </c>
      <c r="B6674" s="1" t="n">
        <v>45246</v>
      </c>
      <c r="C6674" s="1" t="n">
        <v>45971</v>
      </c>
      <c r="D6674" t="inlineStr">
        <is>
          <t>VÄSTERBOTTENS LÄN</t>
        </is>
      </c>
      <c r="E6674" t="inlineStr">
        <is>
          <t>ROBERTSFORS</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58899-2024</t>
        </is>
      </c>
      <c r="B6675" s="1" t="n">
        <v>45636.4705787037</v>
      </c>
      <c r="C6675" s="1" t="n">
        <v>45971</v>
      </c>
      <c r="D6675" t="inlineStr">
        <is>
          <t>VÄSTERBOTTENS LÄN</t>
        </is>
      </c>
      <c r="E6675" t="inlineStr">
        <is>
          <t>UMEÅ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20979-2025</t>
        </is>
      </c>
      <c r="B6676" s="1" t="n">
        <v>45777.46550925926</v>
      </c>
      <c r="C6676" s="1" t="n">
        <v>45971</v>
      </c>
      <c r="D6676" t="inlineStr">
        <is>
          <t>VÄSTERBOTTENS LÄN</t>
        </is>
      </c>
      <c r="E6676" t="inlineStr">
        <is>
          <t>LYCKSELE</t>
        </is>
      </c>
      <c r="F6676" t="inlineStr">
        <is>
          <t>Sveaskog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20981-2025</t>
        </is>
      </c>
      <c r="B6677" s="1" t="n">
        <v>45777.46688657408</v>
      </c>
      <c r="C6677" s="1" t="n">
        <v>45971</v>
      </c>
      <c r="D6677" t="inlineStr">
        <is>
          <t>VÄSTERBOTTENS LÄN</t>
        </is>
      </c>
      <c r="E6677" t="inlineStr">
        <is>
          <t>UMEÅ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23295-2023</t>
        </is>
      </c>
      <c r="B6678" s="1" t="n">
        <v>45075</v>
      </c>
      <c r="C6678" s="1" t="n">
        <v>45971</v>
      </c>
      <c r="D6678" t="inlineStr">
        <is>
          <t>VÄSTERBOTTENS LÄN</t>
        </is>
      </c>
      <c r="E6678" t="inlineStr">
        <is>
          <t>LYCKSELE</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46363-2024</t>
        </is>
      </c>
      <c r="B6679" s="1" t="n">
        <v>45582</v>
      </c>
      <c r="C6679" s="1" t="n">
        <v>45971</v>
      </c>
      <c r="D6679" t="inlineStr">
        <is>
          <t>VÄSTERBOTTENS LÄN</t>
        </is>
      </c>
      <c r="E6679" t="inlineStr">
        <is>
          <t>STORUMAN</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21131-2025</t>
        </is>
      </c>
      <c r="B6680" s="1" t="n">
        <v>45778.36864583333</v>
      </c>
      <c r="C6680" s="1" t="n">
        <v>45971</v>
      </c>
      <c r="D6680" t="inlineStr">
        <is>
          <t>VÄSTERBOTTENS LÄN</t>
        </is>
      </c>
      <c r="E6680" t="inlineStr">
        <is>
          <t>SKELLEFTEÅ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40635-2025</t>
        </is>
      </c>
      <c r="B6681" s="1" t="n">
        <v>45896.60385416666</v>
      </c>
      <c r="C6681" s="1" t="n">
        <v>45971</v>
      </c>
      <c r="D6681" t="inlineStr">
        <is>
          <t>VÄSTERBOTTENS LÄN</t>
        </is>
      </c>
      <c r="E6681" t="inlineStr">
        <is>
          <t>LYCKSELE</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49360-2025</t>
        </is>
      </c>
      <c r="B6682" s="1" t="n">
        <v>45938.61684027778</v>
      </c>
      <c r="C6682" s="1" t="n">
        <v>45971</v>
      </c>
      <c r="D6682" t="inlineStr">
        <is>
          <t>VÄSTERBOTTENS LÄN</t>
        </is>
      </c>
      <c r="E6682" t="inlineStr">
        <is>
          <t>NORDMALING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5689-2023</t>
        </is>
      </c>
      <c r="B6683" s="1" t="n">
        <v>44960</v>
      </c>
      <c r="C6683" s="1" t="n">
        <v>45971</v>
      </c>
      <c r="D6683" t="inlineStr">
        <is>
          <t>VÄSTERBOTTENS LÄN</t>
        </is>
      </c>
      <c r="E6683" t="inlineStr">
        <is>
          <t>ROBERTSFORS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5690-2023</t>
        </is>
      </c>
      <c r="B6684" s="1" t="n">
        <v>44960</v>
      </c>
      <c r="C6684" s="1" t="n">
        <v>45971</v>
      </c>
      <c r="D6684" t="inlineStr">
        <is>
          <t>VÄSTERBOTTENS LÄN</t>
        </is>
      </c>
      <c r="E6684" t="inlineStr">
        <is>
          <t>ROBERTSFORS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5691-2023</t>
        </is>
      </c>
      <c r="B6685" s="1" t="n">
        <v>44960</v>
      </c>
      <c r="C6685" s="1" t="n">
        <v>45971</v>
      </c>
      <c r="D6685" t="inlineStr">
        <is>
          <t>VÄSTERBOTTENS LÄN</t>
        </is>
      </c>
      <c r="E6685" t="inlineStr">
        <is>
          <t>ROBERTSFORS</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48951-2024</t>
        </is>
      </c>
      <c r="B6686" s="1" t="n">
        <v>45594.43097222222</v>
      </c>
      <c r="C6686" s="1" t="n">
        <v>45971</v>
      </c>
      <c r="D6686" t="inlineStr">
        <is>
          <t>VÄSTERBOTTENS LÄN</t>
        </is>
      </c>
      <c r="E6686" t="inlineStr">
        <is>
          <t>NORDMALING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20941-2025</t>
        </is>
      </c>
      <c r="B6687" s="1" t="n">
        <v>45777</v>
      </c>
      <c r="C6687" s="1" t="n">
        <v>45971</v>
      </c>
      <c r="D6687" t="inlineStr">
        <is>
          <t>VÄSTERBOTTENS LÄN</t>
        </is>
      </c>
      <c r="E6687" t="inlineStr">
        <is>
          <t>VINDELN</t>
        </is>
      </c>
      <c r="F6687" t="inlineStr">
        <is>
          <t>Sveaskog</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20968-2025</t>
        </is>
      </c>
      <c r="B6688" s="1" t="n">
        <v>45777</v>
      </c>
      <c r="C6688" s="1" t="n">
        <v>45971</v>
      </c>
      <c r="D6688" t="inlineStr">
        <is>
          <t>VÄSTERBOTTENS LÄN</t>
        </is>
      </c>
      <c r="E6688" t="inlineStr">
        <is>
          <t>VINDELN</t>
        </is>
      </c>
      <c r="F6688" t="inlineStr">
        <is>
          <t>Sveaskog</t>
        </is>
      </c>
      <c r="G6688" t="n">
        <v>31.1</v>
      </c>
      <c r="H6688" t="n">
        <v>0</v>
      </c>
      <c r="I6688" t="n">
        <v>0</v>
      </c>
      <c r="J6688" t="n">
        <v>0</v>
      </c>
      <c r="K6688" t="n">
        <v>0</v>
      </c>
      <c r="L6688" t="n">
        <v>0</v>
      </c>
      <c r="M6688" t="n">
        <v>0</v>
      </c>
      <c r="N6688" t="n">
        <v>0</v>
      </c>
      <c r="O6688" t="n">
        <v>0</v>
      </c>
      <c r="P6688" t="n">
        <v>0</v>
      </c>
      <c r="Q6688" t="n">
        <v>0</v>
      </c>
      <c r="R6688" s="2" t="inlineStr"/>
    </row>
    <row r="6689" ht="15" customHeight="1">
      <c r="A6689" t="inlineStr">
        <is>
          <t>A 56806-2024</t>
        </is>
      </c>
      <c r="B6689" s="1" t="n">
        <v>45628.47483796296</v>
      </c>
      <c r="C6689" s="1" t="n">
        <v>45971</v>
      </c>
      <c r="D6689" t="inlineStr">
        <is>
          <t>VÄSTERBOTTENS LÄN</t>
        </is>
      </c>
      <c r="E6689" t="inlineStr">
        <is>
          <t>SKELLEFTEÅ</t>
        </is>
      </c>
      <c r="F6689" t="inlineStr">
        <is>
          <t>Holmen skog AB</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36703-2023</t>
        </is>
      </c>
      <c r="B6690" s="1" t="n">
        <v>45153</v>
      </c>
      <c r="C6690" s="1" t="n">
        <v>45971</v>
      </c>
      <c r="D6690" t="inlineStr">
        <is>
          <t>VÄSTERBOTTENS LÄN</t>
        </is>
      </c>
      <c r="E6690" t="inlineStr">
        <is>
          <t>ROBERTSFORS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19729-2025</t>
        </is>
      </c>
      <c r="B6691" s="1" t="n">
        <v>45771.36559027778</v>
      </c>
      <c r="C6691" s="1" t="n">
        <v>45971</v>
      </c>
      <c r="D6691" t="inlineStr">
        <is>
          <t>VÄSTERBOTTENS LÄN</t>
        </is>
      </c>
      <c r="E6691" t="inlineStr">
        <is>
          <t>SKELLEFTEÅ</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19730-2025</t>
        </is>
      </c>
      <c r="B6692" s="1" t="n">
        <v>45771.36560185185</v>
      </c>
      <c r="C6692" s="1" t="n">
        <v>45971</v>
      </c>
      <c r="D6692" t="inlineStr">
        <is>
          <t>VÄSTERBOTTENS LÄN</t>
        </is>
      </c>
      <c r="E6692" t="inlineStr">
        <is>
          <t>SKELLEFTEÅ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34353-2022</t>
        </is>
      </c>
      <c r="B6693" s="1" t="n">
        <v>44792</v>
      </c>
      <c r="C6693" s="1" t="n">
        <v>45971</v>
      </c>
      <c r="D6693" t="inlineStr">
        <is>
          <t>VÄSTERBOTTENS LÄN</t>
        </is>
      </c>
      <c r="E6693" t="inlineStr">
        <is>
          <t>MALÅ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56821-2024</t>
        </is>
      </c>
      <c r="B6694" s="1" t="n">
        <v>45628.48769675926</v>
      </c>
      <c r="C6694" s="1" t="n">
        <v>45971</v>
      </c>
      <c r="D6694" t="inlineStr">
        <is>
          <t>VÄSTERBOTTENS LÄN</t>
        </is>
      </c>
      <c r="E6694" t="inlineStr">
        <is>
          <t>VINDELN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60498-2022</t>
        </is>
      </c>
      <c r="B6695" s="1" t="n">
        <v>44911.44347222222</v>
      </c>
      <c r="C6695" s="1" t="n">
        <v>45971</v>
      </c>
      <c r="D6695" t="inlineStr">
        <is>
          <t>VÄSTERBOTTENS LÄN</t>
        </is>
      </c>
      <c r="E6695" t="inlineStr">
        <is>
          <t>SKELLEFTEÅ</t>
        </is>
      </c>
      <c r="F6695" t="inlineStr">
        <is>
          <t>Sveaskog</t>
        </is>
      </c>
      <c r="G6695" t="n">
        <v>21.2</v>
      </c>
      <c r="H6695" t="n">
        <v>0</v>
      </c>
      <c r="I6695" t="n">
        <v>0</v>
      </c>
      <c r="J6695" t="n">
        <v>0</v>
      </c>
      <c r="K6695" t="n">
        <v>0</v>
      </c>
      <c r="L6695" t="n">
        <v>0</v>
      </c>
      <c r="M6695" t="n">
        <v>0</v>
      </c>
      <c r="N6695" t="n">
        <v>0</v>
      </c>
      <c r="O6695" t="n">
        <v>0</v>
      </c>
      <c r="P6695" t="n">
        <v>0</v>
      </c>
      <c r="Q6695" t="n">
        <v>0</v>
      </c>
      <c r="R6695" s="2" t="inlineStr"/>
    </row>
    <row r="6696" ht="15" customHeight="1">
      <c r="A6696" t="inlineStr">
        <is>
          <t>A 20900-2025</t>
        </is>
      </c>
      <c r="B6696" s="1" t="n">
        <v>45777</v>
      </c>
      <c r="C6696" s="1" t="n">
        <v>45971</v>
      </c>
      <c r="D6696" t="inlineStr">
        <is>
          <t>VÄSTERBOTTENS LÄN</t>
        </is>
      </c>
      <c r="E6696" t="inlineStr">
        <is>
          <t>VINDELN</t>
        </is>
      </c>
      <c r="F6696" t="inlineStr">
        <is>
          <t>Holmen skog AB</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49012-2025</t>
        </is>
      </c>
      <c r="B6697" s="1" t="n">
        <v>45936</v>
      </c>
      <c r="C6697" s="1" t="n">
        <v>45971</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56713-2023</t>
        </is>
      </c>
      <c r="B6698" s="1" t="n">
        <v>45238</v>
      </c>
      <c r="C6698" s="1" t="n">
        <v>45971</v>
      </c>
      <c r="D6698" t="inlineStr">
        <is>
          <t>VÄSTERBOTTENS LÄN</t>
        </is>
      </c>
      <c r="E6698" t="inlineStr">
        <is>
          <t>STORUMAN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28087-2023</t>
        </is>
      </c>
      <c r="B6699" s="1" t="n">
        <v>45099</v>
      </c>
      <c r="C6699" s="1" t="n">
        <v>45971</v>
      </c>
      <c r="D6699" t="inlineStr">
        <is>
          <t>VÄSTERBOTTENS LÄN</t>
        </is>
      </c>
      <c r="E6699" t="inlineStr">
        <is>
          <t>ÅSELE</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56749-2023</t>
        </is>
      </c>
      <c r="B6700" s="1" t="n">
        <v>45244</v>
      </c>
      <c r="C6700" s="1" t="n">
        <v>45971</v>
      </c>
      <c r="D6700" t="inlineStr">
        <is>
          <t>VÄSTERBOTTENS LÄN</t>
        </is>
      </c>
      <c r="E6700" t="inlineStr">
        <is>
          <t>UMEÅ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55652-2024</t>
        </is>
      </c>
      <c r="B6701" s="1" t="n">
        <v>45621</v>
      </c>
      <c r="C6701" s="1" t="n">
        <v>45971</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34135-2024</t>
        </is>
      </c>
      <c r="B6702" s="1" t="n">
        <v>45524.35605324074</v>
      </c>
      <c r="C6702" s="1" t="n">
        <v>45971</v>
      </c>
      <c r="D6702" t="inlineStr">
        <is>
          <t>VÄSTERBOTTENS LÄN</t>
        </is>
      </c>
      <c r="E6702" t="inlineStr">
        <is>
          <t>VILHELMINA</t>
        </is>
      </c>
      <c r="F6702" t="inlineStr">
        <is>
          <t>Sveaskog</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21014-2025</t>
        </is>
      </c>
      <c r="B6703" s="1" t="n">
        <v>45777</v>
      </c>
      <c r="C6703" s="1" t="n">
        <v>45971</v>
      </c>
      <c r="D6703" t="inlineStr">
        <is>
          <t>VÄSTERBOTTENS LÄN</t>
        </is>
      </c>
      <c r="E6703" t="inlineStr">
        <is>
          <t>VINDELN</t>
        </is>
      </c>
      <c r="F6703" t="inlineStr">
        <is>
          <t>Sveaskog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47686-2024</t>
        </is>
      </c>
      <c r="B6704" s="1" t="n">
        <v>45588.42978009259</v>
      </c>
      <c r="C6704" s="1" t="n">
        <v>45971</v>
      </c>
      <c r="D6704" t="inlineStr">
        <is>
          <t>VÄSTERBOTTENS LÄN</t>
        </is>
      </c>
      <c r="E6704" t="inlineStr">
        <is>
          <t>SKELLEFTEÅ</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32462-2023</t>
        </is>
      </c>
      <c r="B6705" s="1" t="n">
        <v>45120.92637731481</v>
      </c>
      <c r="C6705" s="1" t="n">
        <v>45971</v>
      </c>
      <c r="D6705" t="inlineStr">
        <is>
          <t>VÄSTERBOTTENS LÄN</t>
        </is>
      </c>
      <c r="E6705" t="inlineStr">
        <is>
          <t>UMEÅ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12561-2023</t>
        </is>
      </c>
      <c r="B6706" s="1" t="n">
        <v>44998</v>
      </c>
      <c r="C6706" s="1" t="n">
        <v>45971</v>
      </c>
      <c r="D6706" t="inlineStr">
        <is>
          <t>VÄSTERBOTTENS LÄN</t>
        </is>
      </c>
      <c r="E6706" t="inlineStr">
        <is>
          <t>STORUMAN</t>
        </is>
      </c>
      <c r="F6706" t="inlineStr">
        <is>
          <t>Övriga statliga verk och myndigheter</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49028-2025</t>
        </is>
      </c>
      <c r="B6707" s="1" t="n">
        <v>45937.62199074074</v>
      </c>
      <c r="C6707" s="1" t="n">
        <v>45971</v>
      </c>
      <c r="D6707" t="inlineStr">
        <is>
          <t>VÄSTERBOTTENS LÄN</t>
        </is>
      </c>
      <c r="E6707" t="inlineStr">
        <is>
          <t>ÅSELE</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40295-2025</t>
        </is>
      </c>
      <c r="B6708" s="1" t="n">
        <v>45895.38805555556</v>
      </c>
      <c r="C6708" s="1" t="n">
        <v>45971</v>
      </c>
      <c r="D6708" t="inlineStr">
        <is>
          <t>VÄSTERBOTTENS LÄN</t>
        </is>
      </c>
      <c r="E6708" t="inlineStr">
        <is>
          <t>SKELLEFTEÅ</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34388-2023</t>
        </is>
      </c>
      <c r="B6709" s="1" t="n">
        <v>45139</v>
      </c>
      <c r="C6709" s="1" t="n">
        <v>45971</v>
      </c>
      <c r="D6709" t="inlineStr">
        <is>
          <t>VÄSTERBOTTENS LÄN</t>
        </is>
      </c>
      <c r="E6709" t="inlineStr">
        <is>
          <t>SORSELE</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21746-2024</t>
        </is>
      </c>
      <c r="B6710" s="1" t="n">
        <v>45442</v>
      </c>
      <c r="C6710" s="1" t="n">
        <v>45971</v>
      </c>
      <c r="D6710" t="inlineStr">
        <is>
          <t>VÄSTERBOTTENS LÄN</t>
        </is>
      </c>
      <c r="E6710" t="inlineStr">
        <is>
          <t>NORSJÖ</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20865-2025</t>
        </is>
      </c>
      <c r="B6711" s="1" t="n">
        <v>45777.34438657408</v>
      </c>
      <c r="C6711" s="1" t="n">
        <v>45971</v>
      </c>
      <c r="D6711" t="inlineStr">
        <is>
          <t>VÄSTERBOTTENS LÄN</t>
        </is>
      </c>
      <c r="E6711" t="inlineStr">
        <is>
          <t>SKELLEFTEÅ</t>
        </is>
      </c>
      <c r="F6711" t="inlineStr">
        <is>
          <t>SCA</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20962-2025</t>
        </is>
      </c>
      <c r="B6712" s="1" t="n">
        <v>45777.44890046296</v>
      </c>
      <c r="C6712" s="1" t="n">
        <v>45971</v>
      </c>
      <c r="D6712" t="inlineStr">
        <is>
          <t>VÄSTERBOTTENS LÄN</t>
        </is>
      </c>
      <c r="E6712" t="inlineStr">
        <is>
          <t>VINDELN</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42402-2024</t>
        </is>
      </c>
      <c r="B6713" s="1" t="n">
        <v>45565.34449074074</v>
      </c>
      <c r="C6713" s="1" t="n">
        <v>45971</v>
      </c>
      <c r="D6713" t="inlineStr">
        <is>
          <t>VÄSTERBOTTENS LÄN</t>
        </is>
      </c>
      <c r="E6713" t="inlineStr">
        <is>
          <t>BJURHOLM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20958-2025</t>
        </is>
      </c>
      <c r="B6714" s="1" t="n">
        <v>45777.44641203704</v>
      </c>
      <c r="C6714" s="1" t="n">
        <v>45971</v>
      </c>
      <c r="D6714" t="inlineStr">
        <is>
          <t>VÄSTERBOTTENS LÄN</t>
        </is>
      </c>
      <c r="E6714" t="inlineStr">
        <is>
          <t>LYCKSELE</t>
        </is>
      </c>
      <c r="F6714" t="inlineStr">
        <is>
          <t>Sveaskog</t>
        </is>
      </c>
      <c r="G6714" t="n">
        <v>31.1</v>
      </c>
      <c r="H6714" t="n">
        <v>0</v>
      </c>
      <c r="I6714" t="n">
        <v>0</v>
      </c>
      <c r="J6714" t="n">
        <v>0</v>
      </c>
      <c r="K6714" t="n">
        <v>0</v>
      </c>
      <c r="L6714" t="n">
        <v>0</v>
      </c>
      <c r="M6714" t="n">
        <v>0</v>
      </c>
      <c r="N6714" t="n">
        <v>0</v>
      </c>
      <c r="O6714" t="n">
        <v>0</v>
      </c>
      <c r="P6714" t="n">
        <v>0</v>
      </c>
      <c r="Q6714" t="n">
        <v>0</v>
      </c>
      <c r="R6714" s="2" t="inlineStr"/>
    </row>
    <row r="6715" ht="15" customHeight="1">
      <c r="A6715" t="inlineStr">
        <is>
          <t>A 46028-2024</t>
        </is>
      </c>
      <c r="B6715" s="1" t="n">
        <v>45580.70097222222</v>
      </c>
      <c r="C6715" s="1" t="n">
        <v>45971</v>
      </c>
      <c r="D6715" t="inlineStr">
        <is>
          <t>VÄSTERBOTTENS LÄN</t>
        </is>
      </c>
      <c r="E6715" t="inlineStr">
        <is>
          <t>UMEÅ</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35172-2022</t>
        </is>
      </c>
      <c r="B6716" s="1" t="n">
        <v>44797</v>
      </c>
      <c r="C6716" s="1" t="n">
        <v>45971</v>
      </c>
      <c r="D6716" t="inlineStr">
        <is>
          <t>VÄSTERBOTTENS LÄN</t>
        </is>
      </c>
      <c r="E6716" t="inlineStr">
        <is>
          <t>SORSELE</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56151-2024</t>
        </is>
      </c>
      <c r="B6717" s="1" t="n">
        <v>45623</v>
      </c>
      <c r="C6717" s="1" t="n">
        <v>45971</v>
      </c>
      <c r="D6717" t="inlineStr">
        <is>
          <t>VÄSTERBOTTENS LÄN</t>
        </is>
      </c>
      <c r="E6717" t="inlineStr">
        <is>
          <t>BJURHOLM</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4617-2023</t>
        </is>
      </c>
      <c r="B6718" s="1" t="n">
        <v>44956.93971064815</v>
      </c>
      <c r="C6718" s="1" t="n">
        <v>45971</v>
      </c>
      <c r="D6718" t="inlineStr">
        <is>
          <t>VÄSTERBOTTENS LÄN</t>
        </is>
      </c>
      <c r="E6718" t="inlineStr">
        <is>
          <t>DOROTEA</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42478-2024</t>
        </is>
      </c>
      <c r="B6719" s="1" t="n">
        <v>45565.4912962963</v>
      </c>
      <c r="C6719" s="1" t="n">
        <v>45971</v>
      </c>
      <c r="D6719" t="inlineStr">
        <is>
          <t>VÄSTERBOTTENS LÄN</t>
        </is>
      </c>
      <c r="E6719" t="inlineStr">
        <is>
          <t>VILHELMINA</t>
        </is>
      </c>
      <c r="F6719" t="inlineStr">
        <is>
          <t>SCA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46048-2024</t>
        </is>
      </c>
      <c r="B6720" s="1" t="n">
        <v>45580.85511574074</v>
      </c>
      <c r="C6720" s="1" t="n">
        <v>45971</v>
      </c>
      <c r="D6720" t="inlineStr">
        <is>
          <t>VÄSTERBOTTENS LÄN</t>
        </is>
      </c>
      <c r="E6720" t="inlineStr">
        <is>
          <t>SKELLEFTEÅ</t>
        </is>
      </c>
      <c r="F6720" t="inlineStr">
        <is>
          <t>Sveaskog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49054-2025</t>
        </is>
      </c>
      <c r="B6721" s="1" t="n">
        <v>45937.64037037037</v>
      </c>
      <c r="C6721" s="1" t="n">
        <v>45971</v>
      </c>
      <c r="D6721" t="inlineStr">
        <is>
          <t>VÄSTERBOTTENS LÄN</t>
        </is>
      </c>
      <c r="E6721" t="inlineStr">
        <is>
          <t>DOROTEA</t>
        </is>
      </c>
      <c r="F6721" t="inlineStr">
        <is>
          <t>SCA</t>
        </is>
      </c>
      <c r="G6721" t="n">
        <v>9.800000000000001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21095-2025</t>
        </is>
      </c>
      <c r="B6722" s="1" t="n">
        <v>45777.63572916666</v>
      </c>
      <c r="C6722" s="1" t="n">
        <v>45971</v>
      </c>
      <c r="D6722" t="inlineStr">
        <is>
          <t>VÄSTERBOTTENS LÄN</t>
        </is>
      </c>
      <c r="E6722" t="inlineStr">
        <is>
          <t>ÅSELE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55623-2024</t>
        </is>
      </c>
      <c r="B6723" s="1" t="n">
        <v>45622.59480324074</v>
      </c>
      <c r="C6723" s="1" t="n">
        <v>45971</v>
      </c>
      <c r="D6723" t="inlineStr">
        <is>
          <t>VÄSTERBOTTENS LÄN</t>
        </is>
      </c>
      <c r="E6723" t="inlineStr">
        <is>
          <t>ÅSELE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36139-2023</t>
        </is>
      </c>
      <c r="B6724" s="1" t="n">
        <v>45149.5874537037</v>
      </c>
      <c r="C6724" s="1" t="n">
        <v>45971</v>
      </c>
      <c r="D6724" t="inlineStr">
        <is>
          <t>VÄSTERBOTTENS LÄN</t>
        </is>
      </c>
      <c r="E6724" t="inlineStr">
        <is>
          <t>ROBERTSFORS</t>
        </is>
      </c>
      <c r="F6724" t="inlineStr">
        <is>
          <t>Holmen skog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49011-2025</t>
        </is>
      </c>
      <c r="B6725" s="1" t="n">
        <v>45936</v>
      </c>
      <c r="C6725" s="1" t="n">
        <v>45971</v>
      </c>
      <c r="D6725" t="inlineStr">
        <is>
          <t>VÄSTERBOTTENS LÄN</t>
        </is>
      </c>
      <c r="E6725" t="inlineStr">
        <is>
          <t>NORSJÖ</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21035-2025</t>
        </is>
      </c>
      <c r="B6726" s="1" t="n">
        <v>45777.53157407408</v>
      </c>
      <c r="C6726" s="1" t="n">
        <v>45971</v>
      </c>
      <c r="D6726" t="inlineStr">
        <is>
          <t>VÄSTERBOTTENS LÄN</t>
        </is>
      </c>
      <c r="E6726" t="inlineStr">
        <is>
          <t>VILHELMINA</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49196-2025</t>
        </is>
      </c>
      <c r="B6727" s="1" t="n">
        <v>45938.40989583333</v>
      </c>
      <c r="C6727" s="1" t="n">
        <v>45971</v>
      </c>
      <c r="D6727" t="inlineStr">
        <is>
          <t>VÄSTERBOTTENS LÄN</t>
        </is>
      </c>
      <c r="E6727" t="inlineStr">
        <is>
          <t>LYCKSELE</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49210-2025</t>
        </is>
      </c>
      <c r="B6728" s="1" t="n">
        <v>45938.43741898148</v>
      </c>
      <c r="C6728" s="1" t="n">
        <v>45971</v>
      </c>
      <c r="D6728" t="inlineStr">
        <is>
          <t>VÄSTERBOTTENS LÄN</t>
        </is>
      </c>
      <c r="E6728" t="inlineStr">
        <is>
          <t>ÅSELE</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6224-2025</t>
        </is>
      </c>
      <c r="B6729" s="1" t="n">
        <v>45697</v>
      </c>
      <c r="C6729" s="1" t="n">
        <v>45971</v>
      </c>
      <c r="D6729" t="inlineStr">
        <is>
          <t>VÄSTERBOTTENS LÄN</t>
        </is>
      </c>
      <c r="E6729" t="inlineStr">
        <is>
          <t>SORSELE</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38271-2022</t>
        </is>
      </c>
      <c r="B6730" s="1" t="n">
        <v>44812</v>
      </c>
      <c r="C6730" s="1" t="n">
        <v>45971</v>
      </c>
      <c r="D6730" t="inlineStr">
        <is>
          <t>VÄSTERBOTTENS LÄN</t>
        </is>
      </c>
      <c r="E6730" t="inlineStr">
        <is>
          <t>NORDMALING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48960-2025</t>
        </is>
      </c>
      <c r="B6731" s="1" t="n">
        <v>45937.550625</v>
      </c>
      <c r="C6731" s="1" t="n">
        <v>45971</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21127-2025</t>
        </is>
      </c>
      <c r="B6732" s="1" t="n">
        <v>45778.34434027778</v>
      </c>
      <c r="C6732" s="1" t="n">
        <v>45971</v>
      </c>
      <c r="D6732" t="inlineStr">
        <is>
          <t>VÄSTERBOTTENS LÄN</t>
        </is>
      </c>
      <c r="E6732" t="inlineStr">
        <is>
          <t>DOROTEA</t>
        </is>
      </c>
      <c r="F6732" t="inlineStr">
        <is>
          <t>SCA</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57186-2024</t>
        </is>
      </c>
      <c r="B6733" s="1" t="n">
        <v>45629.45423611111</v>
      </c>
      <c r="C6733" s="1" t="n">
        <v>45971</v>
      </c>
      <c r="D6733" t="inlineStr">
        <is>
          <t>VÄSTERBOTTENS LÄN</t>
        </is>
      </c>
      <c r="E6733" t="inlineStr">
        <is>
          <t>SKELLEFTEÅ</t>
        </is>
      </c>
      <c r="F6733" t="inlineStr">
        <is>
          <t>Holmen skog AB</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50070-2024</t>
        </is>
      </c>
      <c r="B6734" s="1" t="n">
        <v>45600.35901620371</v>
      </c>
      <c r="C6734" s="1" t="n">
        <v>45971</v>
      </c>
      <c r="D6734" t="inlineStr">
        <is>
          <t>VÄSTERBOTTENS LÄN</t>
        </is>
      </c>
      <c r="E6734" t="inlineStr">
        <is>
          <t>SKELLEFTEÅ</t>
        </is>
      </c>
      <c r="F6734" t="inlineStr">
        <is>
          <t>Kommuner</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9821-2023</t>
        </is>
      </c>
      <c r="B6735" s="1" t="n">
        <v>44978</v>
      </c>
      <c r="C6735" s="1" t="n">
        <v>45971</v>
      </c>
      <c r="D6735" t="inlineStr">
        <is>
          <t>VÄSTERBOTTENS LÄN</t>
        </is>
      </c>
      <c r="E6735" t="inlineStr">
        <is>
          <t>SORSELE</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55409-2023</t>
        </is>
      </c>
      <c r="B6736" s="1" t="n">
        <v>45231</v>
      </c>
      <c r="C6736" s="1" t="n">
        <v>45971</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17776-2023</t>
        </is>
      </c>
      <c r="B6737" s="1" t="n">
        <v>45036</v>
      </c>
      <c r="C6737" s="1" t="n">
        <v>45971</v>
      </c>
      <c r="D6737" t="inlineStr">
        <is>
          <t>VÄSTERBOTTENS LÄN</t>
        </is>
      </c>
      <c r="E6737" t="inlineStr">
        <is>
          <t>DOROTEA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57653-2024</t>
        </is>
      </c>
      <c r="B6738" s="1" t="n">
        <v>45630</v>
      </c>
      <c r="C6738" s="1" t="n">
        <v>45971</v>
      </c>
      <c r="D6738" t="inlineStr">
        <is>
          <t>VÄSTERBOTTENS LÄN</t>
        </is>
      </c>
      <c r="E6738" t="inlineStr">
        <is>
          <t>ROBERTSFORS</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59866-2021</t>
        </is>
      </c>
      <c r="B6739" s="1" t="n">
        <v>44491</v>
      </c>
      <c r="C6739" s="1" t="n">
        <v>45971</v>
      </c>
      <c r="D6739" t="inlineStr">
        <is>
          <t>VÄSTERBOTTENS LÄN</t>
        </is>
      </c>
      <c r="E6739" t="inlineStr">
        <is>
          <t>MALÅ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21069-2025</t>
        </is>
      </c>
      <c r="B6740" s="1" t="n">
        <v>45777.59427083333</v>
      </c>
      <c r="C6740" s="1" t="n">
        <v>45971</v>
      </c>
      <c r="D6740" t="inlineStr">
        <is>
          <t>VÄSTERBOTTENS LÄN</t>
        </is>
      </c>
      <c r="E6740" t="inlineStr">
        <is>
          <t>VILHELMINA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20964-2025</t>
        </is>
      </c>
      <c r="B6741" s="1" t="n">
        <v>45777</v>
      </c>
      <c r="C6741" s="1" t="n">
        <v>45971</v>
      </c>
      <c r="D6741" t="inlineStr">
        <is>
          <t>VÄSTERBOTTENS LÄN</t>
        </is>
      </c>
      <c r="E6741" t="inlineStr">
        <is>
          <t>VINDELN</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58582-2023</t>
        </is>
      </c>
      <c r="B6742" s="1" t="n">
        <v>45246</v>
      </c>
      <c r="C6742" s="1" t="n">
        <v>45971</v>
      </c>
      <c r="D6742" t="inlineStr">
        <is>
          <t>VÄSTERBOTTENS LÄN</t>
        </is>
      </c>
      <c r="E6742" t="inlineStr">
        <is>
          <t>ROBERTSFORS</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27586-2024</t>
        </is>
      </c>
      <c r="B6743" s="1" t="n">
        <v>45474.66497685185</v>
      </c>
      <c r="C6743" s="1" t="n">
        <v>45971</v>
      </c>
      <c r="D6743" t="inlineStr">
        <is>
          <t>VÄSTERBOTTENS LÄN</t>
        </is>
      </c>
      <c r="E6743" t="inlineStr">
        <is>
          <t>ROBERTSFORS</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56154-2024</t>
        </is>
      </c>
      <c r="B6744" s="1" t="n">
        <v>45623</v>
      </c>
      <c r="C6744" s="1" t="n">
        <v>45971</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21228-2025</t>
        </is>
      </c>
      <c r="B6745" s="1" t="n">
        <v>45779.52741898148</v>
      </c>
      <c r="C6745" s="1" t="n">
        <v>45971</v>
      </c>
      <c r="D6745" t="inlineStr">
        <is>
          <t>VÄSTERBOTTENS LÄN</t>
        </is>
      </c>
      <c r="E6745" t="inlineStr">
        <is>
          <t>UMEÅ</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42301-2024</t>
        </is>
      </c>
      <c r="B6746" s="1" t="n">
        <v>45562.62887731481</v>
      </c>
      <c r="C6746" s="1" t="n">
        <v>45971</v>
      </c>
      <c r="D6746" t="inlineStr">
        <is>
          <t>VÄSTERBOTTENS LÄN</t>
        </is>
      </c>
      <c r="E6746" t="inlineStr">
        <is>
          <t>ÅSELE</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8247-2023</t>
        </is>
      </c>
      <c r="B6747" s="1" t="n">
        <v>44971</v>
      </c>
      <c r="C6747" s="1" t="n">
        <v>45971</v>
      </c>
      <c r="D6747" t="inlineStr">
        <is>
          <t>VÄSTERBOTTENS LÄN</t>
        </is>
      </c>
      <c r="E6747" t="inlineStr">
        <is>
          <t>ÅSELE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32880-2023</t>
        </is>
      </c>
      <c r="B6748" s="1" t="n">
        <v>45124</v>
      </c>
      <c r="C6748" s="1" t="n">
        <v>45971</v>
      </c>
      <c r="D6748" t="inlineStr">
        <is>
          <t>VÄSTERBOTTENS LÄN</t>
        </is>
      </c>
      <c r="E6748" t="inlineStr">
        <is>
          <t>SORSELE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56888-2024</t>
        </is>
      </c>
      <c r="B6749" s="1" t="n">
        <v>45628.57732638889</v>
      </c>
      <c r="C6749" s="1" t="n">
        <v>45971</v>
      </c>
      <c r="D6749" t="inlineStr">
        <is>
          <t>VÄSTERBOTTENS LÄN</t>
        </is>
      </c>
      <c r="E6749" t="inlineStr">
        <is>
          <t>NORSJÖ</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21374-2025</t>
        </is>
      </c>
      <c r="B6750" s="1" t="n">
        <v>45782.44893518519</v>
      </c>
      <c r="C6750" s="1" t="n">
        <v>45971</v>
      </c>
      <c r="D6750" t="inlineStr">
        <is>
          <t>VÄSTERBOTTENS LÄN</t>
        </is>
      </c>
      <c r="E6750" t="inlineStr">
        <is>
          <t>LYCKSELE</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21404-2025</t>
        </is>
      </c>
      <c r="B6751" s="1" t="n">
        <v>45782</v>
      </c>
      <c r="C6751" s="1" t="n">
        <v>45971</v>
      </c>
      <c r="D6751" t="inlineStr">
        <is>
          <t>VÄSTERBOTTENS LÄN</t>
        </is>
      </c>
      <c r="E6751" t="inlineStr">
        <is>
          <t>DOROTEA</t>
        </is>
      </c>
      <c r="F6751" t="inlineStr">
        <is>
          <t>SCA</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21420-2025</t>
        </is>
      </c>
      <c r="B6752" s="1" t="n">
        <v>45782.5021875</v>
      </c>
      <c r="C6752" s="1" t="n">
        <v>45971</v>
      </c>
      <c r="D6752" t="inlineStr">
        <is>
          <t>VÄSTERBOTTENS LÄN</t>
        </is>
      </c>
      <c r="E6752" t="inlineStr">
        <is>
          <t>SKELLEFTEÅ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21435-2025</t>
        </is>
      </c>
      <c r="B6753" s="1" t="n">
        <v>45782.51766203704</v>
      </c>
      <c r="C6753" s="1" t="n">
        <v>45971</v>
      </c>
      <c r="D6753" t="inlineStr">
        <is>
          <t>VÄSTERBOTTENS LÄN</t>
        </is>
      </c>
      <c r="E6753" t="inlineStr">
        <is>
          <t>VÄNNÄS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21437-2025</t>
        </is>
      </c>
      <c r="B6754" s="1" t="n">
        <v>45782.52001157407</v>
      </c>
      <c r="C6754" s="1" t="n">
        <v>45971</v>
      </c>
      <c r="D6754" t="inlineStr">
        <is>
          <t>VÄSTERBOTTENS LÄN</t>
        </is>
      </c>
      <c r="E6754" t="inlineStr">
        <is>
          <t>VÄNNÄS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5435-2024</t>
        </is>
      </c>
      <c r="B6755" s="1" t="n">
        <v>45331</v>
      </c>
      <c r="C6755" s="1" t="n">
        <v>45971</v>
      </c>
      <c r="D6755" t="inlineStr">
        <is>
          <t>VÄSTERBOTTENS LÄN</t>
        </is>
      </c>
      <c r="E6755" t="inlineStr">
        <is>
          <t>VILHELMINA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50030-2024</t>
        </is>
      </c>
      <c r="B6756" s="1" t="n">
        <v>45599.74957175926</v>
      </c>
      <c r="C6756" s="1" t="n">
        <v>45971</v>
      </c>
      <c r="D6756" t="inlineStr">
        <is>
          <t>VÄSTERBOTTENS LÄN</t>
        </is>
      </c>
      <c r="E6756" t="inlineStr">
        <is>
          <t>ÅSELE</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39401-2022</t>
        </is>
      </c>
      <c r="B6757" s="1" t="n">
        <v>44817.94894675926</v>
      </c>
      <c r="C6757" s="1" t="n">
        <v>45971</v>
      </c>
      <c r="D6757" t="inlineStr">
        <is>
          <t>VÄSTERBOTTENS LÄN</t>
        </is>
      </c>
      <c r="E6757" t="inlineStr">
        <is>
          <t>ÅSELE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54150-2024</t>
        </is>
      </c>
      <c r="B6758" s="1" t="n">
        <v>45616</v>
      </c>
      <c r="C6758" s="1" t="n">
        <v>45971</v>
      </c>
      <c r="D6758" t="inlineStr">
        <is>
          <t>VÄSTERBOTTENS LÄN</t>
        </is>
      </c>
      <c r="E6758" t="inlineStr">
        <is>
          <t>UMEÅ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21207-2025</t>
        </is>
      </c>
      <c r="B6759" s="1" t="n">
        <v>45779.48564814815</v>
      </c>
      <c r="C6759" s="1" t="n">
        <v>45971</v>
      </c>
      <c r="D6759" t="inlineStr">
        <is>
          <t>VÄSTERBOTTENS LÄN</t>
        </is>
      </c>
      <c r="E6759" t="inlineStr">
        <is>
          <t>SKELLEFTEÅ</t>
        </is>
      </c>
      <c r="F6759" t="inlineStr">
        <is>
          <t>Holmen skog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34849-2023</t>
        </is>
      </c>
      <c r="B6760" s="1" t="n">
        <v>45141.96019675926</v>
      </c>
      <c r="C6760" s="1" t="n">
        <v>45971</v>
      </c>
      <c r="D6760" t="inlineStr">
        <is>
          <t>VÄSTERBOTTENS LÄN</t>
        </is>
      </c>
      <c r="E6760" t="inlineStr">
        <is>
          <t>LYCKSELE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43944-2024</t>
        </is>
      </c>
      <c r="B6761" s="1" t="n">
        <v>45572.46914351852</v>
      </c>
      <c r="C6761" s="1" t="n">
        <v>45971</v>
      </c>
      <c r="D6761" t="inlineStr">
        <is>
          <t>VÄSTERBOTTENS LÄN</t>
        </is>
      </c>
      <c r="E6761" t="inlineStr">
        <is>
          <t>DOROTEA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54016-2024</t>
        </is>
      </c>
      <c r="B6762" s="1" t="n">
        <v>45616.38167824074</v>
      </c>
      <c r="C6762" s="1" t="n">
        <v>45971</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21361-2025</t>
        </is>
      </c>
      <c r="B6763" s="1" t="n">
        <v>45782.43983796296</v>
      </c>
      <c r="C6763" s="1" t="n">
        <v>45971</v>
      </c>
      <c r="D6763" t="inlineStr">
        <is>
          <t>VÄSTERBOTTENS LÄN</t>
        </is>
      </c>
      <c r="E6763" t="inlineStr">
        <is>
          <t>VÄNNÄS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52507-2024</t>
        </is>
      </c>
      <c r="B6764" s="1" t="n">
        <v>45609.59013888889</v>
      </c>
      <c r="C6764" s="1" t="n">
        <v>45971</v>
      </c>
      <c r="D6764" t="inlineStr">
        <is>
          <t>VÄSTERBOTTENS LÄN</t>
        </is>
      </c>
      <c r="E6764" t="inlineStr">
        <is>
          <t>SORSELE</t>
        </is>
      </c>
      <c r="F6764" t="inlineStr">
        <is>
          <t>Sveaskog</t>
        </is>
      </c>
      <c r="G6764" t="n">
        <v>21.8</v>
      </c>
      <c r="H6764" t="n">
        <v>0</v>
      </c>
      <c r="I6764" t="n">
        <v>0</v>
      </c>
      <c r="J6764" t="n">
        <v>0</v>
      </c>
      <c r="K6764" t="n">
        <v>0</v>
      </c>
      <c r="L6764" t="n">
        <v>0</v>
      </c>
      <c r="M6764" t="n">
        <v>0</v>
      </c>
      <c r="N6764" t="n">
        <v>0</v>
      </c>
      <c r="O6764" t="n">
        <v>0</v>
      </c>
      <c r="P6764" t="n">
        <v>0</v>
      </c>
      <c r="Q6764" t="n">
        <v>0</v>
      </c>
      <c r="R6764" s="2" t="inlineStr"/>
    </row>
    <row r="6765" ht="15" customHeight="1">
      <c r="A6765" t="inlineStr">
        <is>
          <t>A 21371-2025</t>
        </is>
      </c>
      <c r="B6765" s="1" t="n">
        <v>45782.44856481482</v>
      </c>
      <c r="C6765" s="1" t="n">
        <v>45971</v>
      </c>
      <c r="D6765" t="inlineStr">
        <is>
          <t>VÄSTERBOTTENS LÄN</t>
        </is>
      </c>
      <c r="E6765" t="inlineStr">
        <is>
          <t>SORSELE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21375-2025</t>
        </is>
      </c>
      <c r="B6766" s="1" t="n">
        <v>45782.44907407407</v>
      </c>
      <c r="C6766" s="1" t="n">
        <v>45971</v>
      </c>
      <c r="D6766" t="inlineStr">
        <is>
          <t>VÄSTERBOTTENS LÄN</t>
        </is>
      </c>
      <c r="E6766" t="inlineStr">
        <is>
          <t>SORSELE</t>
        </is>
      </c>
      <c r="F6766" t="inlineStr">
        <is>
          <t>SCA</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49023-2025</t>
        </is>
      </c>
      <c r="B6767" s="1" t="n">
        <v>45937.61712962963</v>
      </c>
      <c r="C6767" s="1" t="n">
        <v>45971</v>
      </c>
      <c r="D6767" t="inlineStr">
        <is>
          <t>VÄSTERBOTTENS LÄN</t>
        </is>
      </c>
      <c r="E6767" t="inlineStr">
        <is>
          <t>SKELLEFTEÅ</t>
        </is>
      </c>
      <c r="F6767" t="inlineStr">
        <is>
          <t>Holmen skog AB</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49038-2025</t>
        </is>
      </c>
      <c r="B6768" s="1" t="n">
        <v>45937.63146990741</v>
      </c>
      <c r="C6768" s="1" t="n">
        <v>45971</v>
      </c>
      <c r="D6768" t="inlineStr">
        <is>
          <t>VÄSTERBOTTENS LÄN</t>
        </is>
      </c>
      <c r="E6768" t="inlineStr">
        <is>
          <t>UMEÅ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57646-2023</t>
        </is>
      </c>
      <c r="B6769" s="1" t="n">
        <v>45246.59564814815</v>
      </c>
      <c r="C6769" s="1" t="n">
        <v>45971</v>
      </c>
      <c r="D6769" t="inlineStr">
        <is>
          <t>VÄSTERBOTTENS LÄN</t>
        </is>
      </c>
      <c r="E6769" t="inlineStr">
        <is>
          <t>ROBERTSFORS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48827-2025</t>
        </is>
      </c>
      <c r="B6770" s="1" t="n">
        <v>45937.3825462963</v>
      </c>
      <c r="C6770" s="1" t="n">
        <v>45971</v>
      </c>
      <c r="D6770" t="inlineStr">
        <is>
          <t>VÄSTERBOTTENS LÄN</t>
        </is>
      </c>
      <c r="E6770" t="inlineStr">
        <is>
          <t>ROBERTSFORS</t>
        </is>
      </c>
      <c r="F6770" t="inlineStr">
        <is>
          <t>Holmen skog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49202-2025</t>
        </is>
      </c>
      <c r="B6771" s="1" t="n">
        <v>45938.41855324074</v>
      </c>
      <c r="C6771" s="1" t="n">
        <v>45971</v>
      </c>
      <c r="D6771" t="inlineStr">
        <is>
          <t>VÄSTERBOTTENS LÄN</t>
        </is>
      </c>
      <c r="E6771" t="inlineStr">
        <is>
          <t>MALÅ</t>
        </is>
      </c>
      <c r="F6771" t="inlineStr">
        <is>
          <t>Sveaskog</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58838-2024</t>
        </is>
      </c>
      <c r="B6772" s="1" t="n">
        <v>45636.38042824074</v>
      </c>
      <c r="C6772" s="1" t="n">
        <v>45971</v>
      </c>
      <c r="D6772" t="inlineStr">
        <is>
          <t>VÄSTERBOTTENS LÄN</t>
        </is>
      </c>
      <c r="E6772" t="inlineStr">
        <is>
          <t>MALÅ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18455-2021</t>
        </is>
      </c>
      <c r="B6773" s="1" t="n">
        <v>44305</v>
      </c>
      <c r="C6773" s="1" t="n">
        <v>45971</v>
      </c>
      <c r="D6773" t="inlineStr">
        <is>
          <t>VÄSTERBOTTENS LÄN</t>
        </is>
      </c>
      <c r="E6773" t="inlineStr">
        <is>
          <t>UMEÅ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28856-2024</t>
        </is>
      </c>
      <c r="B6774" s="1" t="n">
        <v>45478.92837962963</v>
      </c>
      <c r="C6774" s="1" t="n">
        <v>45971</v>
      </c>
      <c r="D6774" t="inlineStr">
        <is>
          <t>VÄSTERBOTTENS LÄN</t>
        </is>
      </c>
      <c r="E6774" t="inlineStr">
        <is>
          <t>DOROTEA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62341-2023</t>
        </is>
      </c>
      <c r="B6775" s="1" t="n">
        <v>45267.92677083334</v>
      </c>
      <c r="C6775" s="1" t="n">
        <v>45971</v>
      </c>
      <c r="D6775" t="inlineStr">
        <is>
          <t>VÄSTERBOTTENS LÄN</t>
        </is>
      </c>
      <c r="E6775" t="inlineStr">
        <is>
          <t>VINDELN</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35068-2024</t>
        </is>
      </c>
      <c r="B6776" s="1" t="n">
        <v>45527.66186342593</v>
      </c>
      <c r="C6776" s="1" t="n">
        <v>45971</v>
      </c>
      <c r="D6776" t="inlineStr">
        <is>
          <t>VÄSTERBOTTENS LÄN</t>
        </is>
      </c>
      <c r="E6776" t="inlineStr">
        <is>
          <t>VINDELN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49279-2025</t>
        </is>
      </c>
      <c r="B6777" s="1" t="n">
        <v>45938.5106712963</v>
      </c>
      <c r="C6777" s="1" t="n">
        <v>45971</v>
      </c>
      <c r="D6777" t="inlineStr">
        <is>
          <t>VÄSTERBOTTENS LÄN</t>
        </is>
      </c>
      <c r="E6777" t="inlineStr">
        <is>
          <t>UMEÅ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46107-2023</t>
        </is>
      </c>
      <c r="B6778" s="1" t="n">
        <v>45190</v>
      </c>
      <c r="C6778" s="1" t="n">
        <v>45971</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29645-2023</t>
        </is>
      </c>
      <c r="B6779" s="1" t="n">
        <v>45098</v>
      </c>
      <c r="C6779" s="1" t="n">
        <v>45971</v>
      </c>
      <c r="D6779" t="inlineStr">
        <is>
          <t>VÄSTERBOTTENS LÄN</t>
        </is>
      </c>
      <c r="E6779" t="inlineStr">
        <is>
          <t>DOROTEA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10825-2024</t>
        </is>
      </c>
      <c r="B6780" s="1" t="n">
        <v>45369</v>
      </c>
      <c r="C6780" s="1" t="n">
        <v>45971</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28955-2024</t>
        </is>
      </c>
      <c r="B6781" s="1" t="n">
        <v>45481</v>
      </c>
      <c r="C6781" s="1" t="n">
        <v>45971</v>
      </c>
      <c r="D6781" t="inlineStr">
        <is>
          <t>VÄSTERBOTTENS LÄN</t>
        </is>
      </c>
      <c r="E6781" t="inlineStr">
        <is>
          <t>ÅSELE</t>
        </is>
      </c>
      <c r="F6781" t="inlineStr">
        <is>
          <t>Sveaskog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28960-2024</t>
        </is>
      </c>
      <c r="B6782" s="1" t="n">
        <v>45481</v>
      </c>
      <c r="C6782" s="1" t="n">
        <v>45971</v>
      </c>
      <c r="D6782" t="inlineStr">
        <is>
          <t>VÄSTERBOTTENS LÄN</t>
        </is>
      </c>
      <c r="E6782" t="inlineStr">
        <is>
          <t>ÅSELE</t>
        </is>
      </c>
      <c r="F6782" t="inlineStr">
        <is>
          <t>Sveaskog</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5143-2023</t>
        </is>
      </c>
      <c r="B6783" s="1" t="n">
        <v>44958.92283564815</v>
      </c>
      <c r="C6783" s="1" t="n">
        <v>45971</v>
      </c>
      <c r="D6783" t="inlineStr">
        <is>
          <t>VÄSTERBOTTENS LÄN</t>
        </is>
      </c>
      <c r="E6783" t="inlineStr">
        <is>
          <t>NORSJÖ</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58751-2023</t>
        </is>
      </c>
      <c r="B6784" s="1" t="n">
        <v>45251</v>
      </c>
      <c r="C6784" s="1" t="n">
        <v>45971</v>
      </c>
      <c r="D6784" t="inlineStr">
        <is>
          <t>VÄSTERBOTTENS LÄN</t>
        </is>
      </c>
      <c r="E6784" t="inlineStr">
        <is>
          <t>SKELLEFTEÅ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49207-2025</t>
        </is>
      </c>
      <c r="B6785" s="1" t="n">
        <v>45938.42548611111</v>
      </c>
      <c r="C6785" s="1" t="n">
        <v>45971</v>
      </c>
      <c r="D6785" t="inlineStr">
        <is>
          <t>VÄSTERBOTTENS LÄN</t>
        </is>
      </c>
      <c r="E6785" t="inlineStr">
        <is>
          <t>MALÅ</t>
        </is>
      </c>
      <c r="F6785" t="inlineStr">
        <is>
          <t>Sveaskog</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49208-2025</t>
        </is>
      </c>
      <c r="B6786" s="1" t="n">
        <v>45938.43431712963</v>
      </c>
      <c r="C6786" s="1" t="n">
        <v>45971</v>
      </c>
      <c r="D6786" t="inlineStr">
        <is>
          <t>VÄSTERBOTTENS LÄN</t>
        </is>
      </c>
      <c r="E6786" t="inlineStr">
        <is>
          <t>ÅSELE</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42501-2023</t>
        </is>
      </c>
      <c r="B6787" s="1" t="n">
        <v>45180.95841435185</v>
      </c>
      <c r="C6787" s="1" t="n">
        <v>45971</v>
      </c>
      <c r="D6787" t="inlineStr">
        <is>
          <t>VÄSTERBOTTENS LÄN</t>
        </is>
      </c>
      <c r="E6787" t="inlineStr">
        <is>
          <t>NORDMALING</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28961-2024</t>
        </is>
      </c>
      <c r="B6788" s="1" t="n">
        <v>45481</v>
      </c>
      <c r="C6788" s="1" t="n">
        <v>45971</v>
      </c>
      <c r="D6788" t="inlineStr">
        <is>
          <t>VÄSTERBOTTENS LÄN</t>
        </is>
      </c>
      <c r="E6788" t="inlineStr">
        <is>
          <t>ÅSELE</t>
        </is>
      </c>
      <c r="F6788" t="inlineStr">
        <is>
          <t>Sveaskog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14407-2023</t>
        </is>
      </c>
      <c r="B6789" s="1" t="n">
        <v>45012.50180555556</v>
      </c>
      <c r="C6789" s="1" t="n">
        <v>45971</v>
      </c>
      <c r="D6789" t="inlineStr">
        <is>
          <t>VÄSTERBOTTENS LÄN</t>
        </is>
      </c>
      <c r="E6789" t="inlineStr">
        <is>
          <t>UMEÅ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21289-2025</t>
        </is>
      </c>
      <c r="B6790" s="1" t="n">
        <v>45779</v>
      </c>
      <c r="C6790" s="1" t="n">
        <v>45971</v>
      </c>
      <c r="D6790" t="inlineStr">
        <is>
          <t>VÄSTERBOTTENS LÄN</t>
        </is>
      </c>
      <c r="E6790" t="inlineStr">
        <is>
          <t>LYCKSELE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16179-2023</t>
        </is>
      </c>
      <c r="B6791" s="1" t="n">
        <v>45027.92476851852</v>
      </c>
      <c r="C6791" s="1" t="n">
        <v>45971</v>
      </c>
      <c r="D6791" t="inlineStr">
        <is>
          <t>VÄSTERBOTTENS LÄN</t>
        </is>
      </c>
      <c r="E6791" t="inlineStr">
        <is>
          <t>VINDELN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40657-2025</t>
        </is>
      </c>
      <c r="B6792" s="1" t="n">
        <v>45896.63950231481</v>
      </c>
      <c r="C6792" s="1" t="n">
        <v>45971</v>
      </c>
      <c r="D6792" t="inlineStr">
        <is>
          <t>VÄSTERBOTTENS LÄN</t>
        </is>
      </c>
      <c r="E6792" t="inlineStr">
        <is>
          <t>LYCKSELE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21410-2025</t>
        </is>
      </c>
      <c r="B6793" s="1" t="n">
        <v>45782</v>
      </c>
      <c r="C6793" s="1" t="n">
        <v>45971</v>
      </c>
      <c r="D6793" t="inlineStr">
        <is>
          <t>VÄSTERBOTTENS LÄN</t>
        </is>
      </c>
      <c r="E6793" t="inlineStr">
        <is>
          <t>VILHELMINA</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21424-2025</t>
        </is>
      </c>
      <c r="B6794" s="1" t="n">
        <v>45782.50584490741</v>
      </c>
      <c r="C6794" s="1" t="n">
        <v>45971</v>
      </c>
      <c r="D6794" t="inlineStr">
        <is>
          <t>VÄSTERBOTTENS LÄN</t>
        </is>
      </c>
      <c r="E6794" t="inlineStr">
        <is>
          <t>SKELLEFTEÅ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49324-2025</t>
        </is>
      </c>
      <c r="B6795" s="1" t="n">
        <v>45938</v>
      </c>
      <c r="C6795" s="1" t="n">
        <v>45971</v>
      </c>
      <c r="D6795" t="inlineStr">
        <is>
          <t>VÄSTERBOTTENS LÄN</t>
        </is>
      </c>
      <c r="E6795" t="inlineStr">
        <is>
          <t>NORSJÖ</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27110-2024</t>
        </is>
      </c>
      <c r="B6796" s="1" t="n">
        <v>45471.50009259259</v>
      </c>
      <c r="C6796" s="1" t="n">
        <v>45971</v>
      </c>
      <c r="D6796" t="inlineStr">
        <is>
          <t>VÄSTERBOTTENS LÄN</t>
        </is>
      </c>
      <c r="E6796" t="inlineStr">
        <is>
          <t>VÄNNÄS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900-2023</t>
        </is>
      </c>
      <c r="B6797" s="1" t="n">
        <v>44931.9255324074</v>
      </c>
      <c r="C6797" s="1" t="n">
        <v>45971</v>
      </c>
      <c r="D6797" t="inlineStr">
        <is>
          <t>VÄSTERBOTTENS LÄN</t>
        </is>
      </c>
      <c r="E6797" t="inlineStr">
        <is>
          <t>SKELLEFTEÅ</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936-2023</t>
        </is>
      </c>
      <c r="B6798" s="1" t="n">
        <v>44933</v>
      </c>
      <c r="C6798" s="1" t="n">
        <v>45971</v>
      </c>
      <c r="D6798" t="inlineStr">
        <is>
          <t>VÄSTERBOTTENS LÄN</t>
        </is>
      </c>
      <c r="E6798" t="inlineStr">
        <is>
          <t>LYCKSELE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21411-2025</t>
        </is>
      </c>
      <c r="B6799" s="1" t="n">
        <v>45782</v>
      </c>
      <c r="C6799" s="1" t="n">
        <v>45971</v>
      </c>
      <c r="D6799" t="inlineStr">
        <is>
          <t>VÄSTERBOTTENS LÄN</t>
        </is>
      </c>
      <c r="E6799" t="inlineStr">
        <is>
          <t>DOROTEA</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21427-2025</t>
        </is>
      </c>
      <c r="B6800" s="1" t="n">
        <v>45782.50858796296</v>
      </c>
      <c r="C6800" s="1" t="n">
        <v>45971</v>
      </c>
      <c r="D6800" t="inlineStr">
        <is>
          <t>VÄSTERBOTTENS LÄN</t>
        </is>
      </c>
      <c r="E6800" t="inlineStr">
        <is>
          <t>SKELLEFTEÅ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48999-2025</t>
        </is>
      </c>
      <c r="B6801" s="1" t="n">
        <v>45937.59449074074</v>
      </c>
      <c r="C6801" s="1" t="n">
        <v>45971</v>
      </c>
      <c r="D6801" t="inlineStr">
        <is>
          <t>VÄSTERBOTTENS LÄN</t>
        </is>
      </c>
      <c r="E6801" t="inlineStr">
        <is>
          <t>NORDMALING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1612-2023</t>
        </is>
      </c>
      <c r="B6802" s="1" t="n">
        <v>44935</v>
      </c>
      <c r="C6802" s="1" t="n">
        <v>45971</v>
      </c>
      <c r="D6802" t="inlineStr">
        <is>
          <t>VÄSTERBOTTENS LÄN</t>
        </is>
      </c>
      <c r="E6802" t="inlineStr">
        <is>
          <t>SKELLEFTEÅ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9079-2023</t>
        </is>
      </c>
      <c r="B6803" s="1" t="n">
        <v>44979.92408564815</v>
      </c>
      <c r="C6803" s="1" t="n">
        <v>45971</v>
      </c>
      <c r="D6803" t="inlineStr">
        <is>
          <t>VÄSTERBOTTENS LÄN</t>
        </is>
      </c>
      <c r="E6803" t="inlineStr">
        <is>
          <t>SKELLEFTEÅ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19831-2025</t>
        </is>
      </c>
      <c r="B6804" s="1" t="n">
        <v>45771.46961805555</v>
      </c>
      <c r="C6804" s="1" t="n">
        <v>45971</v>
      </c>
      <c r="D6804" t="inlineStr">
        <is>
          <t>VÄSTERBOTTENS LÄN</t>
        </is>
      </c>
      <c r="E6804" t="inlineStr">
        <is>
          <t>UMEÅ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58749-2023</t>
        </is>
      </c>
      <c r="B6805" s="1" t="n">
        <v>45251.92947916667</v>
      </c>
      <c r="C6805" s="1" t="n">
        <v>45971</v>
      </c>
      <c r="D6805" t="inlineStr">
        <is>
          <t>VÄSTERBOTTENS LÄN</t>
        </is>
      </c>
      <c r="E6805" t="inlineStr">
        <is>
          <t>VILHELMINA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10666-2025</t>
        </is>
      </c>
      <c r="B6806" s="1" t="n">
        <v>45722</v>
      </c>
      <c r="C6806" s="1" t="n">
        <v>45971</v>
      </c>
      <c r="D6806" t="inlineStr">
        <is>
          <t>VÄSTERBOTTENS LÄN</t>
        </is>
      </c>
      <c r="E6806" t="inlineStr">
        <is>
          <t>MALÅ</t>
        </is>
      </c>
      <c r="G6806" t="n">
        <v>28.4</v>
      </c>
      <c r="H6806" t="n">
        <v>0</v>
      </c>
      <c r="I6806" t="n">
        <v>0</v>
      </c>
      <c r="J6806" t="n">
        <v>0</v>
      </c>
      <c r="K6806" t="n">
        <v>0</v>
      </c>
      <c r="L6806" t="n">
        <v>0</v>
      </c>
      <c r="M6806" t="n">
        <v>0</v>
      </c>
      <c r="N6806" t="n">
        <v>0</v>
      </c>
      <c r="O6806" t="n">
        <v>0</v>
      </c>
      <c r="P6806" t="n">
        <v>0</v>
      </c>
      <c r="Q6806" t="n">
        <v>0</v>
      </c>
      <c r="R6806" s="2" t="inlineStr"/>
    </row>
    <row r="6807" ht="15" customHeight="1">
      <c r="A6807" t="inlineStr">
        <is>
          <t>A 58780-2023</t>
        </is>
      </c>
      <c r="B6807" s="1" t="n">
        <v>45247</v>
      </c>
      <c r="C6807" s="1" t="n">
        <v>45971</v>
      </c>
      <c r="D6807" t="inlineStr">
        <is>
          <t>VÄSTERBOTTENS LÄN</t>
        </is>
      </c>
      <c r="E6807" t="inlineStr">
        <is>
          <t>SORSELE</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12851-2025</t>
        </is>
      </c>
      <c r="B6808" s="1" t="n">
        <v>45733</v>
      </c>
      <c r="C6808" s="1" t="n">
        <v>45971</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58830-2023</t>
        </is>
      </c>
      <c r="B6809" s="1" t="n">
        <v>45247</v>
      </c>
      <c r="C6809" s="1" t="n">
        <v>45971</v>
      </c>
      <c r="D6809" t="inlineStr">
        <is>
          <t>VÄSTERBOTTENS LÄN</t>
        </is>
      </c>
      <c r="E6809" t="inlineStr">
        <is>
          <t>SORSELE</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16844-2025</t>
        </is>
      </c>
      <c r="B6810" s="1" t="n">
        <v>45754.67600694444</v>
      </c>
      <c r="C6810" s="1" t="n">
        <v>45971</v>
      </c>
      <c r="D6810" t="inlineStr">
        <is>
          <t>VÄSTERBOTTENS LÄN</t>
        </is>
      </c>
      <c r="E6810" t="inlineStr">
        <is>
          <t>VINDELN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21148-2025</t>
        </is>
      </c>
      <c r="B6811" s="1" t="n">
        <v>45779.34300925926</v>
      </c>
      <c r="C6811" s="1" t="n">
        <v>45971</v>
      </c>
      <c r="D6811" t="inlineStr">
        <is>
          <t>VÄSTERBOTTENS LÄN</t>
        </is>
      </c>
      <c r="E6811" t="inlineStr">
        <is>
          <t>ROBERTSFORS</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51075-2024</t>
        </is>
      </c>
      <c r="B6812" s="1" t="n">
        <v>45603</v>
      </c>
      <c r="C6812" s="1" t="n">
        <v>45971</v>
      </c>
      <c r="D6812" t="inlineStr">
        <is>
          <t>VÄSTERBOTTENS LÄN</t>
        </is>
      </c>
      <c r="E6812" t="inlineStr">
        <is>
          <t>NORSJÖ</t>
        </is>
      </c>
      <c r="G6812" t="n">
        <v>10.3</v>
      </c>
      <c r="H6812" t="n">
        <v>0</v>
      </c>
      <c r="I6812" t="n">
        <v>0</v>
      </c>
      <c r="J6812" t="n">
        <v>0</v>
      </c>
      <c r="K6812" t="n">
        <v>0</v>
      </c>
      <c r="L6812" t="n">
        <v>0</v>
      </c>
      <c r="M6812" t="n">
        <v>0</v>
      </c>
      <c r="N6812" t="n">
        <v>0</v>
      </c>
      <c r="O6812" t="n">
        <v>0</v>
      </c>
      <c r="P6812" t="n">
        <v>0</v>
      </c>
      <c r="Q6812" t="n">
        <v>0</v>
      </c>
      <c r="R6812" s="2" t="inlineStr"/>
    </row>
    <row r="6813" ht="15" customHeight="1">
      <c r="A6813" t="inlineStr">
        <is>
          <t>A 21219-2025</t>
        </is>
      </c>
      <c r="B6813" s="1" t="n">
        <v>45779.4949537037</v>
      </c>
      <c r="C6813" s="1" t="n">
        <v>45971</v>
      </c>
      <c r="D6813" t="inlineStr">
        <is>
          <t>VÄSTERBOTTENS LÄN</t>
        </is>
      </c>
      <c r="E6813" t="inlineStr">
        <is>
          <t>ÅSELE</t>
        </is>
      </c>
      <c r="F6813" t="inlineStr">
        <is>
          <t>Holmen skog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41890-2022</t>
        </is>
      </c>
      <c r="B6814" s="1" t="n">
        <v>44830.32160879629</v>
      </c>
      <c r="C6814" s="1" t="n">
        <v>45971</v>
      </c>
      <c r="D6814" t="inlineStr">
        <is>
          <t>VÄSTERBOTTENS LÄN</t>
        </is>
      </c>
      <c r="E6814" t="inlineStr">
        <is>
          <t>NORSJÖ</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5280-2025</t>
        </is>
      </c>
      <c r="B6815" s="1" t="n">
        <v>45692.43077546296</v>
      </c>
      <c r="C6815" s="1" t="n">
        <v>45971</v>
      </c>
      <c r="D6815" t="inlineStr">
        <is>
          <t>VÄSTERBOTTENS LÄN</t>
        </is>
      </c>
      <c r="E6815" t="inlineStr">
        <is>
          <t>UMEÅ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3431-2023</t>
        </is>
      </c>
      <c r="B6816" s="1" t="n">
        <v>44949</v>
      </c>
      <c r="C6816" s="1" t="n">
        <v>45971</v>
      </c>
      <c r="D6816" t="inlineStr">
        <is>
          <t>VÄSTERBOTTENS LÄN</t>
        </is>
      </c>
      <c r="E6816" t="inlineStr">
        <is>
          <t>VINDELN</t>
        </is>
      </c>
      <c r="F6816" t="inlineStr">
        <is>
          <t>Sveaskog</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52880-2022</t>
        </is>
      </c>
      <c r="B6817" s="1" t="n">
        <v>44875</v>
      </c>
      <c r="C6817" s="1" t="n">
        <v>45971</v>
      </c>
      <c r="D6817" t="inlineStr">
        <is>
          <t>VÄSTERBOTTENS LÄN</t>
        </is>
      </c>
      <c r="E6817" t="inlineStr">
        <is>
          <t>VINDELN</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3745-2023</t>
        </is>
      </c>
      <c r="B6818" s="1" t="n">
        <v>44949</v>
      </c>
      <c r="C6818" s="1" t="n">
        <v>45971</v>
      </c>
      <c r="D6818" t="inlineStr">
        <is>
          <t>VÄSTERBOTTENS LÄN</t>
        </is>
      </c>
      <c r="E6818" t="inlineStr">
        <is>
          <t>VILHELMINA</t>
        </is>
      </c>
      <c r="G6818" t="n">
        <v>36.6</v>
      </c>
      <c r="H6818" t="n">
        <v>0</v>
      </c>
      <c r="I6818" t="n">
        <v>0</v>
      </c>
      <c r="J6818" t="n">
        <v>0</v>
      </c>
      <c r="K6818" t="n">
        <v>0</v>
      </c>
      <c r="L6818" t="n">
        <v>0</v>
      </c>
      <c r="M6818" t="n">
        <v>0</v>
      </c>
      <c r="N6818" t="n">
        <v>0</v>
      </c>
      <c r="O6818" t="n">
        <v>0</v>
      </c>
      <c r="P6818" t="n">
        <v>0</v>
      </c>
      <c r="Q6818" t="n">
        <v>0</v>
      </c>
      <c r="R6818" s="2" t="inlineStr"/>
    </row>
    <row r="6819" ht="15" customHeight="1">
      <c r="A6819" t="inlineStr">
        <is>
          <t>A 10772-2023</t>
        </is>
      </c>
      <c r="B6819" s="1" t="n">
        <v>44988.93965277778</v>
      </c>
      <c r="C6819" s="1" t="n">
        <v>45971</v>
      </c>
      <c r="D6819" t="inlineStr">
        <is>
          <t>VÄSTERBOTTENS LÄN</t>
        </is>
      </c>
      <c r="E6819" t="inlineStr">
        <is>
          <t>ÅSELE</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57199-2024</t>
        </is>
      </c>
      <c r="B6820" s="1" t="n">
        <v>45628</v>
      </c>
      <c r="C6820" s="1" t="n">
        <v>45971</v>
      </c>
      <c r="D6820" t="inlineStr">
        <is>
          <t>VÄSTERBOTTENS LÄN</t>
        </is>
      </c>
      <c r="E6820" t="inlineStr">
        <is>
          <t>SKELLEFTEÅ</t>
        </is>
      </c>
      <c r="G6820" t="n">
        <v>8.800000000000001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62405-2022</t>
        </is>
      </c>
      <c r="B6821" s="1" t="n">
        <v>44923</v>
      </c>
      <c r="C6821" s="1" t="n">
        <v>45971</v>
      </c>
      <c r="D6821" t="inlineStr">
        <is>
          <t>VÄSTERBOTTENS LÄN</t>
        </is>
      </c>
      <c r="E6821" t="inlineStr">
        <is>
          <t>VILHELMINA</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41255-2025</t>
        </is>
      </c>
      <c r="B6822" s="1" t="n">
        <v>45898.60793981481</v>
      </c>
      <c r="C6822" s="1" t="n">
        <v>45971</v>
      </c>
      <c r="D6822" t="inlineStr">
        <is>
          <t>VÄSTERBOTTENS LÄN</t>
        </is>
      </c>
      <c r="E6822" t="inlineStr">
        <is>
          <t>BJURHOLM</t>
        </is>
      </c>
      <c r="F6822" t="inlineStr">
        <is>
          <t>Holmen skog AB</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21195-2025</t>
        </is>
      </c>
      <c r="B6823" s="1" t="n">
        <v>45779.46914351852</v>
      </c>
      <c r="C6823" s="1" t="n">
        <v>45971</v>
      </c>
      <c r="D6823" t="inlineStr">
        <is>
          <t>VÄSTERBOTTENS LÄN</t>
        </is>
      </c>
      <c r="E6823" t="inlineStr">
        <is>
          <t>LYCKSELE</t>
        </is>
      </c>
      <c r="F6823" t="inlineStr">
        <is>
          <t>SCA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21205-2025</t>
        </is>
      </c>
      <c r="B6824" s="1" t="n">
        <v>45779</v>
      </c>
      <c r="C6824" s="1" t="n">
        <v>45971</v>
      </c>
      <c r="D6824" t="inlineStr">
        <is>
          <t>VÄSTERBOTTENS LÄN</t>
        </is>
      </c>
      <c r="E6824" t="inlineStr">
        <is>
          <t>VILHELMINA</t>
        </is>
      </c>
      <c r="F6824" t="inlineStr">
        <is>
          <t>Allmännings- och besparingsskogar</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29450-2024</t>
        </is>
      </c>
      <c r="B6825" s="1" t="n">
        <v>45483.93383101852</v>
      </c>
      <c r="C6825" s="1" t="n">
        <v>45971</v>
      </c>
      <c r="D6825" t="inlineStr">
        <is>
          <t>VÄSTERBOTTENS LÄN</t>
        </is>
      </c>
      <c r="E6825" t="inlineStr">
        <is>
          <t>MALÅ</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9103-2023</t>
        </is>
      </c>
      <c r="B6826" s="1" t="n">
        <v>44979</v>
      </c>
      <c r="C6826" s="1" t="n">
        <v>45971</v>
      </c>
      <c r="D6826" t="inlineStr">
        <is>
          <t>VÄSTERBOTTENS LÄN</t>
        </is>
      </c>
      <c r="E6826" t="inlineStr">
        <is>
          <t>DOROTEA</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21448-2025</t>
        </is>
      </c>
      <c r="B6827" s="1" t="n">
        <v>45782.55241898148</v>
      </c>
      <c r="C6827" s="1" t="n">
        <v>45971</v>
      </c>
      <c r="D6827" t="inlineStr">
        <is>
          <t>VÄSTERBOTTENS LÄN</t>
        </is>
      </c>
      <c r="E6827" t="inlineStr">
        <is>
          <t>VILHELMINA</t>
        </is>
      </c>
      <c r="F6827" t="inlineStr">
        <is>
          <t>SCA</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42268-2024</t>
        </is>
      </c>
      <c r="B6828" s="1" t="n">
        <v>45562.5971412037</v>
      </c>
      <c r="C6828" s="1" t="n">
        <v>45971</v>
      </c>
      <c r="D6828" t="inlineStr">
        <is>
          <t>VÄSTERBOTTENS LÄN</t>
        </is>
      </c>
      <c r="E6828" t="inlineStr">
        <is>
          <t>ÅSELE</t>
        </is>
      </c>
      <c r="F6828" t="inlineStr">
        <is>
          <t>Naturvårdsverket</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11907-2025</t>
        </is>
      </c>
      <c r="B6829" s="1" t="n">
        <v>45728</v>
      </c>
      <c r="C6829" s="1" t="n">
        <v>45971</v>
      </c>
      <c r="D6829" t="inlineStr">
        <is>
          <t>VÄSTERBOTTENS LÄN</t>
        </is>
      </c>
      <c r="E6829" t="inlineStr">
        <is>
          <t>SKELLEFTEÅ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40730-2025</t>
        </is>
      </c>
      <c r="B6830" s="1" t="n">
        <v>45897.35766203704</v>
      </c>
      <c r="C6830" s="1" t="n">
        <v>45971</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21144-2025</t>
        </is>
      </c>
      <c r="B6831" s="1" t="n">
        <v>45779.33128472222</v>
      </c>
      <c r="C6831" s="1" t="n">
        <v>45971</v>
      </c>
      <c r="D6831" t="inlineStr">
        <is>
          <t>VÄSTERBOTTENS LÄN</t>
        </is>
      </c>
      <c r="E6831" t="inlineStr">
        <is>
          <t>ROBERTSFORS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24295-2023</t>
        </is>
      </c>
      <c r="B6832" s="1" t="n">
        <v>45079</v>
      </c>
      <c r="C6832" s="1" t="n">
        <v>45971</v>
      </c>
      <c r="D6832" t="inlineStr">
        <is>
          <t>VÄSTERBOTTENS LÄN</t>
        </is>
      </c>
      <c r="E6832" t="inlineStr">
        <is>
          <t>ROBERTSFORS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40733-2025</t>
        </is>
      </c>
      <c r="B6833" s="1" t="n">
        <v>45897</v>
      </c>
      <c r="C6833" s="1" t="n">
        <v>45971</v>
      </c>
      <c r="D6833" t="inlineStr">
        <is>
          <t>VÄSTERBOTTENS LÄN</t>
        </is>
      </c>
      <c r="E6833" t="inlineStr">
        <is>
          <t>VINDELN</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40746-2025</t>
        </is>
      </c>
      <c r="B6834" s="1" t="n">
        <v>45897.37753472223</v>
      </c>
      <c r="C6834" s="1" t="n">
        <v>45971</v>
      </c>
      <c r="D6834" t="inlineStr">
        <is>
          <t>VÄSTERBOTTENS LÄN</t>
        </is>
      </c>
      <c r="E6834" t="inlineStr">
        <is>
          <t>LYCKSELE</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40751-2025</t>
        </is>
      </c>
      <c r="B6835" s="1" t="n">
        <v>45897.38390046296</v>
      </c>
      <c r="C6835" s="1" t="n">
        <v>45971</v>
      </c>
      <c r="D6835" t="inlineStr">
        <is>
          <t>VÄSTERBOTTENS LÄN</t>
        </is>
      </c>
      <c r="E6835" t="inlineStr">
        <is>
          <t>LYCKSELE</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24327-2023</t>
        </is>
      </c>
      <c r="B6836" s="1" t="n">
        <v>45080</v>
      </c>
      <c r="C6836" s="1" t="n">
        <v>45971</v>
      </c>
      <c r="D6836" t="inlineStr">
        <is>
          <t>VÄSTERBOTTENS LÄN</t>
        </is>
      </c>
      <c r="E6836" t="inlineStr">
        <is>
          <t>SKELLEFTEÅ</t>
        </is>
      </c>
      <c r="F6836" t="inlineStr">
        <is>
          <t>SCA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21222-2025</t>
        </is>
      </c>
      <c r="B6837" s="1" t="n">
        <v>45779.5078125</v>
      </c>
      <c r="C6837" s="1" t="n">
        <v>45971</v>
      </c>
      <c r="D6837" t="inlineStr">
        <is>
          <t>VÄSTERBOTTENS LÄN</t>
        </is>
      </c>
      <c r="E6837" t="inlineStr">
        <is>
          <t>SKELLEFTEÅ</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60520-2024</t>
        </is>
      </c>
      <c r="B6838" s="1" t="n">
        <v>45643.68678240741</v>
      </c>
      <c r="C6838" s="1" t="n">
        <v>45971</v>
      </c>
      <c r="D6838" t="inlineStr">
        <is>
          <t>VÄSTERBOTTENS LÄN</t>
        </is>
      </c>
      <c r="E6838" t="inlineStr">
        <is>
          <t>MALÅ</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5602-2023</t>
        </is>
      </c>
      <c r="B6839" s="1" t="n">
        <v>44960.55158564815</v>
      </c>
      <c r="C6839" s="1" t="n">
        <v>45971</v>
      </c>
      <c r="D6839" t="inlineStr">
        <is>
          <t>VÄSTERBOTTENS LÄN</t>
        </is>
      </c>
      <c r="E6839" t="inlineStr">
        <is>
          <t>SKELLEFTEÅ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10587-2023</t>
        </is>
      </c>
      <c r="B6840" s="1" t="n">
        <v>44984</v>
      </c>
      <c r="C6840" s="1" t="n">
        <v>45971</v>
      </c>
      <c r="D6840" t="inlineStr">
        <is>
          <t>VÄSTERBOTTENS LÄN</t>
        </is>
      </c>
      <c r="E6840" t="inlineStr">
        <is>
          <t>UMEÅ</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36918-2021</t>
        </is>
      </c>
      <c r="B6841" s="1" t="n">
        <v>44393.48011574074</v>
      </c>
      <c r="C6841" s="1" t="n">
        <v>45971</v>
      </c>
      <c r="D6841" t="inlineStr">
        <is>
          <t>VÄSTERBOTTENS LÄN</t>
        </is>
      </c>
      <c r="E6841" t="inlineStr">
        <is>
          <t>STORUMAN</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43357-2021</t>
        </is>
      </c>
      <c r="B6842" s="1" t="n">
        <v>44432</v>
      </c>
      <c r="C6842" s="1" t="n">
        <v>45971</v>
      </c>
      <c r="D6842" t="inlineStr">
        <is>
          <t>VÄSTERBOTTENS LÄN</t>
        </is>
      </c>
      <c r="E6842" t="inlineStr">
        <is>
          <t>UMEÅ</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50872-2022</t>
        </is>
      </c>
      <c r="B6843" s="1" t="n">
        <v>44867</v>
      </c>
      <c r="C6843" s="1" t="n">
        <v>45971</v>
      </c>
      <c r="D6843" t="inlineStr">
        <is>
          <t>VÄSTERBOTTENS LÄN</t>
        </is>
      </c>
      <c r="E6843" t="inlineStr">
        <is>
          <t>SKELLEFTEÅ</t>
        </is>
      </c>
      <c r="F6843" t="inlineStr">
        <is>
          <t>Holmen skog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49886-2024</t>
        </is>
      </c>
      <c r="B6844" s="1" t="n">
        <v>45597</v>
      </c>
      <c r="C6844" s="1" t="n">
        <v>45971</v>
      </c>
      <c r="D6844" t="inlineStr">
        <is>
          <t>VÄSTERBOTTENS LÄN</t>
        </is>
      </c>
      <c r="E6844" t="inlineStr">
        <is>
          <t>VILHELMINA</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14091-2023</t>
        </is>
      </c>
      <c r="B6845" s="1" t="n">
        <v>45007</v>
      </c>
      <c r="C6845" s="1" t="n">
        <v>45971</v>
      </c>
      <c r="D6845" t="inlineStr">
        <is>
          <t>VÄSTERBOTTENS LÄN</t>
        </is>
      </c>
      <c r="E6845" t="inlineStr">
        <is>
          <t>UMEÅ</t>
        </is>
      </c>
      <c r="F6845" t="inlineStr">
        <is>
          <t>Kommuner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21510-2025</t>
        </is>
      </c>
      <c r="B6846" s="1" t="n">
        <v>45782.62412037037</v>
      </c>
      <c r="C6846" s="1" t="n">
        <v>45971</v>
      </c>
      <c r="D6846" t="inlineStr">
        <is>
          <t>VÄSTERBOTTENS LÄN</t>
        </is>
      </c>
      <c r="E6846" t="inlineStr">
        <is>
          <t>VINDELN</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8939-2025</t>
        </is>
      </c>
      <c r="B6847" s="1" t="n">
        <v>45713.4485300926</v>
      </c>
      <c r="C6847" s="1" t="n">
        <v>45971</v>
      </c>
      <c r="D6847" t="inlineStr">
        <is>
          <t>VÄSTERBOTTENS LÄN</t>
        </is>
      </c>
      <c r="E6847" t="inlineStr">
        <is>
          <t>VÄNNÄS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21482-2025</t>
        </is>
      </c>
      <c r="B6848" s="1" t="n">
        <v>45782</v>
      </c>
      <c r="C6848" s="1" t="n">
        <v>45971</v>
      </c>
      <c r="D6848" t="inlineStr">
        <is>
          <t>VÄSTERBOTTENS LÄN</t>
        </is>
      </c>
      <c r="E6848" t="inlineStr">
        <is>
          <t>DOROTEA</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21171-2025</t>
        </is>
      </c>
      <c r="B6849" s="1" t="n">
        <v>45779.42604166667</v>
      </c>
      <c r="C6849" s="1" t="n">
        <v>45971</v>
      </c>
      <c r="D6849" t="inlineStr">
        <is>
          <t>VÄSTERBOTTENS LÄN</t>
        </is>
      </c>
      <c r="E6849" t="inlineStr">
        <is>
          <t>LYCKSELE</t>
        </is>
      </c>
      <c r="F6849" t="inlineStr">
        <is>
          <t>Sveaskog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58672-2024</t>
        </is>
      </c>
      <c r="B6850" s="1" t="n">
        <v>45635</v>
      </c>
      <c r="C6850" s="1" t="n">
        <v>45971</v>
      </c>
      <c r="D6850" t="inlineStr">
        <is>
          <t>VÄSTERBOTTENS LÄN</t>
        </is>
      </c>
      <c r="E6850" t="inlineStr">
        <is>
          <t>SORSELE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58675-2024</t>
        </is>
      </c>
      <c r="B6851" s="1" t="n">
        <v>45635</v>
      </c>
      <c r="C6851" s="1" t="n">
        <v>45971</v>
      </c>
      <c r="D6851" t="inlineStr">
        <is>
          <t>VÄSTERBOTTENS LÄN</t>
        </is>
      </c>
      <c r="E6851" t="inlineStr">
        <is>
          <t>SORSELE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21350-2025</t>
        </is>
      </c>
      <c r="B6852" s="1" t="n">
        <v>45782.40702546296</v>
      </c>
      <c r="C6852" s="1" t="n">
        <v>45971</v>
      </c>
      <c r="D6852" t="inlineStr">
        <is>
          <t>VÄSTERBOTTENS LÄN</t>
        </is>
      </c>
      <c r="E6852" t="inlineStr">
        <is>
          <t>SKELLEFTEÅ</t>
        </is>
      </c>
      <c r="F6852" t="inlineStr">
        <is>
          <t>Holmen skog AB</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21381-2025</t>
        </is>
      </c>
      <c r="B6853" s="1" t="n">
        <v>45782.45925925926</v>
      </c>
      <c r="C6853" s="1" t="n">
        <v>45971</v>
      </c>
      <c r="D6853" t="inlineStr">
        <is>
          <t>VÄSTERBOTTENS LÄN</t>
        </is>
      </c>
      <c r="E6853" t="inlineStr">
        <is>
          <t>SKELLEFTEÅ</t>
        </is>
      </c>
      <c r="F6853" t="inlineStr">
        <is>
          <t>Holmen skog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24468-2024</t>
        </is>
      </c>
      <c r="B6854" s="1" t="n">
        <v>45458</v>
      </c>
      <c r="C6854" s="1" t="n">
        <v>45971</v>
      </c>
      <c r="D6854" t="inlineStr">
        <is>
          <t>VÄSTERBOTTENS LÄN</t>
        </is>
      </c>
      <c r="E6854" t="inlineStr">
        <is>
          <t>ROBERTSFORS</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38361-2023</t>
        </is>
      </c>
      <c r="B6855" s="1" t="n">
        <v>45161.94315972222</v>
      </c>
      <c r="C6855" s="1" t="n">
        <v>45971</v>
      </c>
      <c r="D6855" t="inlineStr">
        <is>
          <t>VÄSTERBOTTENS LÄN</t>
        </is>
      </c>
      <c r="E6855" t="inlineStr">
        <is>
          <t>VILHELMINA</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42494-2024</t>
        </is>
      </c>
      <c r="B6856" s="1" t="n">
        <v>45565.49755787037</v>
      </c>
      <c r="C6856" s="1" t="n">
        <v>45971</v>
      </c>
      <c r="D6856" t="inlineStr">
        <is>
          <t>VÄSTERBOTTENS LÄN</t>
        </is>
      </c>
      <c r="E6856" t="inlineStr">
        <is>
          <t>ROBERTSFORS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21265-2025</t>
        </is>
      </c>
      <c r="B6857" s="1" t="n">
        <v>45779.61490740741</v>
      </c>
      <c r="C6857" s="1" t="n">
        <v>45971</v>
      </c>
      <c r="D6857" t="inlineStr">
        <is>
          <t>VÄSTERBOTTENS LÄN</t>
        </is>
      </c>
      <c r="E6857" t="inlineStr">
        <is>
          <t>DOROTEA</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21266-2025</t>
        </is>
      </c>
      <c r="B6858" s="1" t="n">
        <v>45779.61503472222</v>
      </c>
      <c r="C6858" s="1" t="n">
        <v>45971</v>
      </c>
      <c r="D6858" t="inlineStr">
        <is>
          <t>VÄSTERBOTTENS LÄN</t>
        </is>
      </c>
      <c r="E6858" t="inlineStr">
        <is>
          <t>LYCKSELE</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51134-2024</t>
        </is>
      </c>
      <c r="B6859" s="1" t="n">
        <v>45603</v>
      </c>
      <c r="C6859" s="1" t="n">
        <v>45971</v>
      </c>
      <c r="D6859" t="inlineStr">
        <is>
          <t>VÄSTERBOTTENS LÄN</t>
        </is>
      </c>
      <c r="E6859" t="inlineStr">
        <is>
          <t>VILHELMINA</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41198-2024</t>
        </is>
      </c>
      <c r="B6860" s="1" t="n">
        <v>45559.51533564815</v>
      </c>
      <c r="C6860" s="1" t="n">
        <v>45971</v>
      </c>
      <c r="D6860" t="inlineStr">
        <is>
          <t>VÄSTERBOTTENS LÄN</t>
        </is>
      </c>
      <c r="E6860" t="inlineStr">
        <is>
          <t>SKELLEFTEÅ</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15408-2023</t>
        </is>
      </c>
      <c r="B6861" s="1" t="n">
        <v>45019.66755787037</v>
      </c>
      <c r="C6861" s="1" t="n">
        <v>45971</v>
      </c>
      <c r="D6861" t="inlineStr">
        <is>
          <t>VÄSTERBOTTENS LÄN</t>
        </is>
      </c>
      <c r="E6861" t="inlineStr">
        <is>
          <t>VINDELN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21320-2025</t>
        </is>
      </c>
      <c r="B6862" s="1" t="n">
        <v>45782</v>
      </c>
      <c r="C6862" s="1" t="n">
        <v>45971</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17148-2025</t>
        </is>
      </c>
      <c r="B6863" s="1" t="n">
        <v>45756.30644675926</v>
      </c>
      <c r="C6863" s="1" t="n">
        <v>45971</v>
      </c>
      <c r="D6863" t="inlineStr">
        <is>
          <t>VÄSTERBOTTENS LÄN</t>
        </is>
      </c>
      <c r="E6863" t="inlineStr">
        <is>
          <t>ÅSELE</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17162-2025</t>
        </is>
      </c>
      <c r="B6864" s="1" t="n">
        <v>45756.3552199074</v>
      </c>
      <c r="C6864" s="1" t="n">
        <v>45971</v>
      </c>
      <c r="D6864" t="inlineStr">
        <is>
          <t>VÄSTERBOTTENS LÄN</t>
        </is>
      </c>
      <c r="E6864" t="inlineStr">
        <is>
          <t>SKELLEFTEÅ</t>
        </is>
      </c>
      <c r="G6864" t="n">
        <v>23.9</v>
      </c>
      <c r="H6864" t="n">
        <v>0</v>
      </c>
      <c r="I6864" t="n">
        <v>0</v>
      </c>
      <c r="J6864" t="n">
        <v>0</v>
      </c>
      <c r="K6864" t="n">
        <v>0</v>
      </c>
      <c r="L6864" t="n">
        <v>0</v>
      </c>
      <c r="M6864" t="n">
        <v>0</v>
      </c>
      <c r="N6864" t="n">
        <v>0</v>
      </c>
      <c r="O6864" t="n">
        <v>0</v>
      </c>
      <c r="P6864" t="n">
        <v>0</v>
      </c>
      <c r="Q6864" t="n">
        <v>0</v>
      </c>
      <c r="R6864" s="2" t="inlineStr"/>
    </row>
    <row r="6865" ht="15" customHeight="1">
      <c r="A6865" t="inlineStr">
        <is>
          <t>A 34376-2023</t>
        </is>
      </c>
      <c r="B6865" s="1" t="n">
        <v>45139</v>
      </c>
      <c r="C6865" s="1" t="n">
        <v>45971</v>
      </c>
      <c r="D6865" t="inlineStr">
        <is>
          <t>VÄSTERBOTTENS LÄN</t>
        </is>
      </c>
      <c r="E6865" t="inlineStr">
        <is>
          <t>MALÅ</t>
        </is>
      </c>
      <c r="F6865" t="inlineStr">
        <is>
          <t>Sveaskog</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16758-2023</t>
        </is>
      </c>
      <c r="B6866" s="1" t="n">
        <v>45030</v>
      </c>
      <c r="C6866" s="1" t="n">
        <v>45971</v>
      </c>
      <c r="D6866" t="inlineStr">
        <is>
          <t>VÄSTERBOTTENS LÄN</t>
        </is>
      </c>
      <c r="E6866" t="inlineStr">
        <is>
          <t>NORDMALING</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15528-2023</t>
        </is>
      </c>
      <c r="B6867" s="1" t="n">
        <v>45020</v>
      </c>
      <c r="C6867" s="1" t="n">
        <v>45971</v>
      </c>
      <c r="D6867" t="inlineStr">
        <is>
          <t>VÄSTERBOTTENS LÄN</t>
        </is>
      </c>
      <c r="E6867" t="inlineStr">
        <is>
          <t>ROBERTSFORS</t>
        </is>
      </c>
      <c r="F6867" t="inlineStr">
        <is>
          <t>Sveaskog</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49981-2024</t>
        </is>
      </c>
      <c r="B6868" s="1" t="n">
        <v>45597.75133101852</v>
      </c>
      <c r="C6868" s="1" t="n">
        <v>45971</v>
      </c>
      <c r="D6868" t="inlineStr">
        <is>
          <t>VÄSTERBOTTENS LÄN</t>
        </is>
      </c>
      <c r="E6868" t="inlineStr">
        <is>
          <t>SKELLEFTEÅ</t>
        </is>
      </c>
      <c r="F6868" t="inlineStr">
        <is>
          <t>Sveaskog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18108-2025</t>
        </is>
      </c>
      <c r="B6869" s="1" t="n">
        <v>45761.56107638889</v>
      </c>
      <c r="C6869" s="1" t="n">
        <v>45971</v>
      </c>
      <c r="D6869" t="inlineStr">
        <is>
          <t>VÄSTERBOTTENS LÄN</t>
        </is>
      </c>
      <c r="E6869" t="inlineStr">
        <is>
          <t>UMEÅ</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52157-2024</t>
        </is>
      </c>
      <c r="B6870" s="1" t="n">
        <v>45608.52555555556</v>
      </c>
      <c r="C6870" s="1" t="n">
        <v>45971</v>
      </c>
      <c r="D6870" t="inlineStr">
        <is>
          <t>VÄSTERBOTTENS LÄN</t>
        </is>
      </c>
      <c r="E6870" t="inlineStr">
        <is>
          <t>SKELLEFTEÅ</t>
        </is>
      </c>
      <c r="F6870" t="inlineStr">
        <is>
          <t>Holmen skog AB</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20976-2021</t>
        </is>
      </c>
      <c r="B6871" s="1" t="n">
        <v>44318</v>
      </c>
      <c r="C6871" s="1" t="n">
        <v>45971</v>
      </c>
      <c r="D6871" t="inlineStr">
        <is>
          <t>VÄSTERBOTTENS LÄN</t>
        </is>
      </c>
      <c r="E6871" t="inlineStr">
        <is>
          <t>NORDMALING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53382-2024</t>
        </is>
      </c>
      <c r="B6872" s="1" t="n">
        <v>45614</v>
      </c>
      <c r="C6872" s="1" t="n">
        <v>45971</v>
      </c>
      <c r="D6872" t="inlineStr">
        <is>
          <t>VÄSTERBOTTENS LÄN</t>
        </is>
      </c>
      <c r="E6872" t="inlineStr">
        <is>
          <t>DOROTEA</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16903-2025</t>
        </is>
      </c>
      <c r="B6873" s="1" t="n">
        <v>45755.34568287037</v>
      </c>
      <c r="C6873" s="1" t="n">
        <v>45971</v>
      </c>
      <c r="D6873" t="inlineStr">
        <is>
          <t>VÄSTERBOTTENS LÄN</t>
        </is>
      </c>
      <c r="E6873" t="inlineStr">
        <is>
          <t>UMEÅ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52899-2024</t>
        </is>
      </c>
      <c r="B6874" s="1" t="n">
        <v>45610.67768518518</v>
      </c>
      <c r="C6874" s="1" t="n">
        <v>45971</v>
      </c>
      <c r="D6874" t="inlineStr">
        <is>
          <t>VÄSTERBOTTENS LÄN</t>
        </is>
      </c>
      <c r="E6874" t="inlineStr">
        <is>
          <t>DOROTEA</t>
        </is>
      </c>
      <c r="F6874" t="inlineStr">
        <is>
          <t>SCA</t>
        </is>
      </c>
      <c r="G6874" t="n">
        <v>12.4</v>
      </c>
      <c r="H6874" t="n">
        <v>0</v>
      </c>
      <c r="I6874" t="n">
        <v>0</v>
      </c>
      <c r="J6874" t="n">
        <v>0</v>
      </c>
      <c r="K6874" t="n">
        <v>0</v>
      </c>
      <c r="L6874" t="n">
        <v>0</v>
      </c>
      <c r="M6874" t="n">
        <v>0</v>
      </c>
      <c r="N6874" t="n">
        <v>0</v>
      </c>
      <c r="O6874" t="n">
        <v>0</v>
      </c>
      <c r="P6874" t="n">
        <v>0</v>
      </c>
      <c r="Q6874" t="n">
        <v>0</v>
      </c>
      <c r="R6874" s="2" t="inlineStr"/>
    </row>
    <row r="6875" ht="15" customHeight="1">
      <c r="A6875" t="inlineStr">
        <is>
          <t>A 52920-2024</t>
        </is>
      </c>
      <c r="B6875" s="1" t="n">
        <v>45610</v>
      </c>
      <c r="C6875" s="1" t="n">
        <v>45971</v>
      </c>
      <c r="D6875" t="inlineStr">
        <is>
          <t>VÄSTERBOTTENS LÄN</t>
        </is>
      </c>
      <c r="E6875" t="inlineStr">
        <is>
          <t>SKELLEFTEÅ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51746-2021</t>
        </is>
      </c>
      <c r="B6876" s="1" t="n">
        <v>44462</v>
      </c>
      <c r="C6876" s="1" t="n">
        <v>45971</v>
      </c>
      <c r="D6876" t="inlineStr">
        <is>
          <t>VÄSTERBOTTENS LÄN</t>
        </is>
      </c>
      <c r="E6876" t="inlineStr">
        <is>
          <t>NORDMALING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10340-2024</t>
        </is>
      </c>
      <c r="B6877" s="1" t="n">
        <v>45365</v>
      </c>
      <c r="C6877" s="1" t="n">
        <v>45971</v>
      </c>
      <c r="D6877" t="inlineStr">
        <is>
          <t>VÄSTERBOTTENS LÄN</t>
        </is>
      </c>
      <c r="E6877" t="inlineStr">
        <is>
          <t>SKELLEFTEÅ</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21190-2025</t>
        </is>
      </c>
      <c r="B6878" s="1" t="n">
        <v>45779.45958333334</v>
      </c>
      <c r="C6878" s="1" t="n">
        <v>45971</v>
      </c>
      <c r="D6878" t="inlineStr">
        <is>
          <t>VÄSTERBOTTENS LÄN</t>
        </is>
      </c>
      <c r="E6878" t="inlineStr">
        <is>
          <t>SKELLEFTEÅ</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21204-2025</t>
        </is>
      </c>
      <c r="B6879" s="1" t="n">
        <v>45779</v>
      </c>
      <c r="C6879" s="1" t="n">
        <v>45971</v>
      </c>
      <c r="D6879" t="inlineStr">
        <is>
          <t>VÄSTERBOTTENS LÄN</t>
        </is>
      </c>
      <c r="E6879" t="inlineStr">
        <is>
          <t>VILHELMINA</t>
        </is>
      </c>
      <c r="F6879" t="inlineStr">
        <is>
          <t>Allmännings- och besparingsskogar</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21215-2025</t>
        </is>
      </c>
      <c r="B6880" s="1" t="n">
        <v>45779.49037037037</v>
      </c>
      <c r="C6880" s="1" t="n">
        <v>45971</v>
      </c>
      <c r="D6880" t="inlineStr">
        <is>
          <t>VÄSTERBOTTENS LÄN</t>
        </is>
      </c>
      <c r="E6880" t="inlineStr">
        <is>
          <t>DOROTEA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56114-2024</t>
        </is>
      </c>
      <c r="B6881" s="1" t="n">
        <v>45623</v>
      </c>
      <c r="C6881" s="1" t="n">
        <v>45971</v>
      </c>
      <c r="D6881" t="inlineStr">
        <is>
          <t>VÄSTERBOTTENS LÄN</t>
        </is>
      </c>
      <c r="E6881" t="inlineStr">
        <is>
          <t>BJURHOLM</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41007-2025</t>
        </is>
      </c>
      <c r="B6882" s="1" t="n">
        <v>45898.34947916667</v>
      </c>
      <c r="C6882" s="1" t="n">
        <v>45971</v>
      </c>
      <c r="D6882" t="inlineStr">
        <is>
          <t>VÄSTERBOTTENS LÄN</t>
        </is>
      </c>
      <c r="E6882" t="inlineStr">
        <is>
          <t>VINDELN</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61523-2022</t>
        </is>
      </c>
      <c r="B6883" s="1" t="n">
        <v>44916</v>
      </c>
      <c r="C6883" s="1" t="n">
        <v>45971</v>
      </c>
      <c r="D6883" t="inlineStr">
        <is>
          <t>VÄSTERBOTTENS LÄN</t>
        </is>
      </c>
      <c r="E6883" t="inlineStr">
        <is>
          <t>VINDELN</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55856-2024</t>
        </is>
      </c>
      <c r="B6884" s="1" t="n">
        <v>45623</v>
      </c>
      <c r="C6884" s="1" t="n">
        <v>45971</v>
      </c>
      <c r="D6884" t="inlineStr">
        <is>
          <t>VÄSTERBOTTENS LÄN</t>
        </is>
      </c>
      <c r="E6884" t="inlineStr">
        <is>
          <t>UMEÅ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566-2025</t>
        </is>
      </c>
      <c r="B6885" s="1" t="n">
        <v>45660</v>
      </c>
      <c r="C6885" s="1" t="n">
        <v>45971</v>
      </c>
      <c r="D6885" t="inlineStr">
        <is>
          <t>VÄSTERBOTTENS LÄN</t>
        </is>
      </c>
      <c r="E6885" t="inlineStr">
        <is>
          <t>SORSELE</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21861-2025</t>
        </is>
      </c>
      <c r="B6886" s="1" t="n">
        <v>45784.36506944444</v>
      </c>
      <c r="C6886" s="1" t="n">
        <v>45971</v>
      </c>
      <c r="D6886" t="inlineStr">
        <is>
          <t>VÄSTERBOTTENS LÄN</t>
        </is>
      </c>
      <c r="E6886" t="inlineStr">
        <is>
          <t>LYCKSELE</t>
        </is>
      </c>
      <c r="F6886" t="inlineStr">
        <is>
          <t>SCA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21924-2025</t>
        </is>
      </c>
      <c r="B6887" s="1" t="n">
        <v>45784</v>
      </c>
      <c r="C6887" s="1" t="n">
        <v>45971</v>
      </c>
      <c r="D6887" t="inlineStr">
        <is>
          <t>VÄSTERBOTTENS LÄN</t>
        </is>
      </c>
      <c r="E6887" t="inlineStr">
        <is>
          <t>VILHELMINA</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21960-2025</t>
        </is>
      </c>
      <c r="B6888" s="1" t="n">
        <v>45784</v>
      </c>
      <c r="C6888" s="1" t="n">
        <v>45971</v>
      </c>
      <c r="D6888" t="inlineStr">
        <is>
          <t>VÄSTERBOTTENS LÄN</t>
        </is>
      </c>
      <c r="E6888" t="inlineStr">
        <is>
          <t>DOROTEA</t>
        </is>
      </c>
      <c r="F6888" t="inlineStr">
        <is>
          <t>SCA</t>
        </is>
      </c>
      <c r="G6888" t="n">
        <v>26.9</v>
      </c>
      <c r="H6888" t="n">
        <v>0</v>
      </c>
      <c r="I6888" t="n">
        <v>0</v>
      </c>
      <c r="J6888" t="n">
        <v>0</v>
      </c>
      <c r="K6888" t="n">
        <v>0</v>
      </c>
      <c r="L6888" t="n">
        <v>0</v>
      </c>
      <c r="M6888" t="n">
        <v>0</v>
      </c>
      <c r="N6888" t="n">
        <v>0</v>
      </c>
      <c r="O6888" t="n">
        <v>0</v>
      </c>
      <c r="P6888" t="n">
        <v>0</v>
      </c>
      <c r="Q6888" t="n">
        <v>0</v>
      </c>
      <c r="R6888" s="2" t="inlineStr"/>
    </row>
    <row r="6889" ht="15" customHeight="1">
      <c r="A6889" t="inlineStr">
        <is>
          <t>A 28890-2024</t>
        </is>
      </c>
      <c r="B6889" s="1" t="n">
        <v>45479.94907407407</v>
      </c>
      <c r="C6889" s="1" t="n">
        <v>45971</v>
      </c>
      <c r="D6889" t="inlineStr">
        <is>
          <t>VÄSTERBOTTENS LÄN</t>
        </is>
      </c>
      <c r="E6889" t="inlineStr">
        <is>
          <t>LYCKSELE</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17945-2023</t>
        </is>
      </c>
      <c r="B6890" s="1" t="n">
        <v>45037</v>
      </c>
      <c r="C6890" s="1" t="n">
        <v>45971</v>
      </c>
      <c r="D6890" t="inlineStr">
        <is>
          <t>VÄSTERBOTTENS LÄN</t>
        </is>
      </c>
      <c r="E6890" t="inlineStr">
        <is>
          <t>UMEÅ</t>
        </is>
      </c>
      <c r="F6890" t="inlineStr">
        <is>
          <t>Kommuner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36867-2024</t>
        </is>
      </c>
      <c r="B6891" s="1" t="n">
        <v>45538.57938657407</v>
      </c>
      <c r="C6891" s="1" t="n">
        <v>45971</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54697-2024</t>
        </is>
      </c>
      <c r="B6892" s="1" t="n">
        <v>45618.40399305556</v>
      </c>
      <c r="C6892" s="1" t="n">
        <v>45971</v>
      </c>
      <c r="D6892" t="inlineStr">
        <is>
          <t>VÄSTERBOTTENS LÄN</t>
        </is>
      </c>
      <c r="E6892" t="inlineStr">
        <is>
          <t>LYCKSELE</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39690-2024</t>
        </is>
      </c>
      <c r="B6893" s="1" t="n">
        <v>45552</v>
      </c>
      <c r="C6893" s="1" t="n">
        <v>45971</v>
      </c>
      <c r="D6893" t="inlineStr">
        <is>
          <t>VÄSTERBOTTENS LÄN</t>
        </is>
      </c>
      <c r="E6893" t="inlineStr">
        <is>
          <t>SKELLEFTEÅ</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39691-2024</t>
        </is>
      </c>
      <c r="B6894" s="1" t="n">
        <v>45552</v>
      </c>
      <c r="C6894" s="1" t="n">
        <v>45971</v>
      </c>
      <c r="D6894" t="inlineStr">
        <is>
          <t>VÄSTERBOTTENS LÄN</t>
        </is>
      </c>
      <c r="E6894" t="inlineStr">
        <is>
          <t>SKELLEFTEÅ</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28892-2024</t>
        </is>
      </c>
      <c r="B6895" s="1" t="n">
        <v>45479.94927083333</v>
      </c>
      <c r="C6895" s="1" t="n">
        <v>45971</v>
      </c>
      <c r="D6895" t="inlineStr">
        <is>
          <t>VÄSTERBOTTENS LÄN</t>
        </is>
      </c>
      <c r="E6895" t="inlineStr">
        <is>
          <t>LYCKSELE</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58824-2024</t>
        </is>
      </c>
      <c r="B6896" s="1" t="n">
        <v>45636.36488425926</v>
      </c>
      <c r="C6896" s="1" t="n">
        <v>45971</v>
      </c>
      <c r="D6896" t="inlineStr">
        <is>
          <t>VÄSTERBOTTENS LÄN</t>
        </is>
      </c>
      <c r="E6896" t="inlineStr">
        <is>
          <t>VILHELMINA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21750-2025</t>
        </is>
      </c>
      <c r="B6897" s="1" t="n">
        <v>45783.61346064815</v>
      </c>
      <c r="C6897" s="1" t="n">
        <v>45971</v>
      </c>
      <c r="D6897" t="inlineStr">
        <is>
          <t>VÄSTERBOTTENS LÄN</t>
        </is>
      </c>
      <c r="E6897" t="inlineStr">
        <is>
          <t>SKELLEFTEÅ</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60377-2024</t>
        </is>
      </c>
      <c r="B6898" s="1" t="n">
        <v>45643</v>
      </c>
      <c r="C6898" s="1" t="n">
        <v>45971</v>
      </c>
      <c r="D6898" t="inlineStr">
        <is>
          <t>VÄSTERBOTTENS LÄN</t>
        </is>
      </c>
      <c r="E6898" t="inlineStr">
        <is>
          <t>VILHELMINA</t>
        </is>
      </c>
      <c r="F6898" t="inlineStr">
        <is>
          <t>SCA</t>
        </is>
      </c>
      <c r="G6898" t="n">
        <v>16.2</v>
      </c>
      <c r="H6898" t="n">
        <v>0</v>
      </c>
      <c r="I6898" t="n">
        <v>0</v>
      </c>
      <c r="J6898" t="n">
        <v>0</v>
      </c>
      <c r="K6898" t="n">
        <v>0</v>
      </c>
      <c r="L6898" t="n">
        <v>0</v>
      </c>
      <c r="M6898" t="n">
        <v>0</v>
      </c>
      <c r="N6898" t="n">
        <v>0</v>
      </c>
      <c r="O6898" t="n">
        <v>0</v>
      </c>
      <c r="P6898" t="n">
        <v>0</v>
      </c>
      <c r="Q6898" t="n">
        <v>0</v>
      </c>
      <c r="R6898" s="2" t="inlineStr"/>
    </row>
    <row r="6899" ht="15" customHeight="1">
      <c r="A6899" t="inlineStr">
        <is>
          <t>A 53096-2024</t>
        </is>
      </c>
      <c r="B6899" s="1" t="n">
        <v>45611.53107638889</v>
      </c>
      <c r="C6899" s="1" t="n">
        <v>45971</v>
      </c>
      <c r="D6899" t="inlineStr">
        <is>
          <t>VÄSTERBOTTENS LÄN</t>
        </is>
      </c>
      <c r="E6899" t="inlineStr">
        <is>
          <t>LYCKSELE</t>
        </is>
      </c>
      <c r="F6899" t="inlineStr">
        <is>
          <t>Sveaskog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18861-2024</t>
        </is>
      </c>
      <c r="B6900" s="1" t="n">
        <v>45426</v>
      </c>
      <c r="C6900" s="1" t="n">
        <v>45971</v>
      </c>
      <c r="D6900" t="inlineStr">
        <is>
          <t>VÄSTERBOTTENS LÄN</t>
        </is>
      </c>
      <c r="E6900" t="inlineStr">
        <is>
          <t>UMEÅ</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15903-2025</t>
        </is>
      </c>
      <c r="B6901" s="1" t="n">
        <v>45749</v>
      </c>
      <c r="C6901" s="1" t="n">
        <v>45971</v>
      </c>
      <c r="D6901" t="inlineStr">
        <is>
          <t>VÄSTERBOTTENS LÄN</t>
        </is>
      </c>
      <c r="E6901" t="inlineStr">
        <is>
          <t>UMEÅ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5986-2025</t>
        </is>
      </c>
      <c r="B6902" s="1" t="n">
        <v>45695</v>
      </c>
      <c r="C6902" s="1" t="n">
        <v>45971</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850-2025</t>
        </is>
      </c>
      <c r="B6903" s="1" t="n">
        <v>45665</v>
      </c>
      <c r="C6903" s="1" t="n">
        <v>45971</v>
      </c>
      <c r="D6903" t="inlineStr">
        <is>
          <t>VÄSTERBOTTENS LÄN</t>
        </is>
      </c>
      <c r="E6903" t="inlineStr">
        <is>
          <t>SORSELE</t>
        </is>
      </c>
      <c r="F6903" t="inlineStr">
        <is>
          <t>Allmännings- och besparingsskogar</t>
        </is>
      </c>
      <c r="G6903" t="n">
        <v>35.6</v>
      </c>
      <c r="H6903" t="n">
        <v>0</v>
      </c>
      <c r="I6903" t="n">
        <v>0</v>
      </c>
      <c r="J6903" t="n">
        <v>0</v>
      </c>
      <c r="K6903" t="n">
        <v>0</v>
      </c>
      <c r="L6903" t="n">
        <v>0</v>
      </c>
      <c r="M6903" t="n">
        <v>0</v>
      </c>
      <c r="N6903" t="n">
        <v>0</v>
      </c>
      <c r="O6903" t="n">
        <v>0</v>
      </c>
      <c r="P6903" t="n">
        <v>0</v>
      </c>
      <c r="Q6903" t="n">
        <v>0</v>
      </c>
      <c r="R6903" s="2" t="inlineStr"/>
    </row>
    <row r="6904" ht="15" customHeight="1">
      <c r="A6904" t="inlineStr">
        <is>
          <t>A 858-2025</t>
        </is>
      </c>
      <c r="B6904" s="1" t="n">
        <v>45665</v>
      </c>
      <c r="C6904" s="1" t="n">
        <v>45971</v>
      </c>
      <c r="D6904" t="inlineStr">
        <is>
          <t>VÄSTERBOTTENS LÄN</t>
        </is>
      </c>
      <c r="E6904" t="inlineStr">
        <is>
          <t>VINDELN</t>
        </is>
      </c>
      <c r="F6904" t="inlineStr">
        <is>
          <t>Naturvårdsverket</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53233-2024</t>
        </is>
      </c>
      <c r="B6905" s="1" t="n">
        <v>45613.74923611111</v>
      </c>
      <c r="C6905" s="1" t="n">
        <v>45971</v>
      </c>
      <c r="D6905" t="inlineStr">
        <is>
          <t>VÄSTERBOTTENS LÄN</t>
        </is>
      </c>
      <c r="E6905" t="inlineStr">
        <is>
          <t>LYCKSELE</t>
        </is>
      </c>
      <c r="F6905" t="inlineStr">
        <is>
          <t>Sveaskog</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4016-2023</t>
        </is>
      </c>
      <c r="B6906" s="1" t="n">
        <v>44952.54068287037</v>
      </c>
      <c r="C6906" s="1" t="n">
        <v>45971</v>
      </c>
      <c r="D6906" t="inlineStr">
        <is>
          <t>VÄSTERBOTTENS LÄN</t>
        </is>
      </c>
      <c r="E6906" t="inlineStr">
        <is>
          <t>ROBERTSFORS</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49841-2025</t>
        </is>
      </c>
      <c r="B6907" s="1" t="n">
        <v>45940.46938657408</v>
      </c>
      <c r="C6907" s="1" t="n">
        <v>45971</v>
      </c>
      <c r="D6907" t="inlineStr">
        <is>
          <t>VÄSTERBOTTENS LÄN</t>
        </is>
      </c>
      <c r="E6907" t="inlineStr">
        <is>
          <t>SKELLEFTEÅ</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49847-2025</t>
        </is>
      </c>
      <c r="B6908" s="1" t="n">
        <v>45940.48208333334</v>
      </c>
      <c r="C6908" s="1" t="n">
        <v>45971</v>
      </c>
      <c r="D6908" t="inlineStr">
        <is>
          <t>VÄSTERBOTTENS LÄN</t>
        </is>
      </c>
      <c r="E6908" t="inlineStr">
        <is>
          <t>NORDMALING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49478-2025</t>
        </is>
      </c>
      <c r="B6909" s="1" t="n">
        <v>45939.34556712963</v>
      </c>
      <c r="C6909" s="1" t="n">
        <v>45971</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49495-2025</t>
        </is>
      </c>
      <c r="B6910" s="1" t="n">
        <v>45939.36635416667</v>
      </c>
      <c r="C6910" s="1" t="n">
        <v>45971</v>
      </c>
      <c r="D6910" t="inlineStr">
        <is>
          <t>VÄSTERBOTTENS LÄN</t>
        </is>
      </c>
      <c r="E6910" t="inlineStr">
        <is>
          <t>MALÅ</t>
        </is>
      </c>
      <c r="G6910" t="n">
        <v>8.5</v>
      </c>
      <c r="H6910" t="n">
        <v>0</v>
      </c>
      <c r="I6910" t="n">
        <v>0</v>
      </c>
      <c r="J6910" t="n">
        <v>0</v>
      </c>
      <c r="K6910" t="n">
        <v>0</v>
      </c>
      <c r="L6910" t="n">
        <v>0</v>
      </c>
      <c r="M6910" t="n">
        <v>0</v>
      </c>
      <c r="N6910" t="n">
        <v>0</v>
      </c>
      <c r="O6910" t="n">
        <v>0</v>
      </c>
      <c r="P6910" t="n">
        <v>0</v>
      </c>
      <c r="Q6910" t="n">
        <v>0</v>
      </c>
      <c r="R6910" s="2" t="inlineStr"/>
    </row>
    <row r="6911" ht="15" customHeight="1">
      <c r="A6911" t="inlineStr">
        <is>
          <t>A 49506-2025</t>
        </is>
      </c>
      <c r="B6911" s="1" t="n">
        <v>45939.37686342592</v>
      </c>
      <c r="C6911" s="1" t="n">
        <v>45971</v>
      </c>
      <c r="D6911" t="inlineStr">
        <is>
          <t>VÄSTERBOTTENS LÄN</t>
        </is>
      </c>
      <c r="E6911" t="inlineStr">
        <is>
          <t>ÅSELE</t>
        </is>
      </c>
      <c r="F6911" t="inlineStr">
        <is>
          <t>Sveaskog</t>
        </is>
      </c>
      <c r="G6911" t="n">
        <v>22.6</v>
      </c>
      <c r="H6911" t="n">
        <v>0</v>
      </c>
      <c r="I6911" t="n">
        <v>0</v>
      </c>
      <c r="J6911" t="n">
        <v>0</v>
      </c>
      <c r="K6911" t="n">
        <v>0</v>
      </c>
      <c r="L6911" t="n">
        <v>0</v>
      </c>
      <c r="M6911" t="n">
        <v>0</v>
      </c>
      <c r="N6911" t="n">
        <v>0</v>
      </c>
      <c r="O6911" t="n">
        <v>0</v>
      </c>
      <c r="P6911" t="n">
        <v>0</v>
      </c>
      <c r="Q6911" t="n">
        <v>0</v>
      </c>
      <c r="R6911" s="2" t="inlineStr"/>
    </row>
    <row r="6912" ht="15" customHeight="1">
      <c r="A6912" t="inlineStr">
        <is>
          <t>A 15571-2023</t>
        </is>
      </c>
      <c r="B6912" s="1" t="n">
        <v>45019</v>
      </c>
      <c r="C6912" s="1" t="n">
        <v>45971</v>
      </c>
      <c r="D6912" t="inlineStr">
        <is>
          <t>VÄSTERBOTTENS LÄN</t>
        </is>
      </c>
      <c r="E6912" t="inlineStr">
        <is>
          <t>VINDELN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21587-2025</t>
        </is>
      </c>
      <c r="B6913" s="1" t="n">
        <v>45783</v>
      </c>
      <c r="C6913" s="1" t="n">
        <v>45971</v>
      </c>
      <c r="D6913" t="inlineStr">
        <is>
          <t>VÄSTERBOTTENS LÄN</t>
        </is>
      </c>
      <c r="E6913" t="inlineStr">
        <is>
          <t>SKELLEFTEÅ</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49657-2025</t>
        </is>
      </c>
      <c r="B6914" s="1" t="n">
        <v>45939.63013888889</v>
      </c>
      <c r="C6914" s="1" t="n">
        <v>45971</v>
      </c>
      <c r="D6914" t="inlineStr">
        <is>
          <t>VÄSTERBOTTENS LÄN</t>
        </is>
      </c>
      <c r="E6914" t="inlineStr">
        <is>
          <t>MALÅ</t>
        </is>
      </c>
      <c r="F6914" t="inlineStr">
        <is>
          <t>Sveaskog</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40786-2025</t>
        </is>
      </c>
      <c r="B6915" s="1" t="n">
        <v>45897</v>
      </c>
      <c r="C6915" s="1" t="n">
        <v>45971</v>
      </c>
      <c r="D6915" t="inlineStr">
        <is>
          <t>VÄSTERBOTTENS LÄN</t>
        </is>
      </c>
      <c r="E6915" t="inlineStr">
        <is>
          <t>VINDELN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32221-2024</t>
        </is>
      </c>
      <c r="B6916" s="1" t="n">
        <v>45511</v>
      </c>
      <c r="C6916" s="1" t="n">
        <v>45971</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54277-2024</t>
        </is>
      </c>
      <c r="B6917" s="1" t="n">
        <v>45616.8405324074</v>
      </c>
      <c r="C6917" s="1" t="n">
        <v>45971</v>
      </c>
      <c r="D6917" t="inlineStr">
        <is>
          <t>VÄSTERBOTTENS LÄN</t>
        </is>
      </c>
      <c r="E6917" t="inlineStr">
        <is>
          <t>LYCKSELE</t>
        </is>
      </c>
      <c r="F6917" t="inlineStr">
        <is>
          <t>Sveaskog</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62227-2021</t>
        </is>
      </c>
      <c r="B6918" s="1" t="n">
        <v>44501</v>
      </c>
      <c r="C6918" s="1" t="n">
        <v>45971</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40599-2024</t>
        </is>
      </c>
      <c r="B6919" s="1" t="n">
        <v>45556.34417824074</v>
      </c>
      <c r="C6919" s="1" t="n">
        <v>45971</v>
      </c>
      <c r="D6919" t="inlineStr">
        <is>
          <t>VÄSTERBOTTENS LÄN</t>
        </is>
      </c>
      <c r="E6919" t="inlineStr">
        <is>
          <t>DOROTEA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56446-2024</t>
        </is>
      </c>
      <c r="B6920" s="1" t="n">
        <v>45625.42743055556</v>
      </c>
      <c r="C6920" s="1" t="n">
        <v>45971</v>
      </c>
      <c r="D6920" t="inlineStr">
        <is>
          <t>VÄSTERBOTTENS LÄN</t>
        </is>
      </c>
      <c r="E6920" t="inlineStr">
        <is>
          <t>ÅSELE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73985-2021</t>
        </is>
      </c>
      <c r="B6921" s="1" t="n">
        <v>44555</v>
      </c>
      <c r="C6921" s="1" t="n">
        <v>45971</v>
      </c>
      <c r="D6921" t="inlineStr">
        <is>
          <t>VÄSTERBOTTENS LÄN</t>
        </is>
      </c>
      <c r="E6921" t="inlineStr">
        <is>
          <t>SKELLEFTEÅ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53335-2024</t>
        </is>
      </c>
      <c r="B6922" s="1" t="n">
        <v>45614.42590277778</v>
      </c>
      <c r="C6922" s="1" t="n">
        <v>45971</v>
      </c>
      <c r="D6922" t="inlineStr">
        <is>
          <t>VÄSTERBOTTENS LÄN</t>
        </is>
      </c>
      <c r="E6922" t="inlineStr">
        <is>
          <t>LYCKSELE</t>
        </is>
      </c>
      <c r="F6922" t="inlineStr">
        <is>
          <t>Sveaskog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50620-2024</t>
        </is>
      </c>
      <c r="B6923" s="1" t="n">
        <v>45601</v>
      </c>
      <c r="C6923" s="1" t="n">
        <v>45971</v>
      </c>
      <c r="D6923" t="inlineStr">
        <is>
          <t>VÄSTERBOTTENS LÄN</t>
        </is>
      </c>
      <c r="E6923" t="inlineStr">
        <is>
          <t>VINDELN</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21622-2025</t>
        </is>
      </c>
      <c r="B6924" s="1" t="n">
        <v>45783.40668981482</v>
      </c>
      <c r="C6924" s="1" t="n">
        <v>45971</v>
      </c>
      <c r="D6924" t="inlineStr">
        <is>
          <t>VÄSTERBOTTENS LÄN</t>
        </is>
      </c>
      <c r="E6924" t="inlineStr">
        <is>
          <t>DOROTEA</t>
        </is>
      </c>
      <c r="F6924" t="inlineStr">
        <is>
          <t>SCA</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21736-2025</t>
        </is>
      </c>
      <c r="B6925" s="1" t="n">
        <v>45783.58952546296</v>
      </c>
      <c r="C6925" s="1" t="n">
        <v>45971</v>
      </c>
      <c r="D6925" t="inlineStr">
        <is>
          <t>VÄSTERBOTTENS LÄN</t>
        </is>
      </c>
      <c r="E6925" t="inlineStr">
        <is>
          <t>NORDMALING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28153-2023</t>
        </is>
      </c>
      <c r="B6926" s="1" t="n">
        <v>45096</v>
      </c>
      <c r="C6926" s="1" t="n">
        <v>45971</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53374-2024</t>
        </is>
      </c>
      <c r="B6927" s="1" t="n">
        <v>45614</v>
      </c>
      <c r="C6927" s="1" t="n">
        <v>45971</v>
      </c>
      <c r="D6927" t="inlineStr">
        <is>
          <t>VÄSTERBOTTENS LÄN</t>
        </is>
      </c>
      <c r="E6927" t="inlineStr">
        <is>
          <t>BJURHOLM</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61953-2024</t>
        </is>
      </c>
      <c r="B6928" s="1" t="n">
        <v>45653.5150462963</v>
      </c>
      <c r="C6928" s="1" t="n">
        <v>45971</v>
      </c>
      <c r="D6928" t="inlineStr">
        <is>
          <t>VÄSTERBOTTENS LÄN</t>
        </is>
      </c>
      <c r="E6928" t="inlineStr">
        <is>
          <t>VILHELMINA</t>
        </is>
      </c>
      <c r="F6928" t="inlineStr">
        <is>
          <t>Kommuner</t>
        </is>
      </c>
      <c r="G6928" t="n">
        <v>10.2</v>
      </c>
      <c r="H6928" t="n">
        <v>0</v>
      </c>
      <c r="I6928" t="n">
        <v>0</v>
      </c>
      <c r="J6928" t="n">
        <v>0</v>
      </c>
      <c r="K6928" t="n">
        <v>0</v>
      </c>
      <c r="L6928" t="n">
        <v>0</v>
      </c>
      <c r="M6928" t="n">
        <v>0</v>
      </c>
      <c r="N6928" t="n">
        <v>0</v>
      </c>
      <c r="O6928" t="n">
        <v>0</v>
      </c>
      <c r="P6928" t="n">
        <v>0</v>
      </c>
      <c r="Q6928" t="n">
        <v>0</v>
      </c>
      <c r="R6928" s="2" t="inlineStr"/>
    </row>
    <row r="6929" ht="15" customHeight="1">
      <c r="A6929" t="inlineStr">
        <is>
          <t>A 21992-2025</t>
        </is>
      </c>
      <c r="B6929" s="1" t="n">
        <v>45784.66221064814</v>
      </c>
      <c r="C6929" s="1" t="n">
        <v>45971</v>
      </c>
      <c r="D6929" t="inlineStr">
        <is>
          <t>VÄSTERBOTTENS LÄN</t>
        </is>
      </c>
      <c r="E6929" t="inlineStr">
        <is>
          <t>SKELLEFTEÅ</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22007-2025</t>
        </is>
      </c>
      <c r="B6930" s="1" t="n">
        <v>45784</v>
      </c>
      <c r="C6930" s="1" t="n">
        <v>45971</v>
      </c>
      <c r="D6930" t="inlineStr">
        <is>
          <t>VÄSTERBOTTENS LÄN</t>
        </is>
      </c>
      <c r="E6930" t="inlineStr">
        <is>
          <t>UMEÅ</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62058-2024</t>
        </is>
      </c>
      <c r="B6931" s="1" t="n">
        <v>45656.37960648148</v>
      </c>
      <c r="C6931" s="1" t="n">
        <v>45971</v>
      </c>
      <c r="D6931" t="inlineStr">
        <is>
          <t>VÄSTERBOTTENS LÄN</t>
        </is>
      </c>
      <c r="E6931" t="inlineStr">
        <is>
          <t>SKELLEFTEÅ</t>
        </is>
      </c>
      <c r="F6931" t="inlineStr">
        <is>
          <t>Sveaskog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40893-2025</t>
        </is>
      </c>
      <c r="B6932" s="1" t="n">
        <v>45897</v>
      </c>
      <c r="C6932" s="1" t="n">
        <v>45971</v>
      </c>
      <c r="D6932" t="inlineStr">
        <is>
          <t>VÄSTERBOTTENS LÄN</t>
        </is>
      </c>
      <c r="E6932" t="inlineStr">
        <is>
          <t>DOROTEA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40911-2025</t>
        </is>
      </c>
      <c r="B6933" s="1" t="n">
        <v>45897</v>
      </c>
      <c r="C6933" s="1" t="n">
        <v>45971</v>
      </c>
      <c r="D6933" t="inlineStr">
        <is>
          <t>VÄSTERBOTTENS LÄN</t>
        </is>
      </c>
      <c r="E6933" t="inlineStr">
        <is>
          <t>BJURHOLM</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40912-2025</t>
        </is>
      </c>
      <c r="B6934" s="1" t="n">
        <v>45897</v>
      </c>
      <c r="C6934" s="1" t="n">
        <v>45971</v>
      </c>
      <c r="D6934" t="inlineStr">
        <is>
          <t>VÄSTERBOTTENS LÄN</t>
        </is>
      </c>
      <c r="E6934" t="inlineStr">
        <is>
          <t>BJURHOLM</t>
        </is>
      </c>
      <c r="F6934" t="inlineStr">
        <is>
          <t>SCA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62100-2024</t>
        </is>
      </c>
      <c r="B6935" s="1" t="n">
        <v>45656</v>
      </c>
      <c r="C6935" s="1" t="n">
        <v>45971</v>
      </c>
      <c r="D6935" t="inlineStr">
        <is>
          <t>VÄSTERBOTTENS LÄN</t>
        </is>
      </c>
      <c r="E6935" t="inlineStr">
        <is>
          <t>VILHELMINA</t>
        </is>
      </c>
      <c r="F6935" t="inlineStr">
        <is>
          <t>SCA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60323-2024</t>
        </is>
      </c>
      <c r="B6936" s="1" t="n">
        <v>45641</v>
      </c>
      <c r="C6936" s="1" t="n">
        <v>45971</v>
      </c>
      <c r="D6936" t="inlineStr">
        <is>
          <t>VÄSTERBOTTENS LÄN</t>
        </is>
      </c>
      <c r="E6936" t="inlineStr">
        <is>
          <t>UMEÅ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2251-2025</t>
        </is>
      </c>
      <c r="B6937" s="1" t="n">
        <v>45673.5</v>
      </c>
      <c r="C6937" s="1" t="n">
        <v>45971</v>
      </c>
      <c r="D6937" t="inlineStr">
        <is>
          <t>VÄSTERBOTTENS LÄN</t>
        </is>
      </c>
      <c r="E6937" t="inlineStr">
        <is>
          <t>NORDMALING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21887-2025</t>
        </is>
      </c>
      <c r="B6938" s="1" t="n">
        <v>45784.42898148148</v>
      </c>
      <c r="C6938" s="1" t="n">
        <v>45971</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21906-2025</t>
        </is>
      </c>
      <c r="B6939" s="1" t="n">
        <v>45784</v>
      </c>
      <c r="C6939" s="1" t="n">
        <v>45971</v>
      </c>
      <c r="D6939" t="inlineStr">
        <is>
          <t>VÄSTERBOTTENS LÄN</t>
        </is>
      </c>
      <c r="E6939" t="inlineStr">
        <is>
          <t>NORSJÖ</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39054-2024</t>
        </is>
      </c>
      <c r="B6940" s="1" t="n">
        <v>45548.49337962963</v>
      </c>
      <c r="C6940" s="1" t="n">
        <v>45971</v>
      </c>
      <c r="D6940" t="inlineStr">
        <is>
          <t>VÄSTERBOTTENS LÄN</t>
        </is>
      </c>
      <c r="E6940" t="inlineStr">
        <is>
          <t>SKELLEFTEÅ</t>
        </is>
      </c>
      <c r="F6940" t="inlineStr">
        <is>
          <t>Sveaskog</t>
        </is>
      </c>
      <c r="G6940" t="n">
        <v>12.3</v>
      </c>
      <c r="H6940" t="n">
        <v>0</v>
      </c>
      <c r="I6940" t="n">
        <v>0</v>
      </c>
      <c r="J6940" t="n">
        <v>0</v>
      </c>
      <c r="K6940" t="n">
        <v>0</v>
      </c>
      <c r="L6940" t="n">
        <v>0</v>
      </c>
      <c r="M6940" t="n">
        <v>0</v>
      </c>
      <c r="N6940" t="n">
        <v>0</v>
      </c>
      <c r="O6940" t="n">
        <v>0</v>
      </c>
      <c r="P6940" t="n">
        <v>0</v>
      </c>
      <c r="Q6940" t="n">
        <v>0</v>
      </c>
      <c r="R6940" s="2" t="inlineStr"/>
    </row>
    <row r="6941" ht="15" customHeight="1">
      <c r="A6941" t="inlineStr">
        <is>
          <t>A 21888-2025</t>
        </is>
      </c>
      <c r="B6941" s="1" t="n">
        <v>45784.43131944445</v>
      </c>
      <c r="C6941" s="1" t="n">
        <v>45971</v>
      </c>
      <c r="D6941" t="inlineStr">
        <is>
          <t>VÄSTERBOTTENS LÄN</t>
        </is>
      </c>
      <c r="E6941" t="inlineStr">
        <is>
          <t>LYCKSELE</t>
        </is>
      </c>
      <c r="F6941" t="inlineStr">
        <is>
          <t>Holmen skog AB</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21910-2025</t>
        </is>
      </c>
      <c r="B6942" s="1" t="n">
        <v>45784.47021990741</v>
      </c>
      <c r="C6942" s="1" t="n">
        <v>45971</v>
      </c>
      <c r="D6942" t="inlineStr">
        <is>
          <t>VÄSTERBOTTENS LÄN</t>
        </is>
      </c>
      <c r="E6942" t="inlineStr">
        <is>
          <t>SKELLEFTEÅ</t>
        </is>
      </c>
      <c r="F6942" t="inlineStr">
        <is>
          <t>Holmen skog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31281-2023</t>
        </is>
      </c>
      <c r="B6943" s="1" t="n">
        <v>45114</v>
      </c>
      <c r="C6943" s="1" t="n">
        <v>45971</v>
      </c>
      <c r="D6943" t="inlineStr">
        <is>
          <t>VÄSTERBOTTENS LÄN</t>
        </is>
      </c>
      <c r="E6943" t="inlineStr">
        <is>
          <t>NORSJÖ</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45697-2024</t>
        </is>
      </c>
      <c r="B6944" s="1" t="n">
        <v>45579.55914351852</v>
      </c>
      <c r="C6944" s="1" t="n">
        <v>45971</v>
      </c>
      <c r="D6944" t="inlineStr">
        <is>
          <t>VÄSTERBOTTENS LÄN</t>
        </is>
      </c>
      <c r="E6944" t="inlineStr">
        <is>
          <t>NORSJÖ</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21727-2025</t>
        </is>
      </c>
      <c r="B6945" s="1" t="n">
        <v>45783.57331018519</v>
      </c>
      <c r="C6945" s="1" t="n">
        <v>45971</v>
      </c>
      <c r="D6945" t="inlineStr">
        <is>
          <t>VÄSTERBOTTENS LÄN</t>
        </is>
      </c>
      <c r="E6945" t="inlineStr">
        <is>
          <t>LYCKSELE</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21585-2025</t>
        </is>
      </c>
      <c r="B6946" s="1" t="n">
        <v>45783</v>
      </c>
      <c r="C6946" s="1" t="n">
        <v>45971</v>
      </c>
      <c r="D6946" t="inlineStr">
        <is>
          <t>VÄSTERBOTTENS LÄN</t>
        </is>
      </c>
      <c r="E6946" t="inlineStr">
        <is>
          <t>SKELLEFTEÅ</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21800-2025</t>
        </is>
      </c>
      <c r="B6947" s="1" t="n">
        <v>45783.68863425926</v>
      </c>
      <c r="C6947" s="1" t="n">
        <v>45971</v>
      </c>
      <c r="D6947" t="inlineStr">
        <is>
          <t>VÄSTERBOTTENS LÄN</t>
        </is>
      </c>
      <c r="E6947" t="inlineStr">
        <is>
          <t>UMEÅ</t>
        </is>
      </c>
      <c r="F6947" t="inlineStr">
        <is>
          <t>Kyrkan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21794-2025</t>
        </is>
      </c>
      <c r="B6948" s="1" t="n">
        <v>45783.67894675926</v>
      </c>
      <c r="C6948" s="1" t="n">
        <v>45971</v>
      </c>
      <c r="D6948" t="inlineStr">
        <is>
          <t>VÄSTERBOTTENS LÄN</t>
        </is>
      </c>
      <c r="E6948" t="inlineStr">
        <is>
          <t>UMEÅ</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50482-2023</t>
        </is>
      </c>
      <c r="B6949" s="1" t="n">
        <v>45216</v>
      </c>
      <c r="C6949" s="1" t="n">
        <v>45971</v>
      </c>
      <c r="D6949" t="inlineStr">
        <is>
          <t>VÄSTERBOTTENS LÄN</t>
        </is>
      </c>
      <c r="E6949" t="inlineStr">
        <is>
          <t>VILHELMINA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15986-2023</t>
        </is>
      </c>
      <c r="B6950" s="1" t="n">
        <v>45022.94265046297</v>
      </c>
      <c r="C6950" s="1" t="n">
        <v>45971</v>
      </c>
      <c r="D6950" t="inlineStr">
        <is>
          <t>VÄSTERBOTTENS LÄN</t>
        </is>
      </c>
      <c r="E6950" t="inlineStr">
        <is>
          <t>NORDMALING</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21701-2025</t>
        </is>
      </c>
      <c r="B6951" s="1" t="n">
        <v>45783</v>
      </c>
      <c r="C6951" s="1" t="n">
        <v>45971</v>
      </c>
      <c r="D6951" t="inlineStr">
        <is>
          <t>VÄSTERBOTTENS LÄN</t>
        </is>
      </c>
      <c r="E6951" t="inlineStr">
        <is>
          <t>DOROTEA</t>
        </is>
      </c>
      <c r="F6951" t="inlineStr">
        <is>
          <t>SCA</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22004-2025</t>
        </is>
      </c>
      <c r="B6952" s="1" t="n">
        <v>45784</v>
      </c>
      <c r="C6952" s="1" t="n">
        <v>45971</v>
      </c>
      <c r="D6952" t="inlineStr">
        <is>
          <t>VÄSTERBOTTENS LÄN</t>
        </is>
      </c>
      <c r="E6952" t="inlineStr">
        <is>
          <t>UMEÅ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21610-2025</t>
        </is>
      </c>
      <c r="B6953" s="1" t="n">
        <v>45783.39127314815</v>
      </c>
      <c r="C6953" s="1" t="n">
        <v>45971</v>
      </c>
      <c r="D6953" t="inlineStr">
        <is>
          <t>VÄSTERBOTTENS LÄN</t>
        </is>
      </c>
      <c r="E6953" t="inlineStr">
        <is>
          <t>UMEÅ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21612-2025</t>
        </is>
      </c>
      <c r="B6954" s="1" t="n">
        <v>45783.39449074074</v>
      </c>
      <c r="C6954" s="1" t="n">
        <v>45971</v>
      </c>
      <c r="D6954" t="inlineStr">
        <is>
          <t>VÄSTERBOTTENS LÄN</t>
        </is>
      </c>
      <c r="E6954" t="inlineStr">
        <is>
          <t>UMEÅ</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21700-2025</t>
        </is>
      </c>
      <c r="B6955" s="1" t="n">
        <v>45783.51090277778</v>
      </c>
      <c r="C6955" s="1" t="n">
        <v>45971</v>
      </c>
      <c r="D6955" t="inlineStr">
        <is>
          <t>VÄSTERBOTTENS LÄN</t>
        </is>
      </c>
      <c r="E6955" t="inlineStr">
        <is>
          <t>VINDELN</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15062-2024</t>
        </is>
      </c>
      <c r="B6956" s="1" t="n">
        <v>45399</v>
      </c>
      <c r="C6956" s="1" t="n">
        <v>45971</v>
      </c>
      <c r="D6956" t="inlineStr">
        <is>
          <t>VÄSTERBOTTENS LÄN</t>
        </is>
      </c>
      <c r="E6956" t="inlineStr">
        <is>
          <t>VILHELMINA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15066-2024</t>
        </is>
      </c>
      <c r="B6957" s="1" t="n">
        <v>45399</v>
      </c>
      <c r="C6957" s="1" t="n">
        <v>45971</v>
      </c>
      <c r="D6957" t="inlineStr">
        <is>
          <t>VÄSTERBOTTENS LÄN</t>
        </is>
      </c>
      <c r="E6957" t="inlineStr">
        <is>
          <t>VILHELMINA</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16212-2025</t>
        </is>
      </c>
      <c r="B6958" s="1" t="n">
        <v>45750.62734953704</v>
      </c>
      <c r="C6958" s="1" t="n">
        <v>45971</v>
      </c>
      <c r="D6958" t="inlineStr">
        <is>
          <t>VÄSTERBOTTENS LÄN</t>
        </is>
      </c>
      <c r="E6958" t="inlineStr">
        <is>
          <t>MALÅ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21795-2025</t>
        </is>
      </c>
      <c r="B6959" s="1" t="n">
        <v>45783.68131944445</v>
      </c>
      <c r="C6959" s="1" t="n">
        <v>45971</v>
      </c>
      <c r="D6959" t="inlineStr">
        <is>
          <t>VÄSTERBOTTENS LÄN</t>
        </is>
      </c>
      <c r="E6959" t="inlineStr">
        <is>
          <t>UMEÅ</t>
        </is>
      </c>
      <c r="F6959" t="inlineStr">
        <is>
          <t>Kyrkan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21999-2025</t>
        </is>
      </c>
      <c r="B6960" s="1" t="n">
        <v>45784</v>
      </c>
      <c r="C6960" s="1" t="n">
        <v>45971</v>
      </c>
      <c r="D6960" t="inlineStr">
        <is>
          <t>VÄSTERBOTTENS LÄN</t>
        </is>
      </c>
      <c r="E6960" t="inlineStr">
        <is>
          <t>VILHELMINA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18974-2023</t>
        </is>
      </c>
      <c r="B6961" s="1" t="n">
        <v>45044</v>
      </c>
      <c r="C6961" s="1" t="n">
        <v>45971</v>
      </c>
      <c r="D6961" t="inlineStr">
        <is>
          <t>VÄSTERBOTTENS LÄN</t>
        </is>
      </c>
      <c r="E6961" t="inlineStr">
        <is>
          <t>NORSJÖ</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21950-2025</t>
        </is>
      </c>
      <c r="B6962" s="1" t="n">
        <v>45784.59418981482</v>
      </c>
      <c r="C6962" s="1" t="n">
        <v>45971</v>
      </c>
      <c r="D6962" t="inlineStr">
        <is>
          <t>VÄSTERBOTTENS LÄN</t>
        </is>
      </c>
      <c r="E6962" t="inlineStr">
        <is>
          <t>VILHELMINA</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56083-2024</t>
        </is>
      </c>
      <c r="B6963" s="1" t="n">
        <v>45623</v>
      </c>
      <c r="C6963" s="1" t="n">
        <v>45971</v>
      </c>
      <c r="D6963" t="inlineStr">
        <is>
          <t>VÄSTERBOTTENS LÄN</t>
        </is>
      </c>
      <c r="E6963" t="inlineStr">
        <is>
          <t>UMEÅ</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17071-2023</t>
        </is>
      </c>
      <c r="B6964" s="1" t="n">
        <v>45030</v>
      </c>
      <c r="C6964" s="1" t="n">
        <v>45971</v>
      </c>
      <c r="D6964" t="inlineStr">
        <is>
          <t>VÄSTERBOTTENS LÄN</t>
        </is>
      </c>
      <c r="E6964" t="inlineStr">
        <is>
          <t>SKELLEFTEÅ</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21623-2025</t>
        </is>
      </c>
      <c r="B6965" s="1" t="n">
        <v>45783</v>
      </c>
      <c r="C6965" s="1" t="n">
        <v>45971</v>
      </c>
      <c r="D6965" t="inlineStr">
        <is>
          <t>VÄSTERBOTTENS LÄN</t>
        </is>
      </c>
      <c r="E6965" t="inlineStr">
        <is>
          <t>VILHELMINA</t>
        </is>
      </c>
      <c r="F6965" t="inlineStr">
        <is>
          <t>SCA</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21650-2025</t>
        </is>
      </c>
      <c r="B6966" s="1" t="n">
        <v>45783.44258101852</v>
      </c>
      <c r="C6966" s="1" t="n">
        <v>45971</v>
      </c>
      <c r="D6966" t="inlineStr">
        <is>
          <t>VÄSTERBOTTENS LÄN</t>
        </is>
      </c>
      <c r="E6966" t="inlineStr">
        <is>
          <t>VINDELN</t>
        </is>
      </c>
      <c r="F6966" t="inlineStr">
        <is>
          <t>Holmen skog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21670-2025</t>
        </is>
      </c>
      <c r="B6967" s="1" t="n">
        <v>45783.46917824074</v>
      </c>
      <c r="C6967" s="1" t="n">
        <v>45971</v>
      </c>
      <c r="D6967" t="inlineStr">
        <is>
          <t>VÄSTERBOTTENS LÄN</t>
        </is>
      </c>
      <c r="E6967" t="inlineStr">
        <is>
          <t>VILHELMINA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73557-2021</t>
        </is>
      </c>
      <c r="B6968" s="1" t="n">
        <v>44551.9203125</v>
      </c>
      <c r="C6968" s="1" t="n">
        <v>45971</v>
      </c>
      <c r="D6968" t="inlineStr">
        <is>
          <t>VÄSTERBOTTENS LÄN</t>
        </is>
      </c>
      <c r="E6968" t="inlineStr">
        <is>
          <t>ROBERTSFORS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48515-2024</t>
        </is>
      </c>
      <c r="B6969" s="1" t="n">
        <v>45593.31179398148</v>
      </c>
      <c r="C6969" s="1" t="n">
        <v>45971</v>
      </c>
      <c r="D6969" t="inlineStr">
        <is>
          <t>VÄSTERBOTTENS LÄN</t>
        </is>
      </c>
      <c r="E6969" t="inlineStr">
        <is>
          <t>NORDMALING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48530-2024</t>
        </is>
      </c>
      <c r="B6970" s="1" t="n">
        <v>45593.34453703704</v>
      </c>
      <c r="C6970" s="1" t="n">
        <v>45971</v>
      </c>
      <c r="D6970" t="inlineStr">
        <is>
          <t>VÄSTERBOTTENS LÄN</t>
        </is>
      </c>
      <c r="E6970" t="inlineStr">
        <is>
          <t>ÅSELE</t>
        </is>
      </c>
      <c r="F6970" t="inlineStr">
        <is>
          <t>SCA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48531-2024</t>
        </is>
      </c>
      <c r="B6971" s="1" t="n">
        <v>45593</v>
      </c>
      <c r="C6971" s="1" t="n">
        <v>45971</v>
      </c>
      <c r="D6971" t="inlineStr">
        <is>
          <t>VÄSTERBOTTENS LÄN</t>
        </is>
      </c>
      <c r="E6971" t="inlineStr">
        <is>
          <t>ÅSELE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21733-2025</t>
        </is>
      </c>
      <c r="B6972" s="1" t="n">
        <v>45783.58576388889</v>
      </c>
      <c r="C6972" s="1" t="n">
        <v>45971</v>
      </c>
      <c r="D6972" t="inlineStr">
        <is>
          <t>VÄSTERBOTTENS LÄN</t>
        </is>
      </c>
      <c r="E6972" t="inlineStr">
        <is>
          <t>NORDMALING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49461-2025</t>
        </is>
      </c>
      <c r="B6973" s="1" t="n">
        <v>45939.32128472222</v>
      </c>
      <c r="C6973" s="1" t="n">
        <v>45971</v>
      </c>
      <c r="D6973" t="inlineStr">
        <is>
          <t>VÄSTERBOTTENS LÄN</t>
        </is>
      </c>
      <c r="E6973" t="inlineStr">
        <is>
          <t>SKELLEFTEÅ</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16785-2025</t>
        </is>
      </c>
      <c r="B6974" s="1" t="n">
        <v>45754</v>
      </c>
      <c r="C6974" s="1" t="n">
        <v>45971</v>
      </c>
      <c r="D6974" t="inlineStr">
        <is>
          <t>VÄSTERBOTTENS LÄN</t>
        </is>
      </c>
      <c r="E6974" t="inlineStr">
        <is>
          <t>ÅSELE</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38377-2023</t>
        </is>
      </c>
      <c r="B6975" s="1" t="n">
        <v>45161.94466435185</v>
      </c>
      <c r="C6975" s="1" t="n">
        <v>45971</v>
      </c>
      <c r="D6975" t="inlineStr">
        <is>
          <t>VÄSTERBOTTENS LÄN</t>
        </is>
      </c>
      <c r="E6975" t="inlineStr">
        <is>
          <t>DOROTEA</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35360-2023</t>
        </is>
      </c>
      <c r="B6976" s="1" t="n">
        <v>45146.52483796296</v>
      </c>
      <c r="C6976" s="1" t="n">
        <v>45971</v>
      </c>
      <c r="D6976" t="inlineStr">
        <is>
          <t>VÄSTERBOTTENS LÄN</t>
        </is>
      </c>
      <c r="E6976" t="inlineStr">
        <is>
          <t>VÄNNÄS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40949-2025</t>
        </is>
      </c>
      <c r="B6977" s="1" t="n">
        <v>45897.6609837963</v>
      </c>
      <c r="C6977" s="1" t="n">
        <v>45971</v>
      </c>
      <c r="D6977" t="inlineStr">
        <is>
          <t>VÄSTERBOTTENS LÄN</t>
        </is>
      </c>
      <c r="E6977" t="inlineStr">
        <is>
          <t>UMEÅ</t>
        </is>
      </c>
      <c r="F6977" t="inlineStr">
        <is>
          <t>Holmen skog AB</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9541-2023</t>
        </is>
      </c>
      <c r="B6978" s="1" t="n">
        <v>44981</v>
      </c>
      <c r="C6978" s="1" t="n">
        <v>45971</v>
      </c>
      <c r="D6978" t="inlineStr">
        <is>
          <t>VÄSTERBOTTENS LÄN</t>
        </is>
      </c>
      <c r="E6978" t="inlineStr">
        <is>
          <t>NORDMALING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9170-2021</t>
        </is>
      </c>
      <c r="B6979" s="1" t="n">
        <v>44249</v>
      </c>
      <c r="C6979" s="1" t="n">
        <v>45971</v>
      </c>
      <c r="D6979" t="inlineStr">
        <is>
          <t>VÄSTERBOTTENS LÄN</t>
        </is>
      </c>
      <c r="E6979" t="inlineStr">
        <is>
          <t>UMEÅ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21972-2025</t>
        </is>
      </c>
      <c r="B6980" s="1" t="n">
        <v>45784.63592592593</v>
      </c>
      <c r="C6980" s="1" t="n">
        <v>45971</v>
      </c>
      <c r="D6980" t="inlineStr">
        <is>
          <t>VÄSTERBOTTENS LÄN</t>
        </is>
      </c>
      <c r="E6980" t="inlineStr">
        <is>
          <t>VILHELMINA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68334-2021</t>
        </is>
      </c>
      <c r="B6981" s="1" t="n">
        <v>44527</v>
      </c>
      <c r="C6981" s="1" t="n">
        <v>45971</v>
      </c>
      <c r="D6981" t="inlineStr">
        <is>
          <t>VÄSTERBOTTENS LÄN</t>
        </is>
      </c>
      <c r="E6981" t="inlineStr">
        <is>
          <t>SKELLEFTEÅ</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17568-2024</t>
        </is>
      </c>
      <c r="B6982" s="1" t="n">
        <v>45415</v>
      </c>
      <c r="C6982" s="1" t="n">
        <v>45971</v>
      </c>
      <c r="D6982" t="inlineStr">
        <is>
          <t>VÄSTERBOTTENS LÄN</t>
        </is>
      </c>
      <c r="E6982" t="inlineStr">
        <is>
          <t>SKELLEFTEÅ</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49840-2025</t>
        </is>
      </c>
      <c r="B6983" s="1" t="n">
        <v>45940.46934027778</v>
      </c>
      <c r="C6983" s="1" t="n">
        <v>45971</v>
      </c>
      <c r="D6983" t="inlineStr">
        <is>
          <t>VÄSTERBOTTENS LÄN</t>
        </is>
      </c>
      <c r="E6983" t="inlineStr">
        <is>
          <t>SKELLEFTEÅ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49859-2025</t>
        </is>
      </c>
      <c r="B6984" s="1" t="n">
        <v>45940.51138888889</v>
      </c>
      <c r="C6984" s="1" t="n">
        <v>45971</v>
      </c>
      <c r="D6984" t="inlineStr">
        <is>
          <t>VÄSTERBOTTENS LÄN</t>
        </is>
      </c>
      <c r="E6984" t="inlineStr">
        <is>
          <t>LYCKSELE</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41408-2023</t>
        </is>
      </c>
      <c r="B6985" s="1" t="n">
        <v>45174</v>
      </c>
      <c r="C6985" s="1" t="n">
        <v>45971</v>
      </c>
      <c r="D6985" t="inlineStr">
        <is>
          <t>VÄSTERBOTTENS LÄN</t>
        </is>
      </c>
      <c r="E6985" t="inlineStr">
        <is>
          <t>ÅSELE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8229-2022</t>
        </is>
      </c>
      <c r="B6986" s="1" t="n">
        <v>44609</v>
      </c>
      <c r="C6986" s="1" t="n">
        <v>45971</v>
      </c>
      <c r="D6986" t="inlineStr">
        <is>
          <t>VÄSTERBOTTENS LÄN</t>
        </is>
      </c>
      <c r="E6986" t="inlineStr">
        <is>
          <t>VILHELMINA</t>
        </is>
      </c>
      <c r="F6986" t="inlineStr">
        <is>
          <t>SCA</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53889-2024</t>
        </is>
      </c>
      <c r="B6987" s="1" t="n">
        <v>45615.67903935185</v>
      </c>
      <c r="C6987" s="1" t="n">
        <v>45971</v>
      </c>
      <c r="D6987" t="inlineStr">
        <is>
          <t>VÄSTERBOTTENS LÄN</t>
        </is>
      </c>
      <c r="E6987" t="inlineStr">
        <is>
          <t>NORDMALING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34809-2023</t>
        </is>
      </c>
      <c r="B6988" s="1" t="n">
        <v>45140</v>
      </c>
      <c r="C6988" s="1" t="n">
        <v>45971</v>
      </c>
      <c r="D6988" t="inlineStr">
        <is>
          <t>VÄSTERBOTTENS LÄN</t>
        </is>
      </c>
      <c r="E6988" t="inlineStr">
        <is>
          <t>VILHELMINA</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46483-2024</t>
        </is>
      </c>
      <c r="B6989" s="1" t="n">
        <v>45582.5741087963</v>
      </c>
      <c r="C6989" s="1" t="n">
        <v>45971</v>
      </c>
      <c r="D6989" t="inlineStr">
        <is>
          <t>VÄSTERBOTTENS LÄN</t>
        </is>
      </c>
      <c r="E6989" t="inlineStr">
        <is>
          <t>VINDELN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21615-2025</t>
        </is>
      </c>
      <c r="B6990" s="1" t="n">
        <v>45783.40077546296</v>
      </c>
      <c r="C6990" s="1" t="n">
        <v>45971</v>
      </c>
      <c r="D6990" t="inlineStr">
        <is>
          <t>VÄSTERBOTTENS LÄN</t>
        </is>
      </c>
      <c r="E6990" t="inlineStr">
        <is>
          <t>VÄNNÄS</t>
        </is>
      </c>
      <c r="F6990" t="inlineStr">
        <is>
          <t>Holmen skog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33701-2023</t>
        </is>
      </c>
      <c r="B6991" s="1" t="n">
        <v>45132</v>
      </c>
      <c r="C6991" s="1" t="n">
        <v>45971</v>
      </c>
      <c r="D6991" t="inlineStr">
        <is>
          <t>VÄSTERBOTTENS LÄN</t>
        </is>
      </c>
      <c r="E6991" t="inlineStr">
        <is>
          <t>VINDELN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33710-2023</t>
        </is>
      </c>
      <c r="B6992" s="1" t="n">
        <v>45132.92306712963</v>
      </c>
      <c r="C6992" s="1" t="n">
        <v>45971</v>
      </c>
      <c r="D6992" t="inlineStr">
        <is>
          <t>VÄSTERBOTTENS LÄN</t>
        </is>
      </c>
      <c r="E6992" t="inlineStr">
        <is>
          <t>SKELLEFTEÅ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49753-2025</t>
        </is>
      </c>
      <c r="B6993" s="1" t="n">
        <v>45940.34538194445</v>
      </c>
      <c r="C6993" s="1" t="n">
        <v>45971</v>
      </c>
      <c r="D6993" t="inlineStr">
        <is>
          <t>VÄSTERBOTTENS LÄN</t>
        </is>
      </c>
      <c r="E6993" t="inlineStr">
        <is>
          <t>ÅSELE</t>
        </is>
      </c>
      <c r="F6993" t="inlineStr">
        <is>
          <t>SCA</t>
        </is>
      </c>
      <c r="G6993" t="n">
        <v>22.7</v>
      </c>
      <c r="H6993" t="n">
        <v>0</v>
      </c>
      <c r="I6993" t="n">
        <v>0</v>
      </c>
      <c r="J6993" t="n">
        <v>0</v>
      </c>
      <c r="K6993" t="n">
        <v>0</v>
      </c>
      <c r="L6993" t="n">
        <v>0</v>
      </c>
      <c r="M6993" t="n">
        <v>0</v>
      </c>
      <c r="N6993" t="n">
        <v>0</v>
      </c>
      <c r="O6993" t="n">
        <v>0</v>
      </c>
      <c r="P6993" t="n">
        <v>0</v>
      </c>
      <c r="Q6993" t="n">
        <v>0</v>
      </c>
      <c r="R6993" s="2" t="inlineStr"/>
    </row>
    <row r="6994" ht="15" customHeight="1">
      <c r="A6994" t="inlineStr">
        <is>
          <t>A 21755-2025</t>
        </is>
      </c>
      <c r="B6994" s="1" t="n">
        <v>45783.61917824074</v>
      </c>
      <c r="C6994" s="1" t="n">
        <v>45971</v>
      </c>
      <c r="D6994" t="inlineStr">
        <is>
          <t>VÄSTERBOTTENS LÄN</t>
        </is>
      </c>
      <c r="E6994" t="inlineStr">
        <is>
          <t>SKELLEFTEÅ</t>
        </is>
      </c>
      <c r="G6994" t="n">
        <v>13.6</v>
      </c>
      <c r="H6994" t="n">
        <v>0</v>
      </c>
      <c r="I6994" t="n">
        <v>0</v>
      </c>
      <c r="J6994" t="n">
        <v>0</v>
      </c>
      <c r="K6994" t="n">
        <v>0</v>
      </c>
      <c r="L6994" t="n">
        <v>0</v>
      </c>
      <c r="M6994" t="n">
        <v>0</v>
      </c>
      <c r="N6994" t="n">
        <v>0</v>
      </c>
      <c r="O6994" t="n">
        <v>0</v>
      </c>
      <c r="P6994" t="n">
        <v>0</v>
      </c>
      <c r="Q6994" t="n">
        <v>0</v>
      </c>
      <c r="R6994" s="2" t="inlineStr"/>
    </row>
    <row r="6995" ht="15" customHeight="1">
      <c r="A6995" t="inlineStr">
        <is>
          <t>A 21757-2025</t>
        </is>
      </c>
      <c r="B6995" s="1" t="n">
        <v>45783</v>
      </c>
      <c r="C6995" s="1" t="n">
        <v>45971</v>
      </c>
      <c r="D6995" t="inlineStr">
        <is>
          <t>VÄSTERBOTTENS LÄN</t>
        </is>
      </c>
      <c r="E6995" t="inlineStr">
        <is>
          <t>SKELLEFTEÅ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49839-2025</t>
        </is>
      </c>
      <c r="B6996" s="1" t="n">
        <v>45940.4693287037</v>
      </c>
      <c r="C6996" s="1" t="n">
        <v>45971</v>
      </c>
      <c r="D6996" t="inlineStr">
        <is>
          <t>VÄSTERBOTTENS LÄN</t>
        </is>
      </c>
      <c r="E6996" t="inlineStr">
        <is>
          <t>SKELLEFTEÅ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49860-2025</t>
        </is>
      </c>
      <c r="B6997" s="1" t="n">
        <v>45940.51144675926</v>
      </c>
      <c r="C6997" s="1" t="n">
        <v>45971</v>
      </c>
      <c r="D6997" t="inlineStr">
        <is>
          <t>VÄSTERBOTTENS LÄN</t>
        </is>
      </c>
      <c r="E6997" t="inlineStr">
        <is>
          <t>UMEÅ</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22032-2025</t>
        </is>
      </c>
      <c r="B6998" s="1" t="n">
        <v>45784</v>
      </c>
      <c r="C6998" s="1" t="n">
        <v>45971</v>
      </c>
      <c r="D6998" t="inlineStr">
        <is>
          <t>VÄSTERBOTTENS LÄN</t>
        </is>
      </c>
      <c r="E6998" t="inlineStr">
        <is>
          <t>ROBERTSFORS</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34904-2023</t>
        </is>
      </c>
      <c r="B6999" s="1" t="n">
        <v>45141</v>
      </c>
      <c r="C6999" s="1" t="n">
        <v>45971</v>
      </c>
      <c r="D6999" t="inlineStr">
        <is>
          <t>VÄSTERBOTTENS LÄN</t>
        </is>
      </c>
      <c r="E6999" t="inlineStr">
        <is>
          <t>NORDMALING</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43748-2024</t>
        </is>
      </c>
      <c r="B7000" s="1" t="n">
        <v>45569.66576388889</v>
      </c>
      <c r="C7000" s="1" t="n">
        <v>45971</v>
      </c>
      <c r="D7000" t="inlineStr">
        <is>
          <t>VÄSTERBOTTENS LÄN</t>
        </is>
      </c>
      <c r="E7000" t="inlineStr">
        <is>
          <t>SKELLEFTEÅ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43754-2024</t>
        </is>
      </c>
      <c r="B7001" s="1" t="n">
        <v>45569.67591435185</v>
      </c>
      <c r="C7001" s="1" t="n">
        <v>45971</v>
      </c>
      <c r="D7001" t="inlineStr">
        <is>
          <t>VÄSTERBOTTENS LÄN</t>
        </is>
      </c>
      <c r="E7001" t="inlineStr">
        <is>
          <t>VINDELN</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49465-2025</t>
        </is>
      </c>
      <c r="B7002" s="1" t="n">
        <v>45939.33030092593</v>
      </c>
      <c r="C7002" s="1" t="n">
        <v>45971</v>
      </c>
      <c r="D7002" t="inlineStr">
        <is>
          <t>VÄSTERBOTTENS LÄN</t>
        </is>
      </c>
      <c r="E7002" t="inlineStr">
        <is>
          <t>ÅSELE</t>
        </is>
      </c>
      <c r="F7002" t="inlineStr">
        <is>
          <t>Holmen skog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21743-2025</t>
        </is>
      </c>
      <c r="B7003" s="1" t="n">
        <v>45783.5943287037</v>
      </c>
      <c r="C7003" s="1" t="n">
        <v>45971</v>
      </c>
      <c r="D7003" t="inlineStr">
        <is>
          <t>VÄSTERBOTTENS LÄN</t>
        </is>
      </c>
      <c r="E7003" t="inlineStr">
        <is>
          <t>SORSELE</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34991-2023</t>
        </is>
      </c>
      <c r="B7004" s="1" t="n">
        <v>45142.80528935185</v>
      </c>
      <c r="C7004" s="1" t="n">
        <v>45971</v>
      </c>
      <c r="D7004" t="inlineStr">
        <is>
          <t>VÄSTERBOTTENS LÄN</t>
        </is>
      </c>
      <c r="E7004" t="inlineStr">
        <is>
          <t>UMEÅ</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22229-2025</t>
        </is>
      </c>
      <c r="B7005" s="1" t="n">
        <v>45785.66422453704</v>
      </c>
      <c r="C7005" s="1" t="n">
        <v>45971</v>
      </c>
      <c r="D7005" t="inlineStr">
        <is>
          <t>VÄSTERBOTTENS LÄN</t>
        </is>
      </c>
      <c r="E7005" t="inlineStr">
        <is>
          <t>LYCKSELE</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31496-2023</t>
        </is>
      </c>
      <c r="B7006" s="1" t="n">
        <v>45114.94138888889</v>
      </c>
      <c r="C7006" s="1" t="n">
        <v>45971</v>
      </c>
      <c r="D7006" t="inlineStr">
        <is>
          <t>VÄSTERBOTTENS LÄN</t>
        </is>
      </c>
      <c r="E7006" t="inlineStr">
        <is>
          <t>VILHELMINA</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72886-2021</t>
        </is>
      </c>
      <c r="B7007" s="1" t="n">
        <v>44546</v>
      </c>
      <c r="C7007" s="1" t="n">
        <v>45971</v>
      </c>
      <c r="D7007" t="inlineStr">
        <is>
          <t>VÄSTERBOTTENS LÄN</t>
        </is>
      </c>
      <c r="E7007" t="inlineStr">
        <is>
          <t>SORSELE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53420-2024</t>
        </is>
      </c>
      <c r="B7008" s="1" t="n">
        <v>45614.51158564815</v>
      </c>
      <c r="C7008" s="1" t="n">
        <v>45971</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53472-2024</t>
        </is>
      </c>
      <c r="B7009" s="1" t="n">
        <v>45614.55703703704</v>
      </c>
      <c r="C7009" s="1" t="n">
        <v>45971</v>
      </c>
      <c r="D7009" t="inlineStr">
        <is>
          <t>VÄSTERBOTTENS LÄN</t>
        </is>
      </c>
      <c r="E7009" t="inlineStr">
        <is>
          <t>NORSJÖ</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22309-2025</t>
        </is>
      </c>
      <c r="B7010" s="1" t="n">
        <v>45786.36578703704</v>
      </c>
      <c r="C7010" s="1" t="n">
        <v>45971</v>
      </c>
      <c r="D7010" t="inlineStr">
        <is>
          <t>VÄSTERBOTTENS LÄN</t>
        </is>
      </c>
      <c r="E7010" t="inlineStr">
        <is>
          <t>LYCKSELE</t>
        </is>
      </c>
      <c r="F7010" t="inlineStr">
        <is>
          <t>Holmen skog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22048-2025</t>
        </is>
      </c>
      <c r="B7011" s="1" t="n">
        <v>45785.3443287037</v>
      </c>
      <c r="C7011" s="1" t="n">
        <v>45971</v>
      </c>
      <c r="D7011" t="inlineStr">
        <is>
          <t>VÄSTERBOTTENS LÄN</t>
        </is>
      </c>
      <c r="E7011" t="inlineStr">
        <is>
          <t>VILHELMINA</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22092-2025</t>
        </is>
      </c>
      <c r="B7012" s="1" t="n">
        <v>45785.45925925926</v>
      </c>
      <c r="C7012" s="1" t="n">
        <v>45971</v>
      </c>
      <c r="D7012" t="inlineStr">
        <is>
          <t>VÄSTERBOTTENS LÄN</t>
        </is>
      </c>
      <c r="E7012" t="inlineStr">
        <is>
          <t>ROBERTSFORS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22096-2025</t>
        </is>
      </c>
      <c r="B7013" s="1" t="n">
        <v>45785.46922453704</v>
      </c>
      <c r="C7013" s="1" t="n">
        <v>45971</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22145-2025</t>
        </is>
      </c>
      <c r="B7014" s="1" t="n">
        <v>45785.55422453704</v>
      </c>
      <c r="C7014" s="1" t="n">
        <v>45971</v>
      </c>
      <c r="D7014" t="inlineStr">
        <is>
          <t>VÄSTERBOTTENS LÄN</t>
        </is>
      </c>
      <c r="E7014" t="inlineStr">
        <is>
          <t>UMEÅ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22146-2025</t>
        </is>
      </c>
      <c r="B7015" s="1" t="n">
        <v>45785.55462962963</v>
      </c>
      <c r="C7015" s="1" t="n">
        <v>45971</v>
      </c>
      <c r="D7015" t="inlineStr">
        <is>
          <t>VÄSTERBOTTENS LÄN</t>
        </is>
      </c>
      <c r="E7015" t="inlineStr">
        <is>
          <t>UMEÅ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64391-2023</t>
        </is>
      </c>
      <c r="B7016" s="1" t="n">
        <v>45280</v>
      </c>
      <c r="C7016" s="1" t="n">
        <v>45971</v>
      </c>
      <c r="D7016" t="inlineStr">
        <is>
          <t>VÄSTERBOTTENS LÄN</t>
        </is>
      </c>
      <c r="E7016" t="inlineStr">
        <is>
          <t>LYCKSELE</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28860-2024</t>
        </is>
      </c>
      <c r="B7017" s="1" t="n">
        <v>45478.92875</v>
      </c>
      <c r="C7017" s="1" t="n">
        <v>45971</v>
      </c>
      <c r="D7017" t="inlineStr">
        <is>
          <t>VÄSTERBOTTENS LÄN</t>
        </is>
      </c>
      <c r="E7017" t="inlineStr">
        <is>
          <t>UMEÅ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29622-2024</t>
        </is>
      </c>
      <c r="B7018" s="1" t="n">
        <v>45484.65622685185</v>
      </c>
      <c r="C7018" s="1" t="n">
        <v>45971</v>
      </c>
      <c r="D7018" t="inlineStr">
        <is>
          <t>VÄSTERBOTTENS LÄN</t>
        </is>
      </c>
      <c r="E7018" t="inlineStr">
        <is>
          <t>ROBERTSFORS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22284-2025</t>
        </is>
      </c>
      <c r="B7019" s="1" t="n">
        <v>45786.34259259259</v>
      </c>
      <c r="C7019" s="1" t="n">
        <v>45971</v>
      </c>
      <c r="D7019" t="inlineStr">
        <is>
          <t>VÄSTERBOTTENS LÄN</t>
        </is>
      </c>
      <c r="E7019" t="inlineStr">
        <is>
          <t>SKELLEFTEÅ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22072-2024</t>
        </is>
      </c>
      <c r="B7020" s="1" t="n">
        <v>45443.63575231482</v>
      </c>
      <c r="C7020" s="1" t="n">
        <v>45971</v>
      </c>
      <c r="D7020" t="inlineStr">
        <is>
          <t>VÄSTERBOTTENS LÄN</t>
        </is>
      </c>
      <c r="E7020" t="inlineStr">
        <is>
          <t>SKELLEFTEÅ</t>
        </is>
      </c>
      <c r="F7020" t="inlineStr">
        <is>
          <t>Holmen skog AB</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22265-2025</t>
        </is>
      </c>
      <c r="B7021" s="1" t="n">
        <v>45785.84648148148</v>
      </c>
      <c r="C7021" s="1" t="n">
        <v>45971</v>
      </c>
      <c r="D7021" t="inlineStr">
        <is>
          <t>VÄSTERBOTTENS LÄN</t>
        </is>
      </c>
      <c r="E7021" t="inlineStr">
        <is>
          <t>BJURHOLM</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59376-2024</t>
        </is>
      </c>
      <c r="B7022" s="1" t="n">
        <v>45638.34984953704</v>
      </c>
      <c r="C7022" s="1" t="n">
        <v>45971</v>
      </c>
      <c r="D7022" t="inlineStr">
        <is>
          <t>VÄSTERBOTTENS LÄN</t>
        </is>
      </c>
      <c r="E7022" t="inlineStr">
        <is>
          <t>LYCKSELE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47516-2024</t>
        </is>
      </c>
      <c r="B7023" s="1" t="n">
        <v>45587</v>
      </c>
      <c r="C7023" s="1" t="n">
        <v>45971</v>
      </c>
      <c r="D7023" t="inlineStr">
        <is>
          <t>VÄSTERBOTTENS LÄN</t>
        </is>
      </c>
      <c r="E7023" t="inlineStr">
        <is>
          <t>NORDMALING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26293-2024</t>
        </is>
      </c>
      <c r="B7024" s="1" t="n">
        <v>45468.81053240741</v>
      </c>
      <c r="C7024" s="1" t="n">
        <v>45971</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50725-2024</t>
        </is>
      </c>
      <c r="B7025" s="1" t="n">
        <v>45602.38738425926</v>
      </c>
      <c r="C7025" s="1" t="n">
        <v>45971</v>
      </c>
      <c r="D7025" t="inlineStr">
        <is>
          <t>VÄSTERBOTTENS LÄN</t>
        </is>
      </c>
      <c r="E7025" t="inlineStr">
        <is>
          <t>NORSJÖ</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50762-2024</t>
        </is>
      </c>
      <c r="B7026" s="1" t="n">
        <v>45602.4377662037</v>
      </c>
      <c r="C7026" s="1" t="n">
        <v>45971</v>
      </c>
      <c r="D7026" t="inlineStr">
        <is>
          <t>VÄSTERBOTTENS LÄN</t>
        </is>
      </c>
      <c r="E7026" t="inlineStr">
        <is>
          <t>BJURHOLM</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50773-2024</t>
        </is>
      </c>
      <c r="B7027" s="1" t="n">
        <v>45602.44862268519</v>
      </c>
      <c r="C7027" s="1" t="n">
        <v>45971</v>
      </c>
      <c r="D7027" t="inlineStr">
        <is>
          <t>VÄSTERBOTTENS LÄN</t>
        </is>
      </c>
      <c r="E7027" t="inlineStr">
        <is>
          <t>BJURHOLM</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4617-2024</t>
        </is>
      </c>
      <c r="B7028" s="1" t="n">
        <v>45327</v>
      </c>
      <c r="C7028" s="1" t="n">
        <v>45971</v>
      </c>
      <c r="D7028" t="inlineStr">
        <is>
          <t>VÄSTERBOTTENS LÄN</t>
        </is>
      </c>
      <c r="E7028" t="inlineStr">
        <is>
          <t>SKELLEFTEÅ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22031-2025</t>
        </is>
      </c>
      <c r="B7029" s="1" t="n">
        <v>45785.27292824074</v>
      </c>
      <c r="C7029" s="1" t="n">
        <v>45971</v>
      </c>
      <c r="D7029" t="inlineStr">
        <is>
          <t>VÄSTERBOTTENS LÄN</t>
        </is>
      </c>
      <c r="E7029" t="inlineStr">
        <is>
          <t>SKELLEFTEÅ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35909-2023</t>
        </is>
      </c>
      <c r="B7030" s="1" t="n">
        <v>45148</v>
      </c>
      <c r="C7030" s="1" t="n">
        <v>45971</v>
      </c>
      <c r="D7030" t="inlineStr">
        <is>
          <t>VÄSTERBOTTENS LÄN</t>
        </is>
      </c>
      <c r="E7030" t="inlineStr">
        <is>
          <t>VINDELN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49501-2025</t>
        </is>
      </c>
      <c r="B7031" s="1" t="n">
        <v>45938</v>
      </c>
      <c r="C7031" s="1" t="n">
        <v>45971</v>
      </c>
      <c r="D7031" t="inlineStr">
        <is>
          <t>VÄSTERBOTTENS LÄN</t>
        </is>
      </c>
      <c r="E7031" t="inlineStr">
        <is>
          <t>NORSJÖ</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4656-2024</t>
        </is>
      </c>
      <c r="B7032" s="1" t="n">
        <v>45327</v>
      </c>
      <c r="C7032" s="1" t="n">
        <v>45971</v>
      </c>
      <c r="D7032" t="inlineStr">
        <is>
          <t>VÄSTERBOTTENS LÄN</t>
        </is>
      </c>
      <c r="E7032" t="inlineStr">
        <is>
          <t>SKELLEFTEÅ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22530-2025</t>
        </is>
      </c>
      <c r="B7033" s="1" t="n">
        <v>45786</v>
      </c>
      <c r="C7033" s="1" t="n">
        <v>45971</v>
      </c>
      <c r="D7033" t="inlineStr">
        <is>
          <t>VÄSTERBOTTENS LÄN</t>
        </is>
      </c>
      <c r="E7033" t="inlineStr">
        <is>
          <t>SKELLEFTEÅ</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37549-2023</t>
        </is>
      </c>
      <c r="B7034" s="1" t="n">
        <v>45158</v>
      </c>
      <c r="C7034" s="1" t="n">
        <v>45971</v>
      </c>
      <c r="D7034" t="inlineStr">
        <is>
          <t>VÄSTERBOTTENS LÄN</t>
        </is>
      </c>
      <c r="E7034" t="inlineStr">
        <is>
          <t>NORDMALING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29000-2024</t>
        </is>
      </c>
      <c r="B7035" s="1" t="n">
        <v>45481.50622685185</v>
      </c>
      <c r="C7035" s="1" t="n">
        <v>45971</v>
      </c>
      <c r="D7035" t="inlineStr">
        <is>
          <t>VÄSTERBOTTENS LÄN</t>
        </is>
      </c>
      <c r="E7035" t="inlineStr">
        <is>
          <t>UMEÅ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49429-2024</t>
        </is>
      </c>
      <c r="B7036" s="1" t="n">
        <v>45595.80703703704</v>
      </c>
      <c r="C7036" s="1" t="n">
        <v>45971</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53124-2024</t>
        </is>
      </c>
      <c r="B7037" s="1" t="n">
        <v>45611.58855324074</v>
      </c>
      <c r="C7037" s="1" t="n">
        <v>45971</v>
      </c>
      <c r="D7037" t="inlineStr">
        <is>
          <t>VÄSTERBOTTENS LÄN</t>
        </is>
      </c>
      <c r="E7037" t="inlineStr">
        <is>
          <t>SKELLEFTEÅ</t>
        </is>
      </c>
      <c r="F7037" t="inlineStr">
        <is>
          <t>Holmen skog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40754-2023</t>
        </is>
      </c>
      <c r="B7038" s="1" t="n">
        <v>45170.92561342593</v>
      </c>
      <c r="C7038" s="1" t="n">
        <v>45971</v>
      </c>
      <c r="D7038" t="inlineStr">
        <is>
          <t>VÄSTERBOTTENS LÄN</t>
        </is>
      </c>
      <c r="E7038" t="inlineStr">
        <is>
          <t>NORSJÖ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60425-2021</t>
        </is>
      </c>
      <c r="B7039" s="1" t="n">
        <v>44496</v>
      </c>
      <c r="C7039" s="1" t="n">
        <v>45971</v>
      </c>
      <c r="D7039" t="inlineStr">
        <is>
          <t>VÄSTERBOTTENS LÄN</t>
        </is>
      </c>
      <c r="E7039" t="inlineStr">
        <is>
          <t>LYCKSELE</t>
        </is>
      </c>
      <c r="F7039" t="inlineStr">
        <is>
          <t>Sveaskog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32216-2024</t>
        </is>
      </c>
      <c r="B7040" s="1" t="n">
        <v>45511.92706018518</v>
      </c>
      <c r="C7040" s="1" t="n">
        <v>45971</v>
      </c>
      <c r="D7040" t="inlineStr">
        <is>
          <t>VÄSTERBOTTENS LÄN</t>
        </is>
      </c>
      <c r="E7040" t="inlineStr">
        <is>
          <t>NORSJÖ</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41149-2025</t>
        </is>
      </c>
      <c r="B7041" s="1" t="n">
        <v>45898.50357638889</v>
      </c>
      <c r="C7041" s="1" t="n">
        <v>45971</v>
      </c>
      <c r="D7041" t="inlineStr">
        <is>
          <t>VÄSTERBOTTENS LÄN</t>
        </is>
      </c>
      <c r="E7041" t="inlineStr">
        <is>
          <t>STORUMAN</t>
        </is>
      </c>
      <c r="F7041" t="inlineStr">
        <is>
          <t>Sveaskog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41150-2025</t>
        </is>
      </c>
      <c r="B7042" s="1" t="n">
        <v>45898.50738425926</v>
      </c>
      <c r="C7042" s="1" t="n">
        <v>45971</v>
      </c>
      <c r="D7042" t="inlineStr">
        <is>
          <t>VÄSTERBOTTENS LÄN</t>
        </is>
      </c>
      <c r="E7042" t="inlineStr">
        <is>
          <t>SKELLEFTEÅ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41159-2025</t>
        </is>
      </c>
      <c r="B7043" s="1" t="n">
        <v>45898.53164351852</v>
      </c>
      <c r="C7043" s="1" t="n">
        <v>45971</v>
      </c>
      <c r="D7043" t="inlineStr">
        <is>
          <t>VÄSTERBOTTENS LÄN</t>
        </is>
      </c>
      <c r="E7043" t="inlineStr">
        <is>
          <t>DOROTEA</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41160-2025</t>
        </is>
      </c>
      <c r="B7044" s="1" t="n">
        <v>45898.53180555555</v>
      </c>
      <c r="C7044" s="1" t="n">
        <v>45971</v>
      </c>
      <c r="D7044" t="inlineStr">
        <is>
          <t>VÄSTERBOTTENS LÄN</t>
        </is>
      </c>
      <c r="E7044" t="inlineStr">
        <is>
          <t>ÅSELE</t>
        </is>
      </c>
      <c r="F7044" t="inlineStr">
        <is>
          <t>SCA</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46625-2024</t>
        </is>
      </c>
      <c r="B7045" s="1" t="n">
        <v>45583.3296875</v>
      </c>
      <c r="C7045" s="1" t="n">
        <v>45971</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46966-2024</t>
        </is>
      </c>
      <c r="B7046" s="1" t="n">
        <v>45586.32145833333</v>
      </c>
      <c r="C7046" s="1" t="n">
        <v>45971</v>
      </c>
      <c r="D7046" t="inlineStr">
        <is>
          <t>VÄSTERBOTTENS LÄN</t>
        </is>
      </c>
      <c r="E7046" t="inlineStr">
        <is>
          <t>DOROTEA</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22486-2025</t>
        </is>
      </c>
      <c r="B7047" s="1" t="n">
        <v>45786.64646990741</v>
      </c>
      <c r="C7047" s="1" t="n">
        <v>45971</v>
      </c>
      <c r="D7047" t="inlineStr">
        <is>
          <t>VÄSTERBOTTENS LÄN</t>
        </is>
      </c>
      <c r="E7047" t="inlineStr">
        <is>
          <t>ÅSELE</t>
        </is>
      </c>
      <c r="F7047" t="inlineStr">
        <is>
          <t>Holmen skog AB</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15786-2025</t>
        </is>
      </c>
      <c r="B7048" s="1" t="n">
        <v>45748.62240740741</v>
      </c>
      <c r="C7048" s="1" t="n">
        <v>45971</v>
      </c>
      <c r="D7048" t="inlineStr">
        <is>
          <t>VÄSTERBOTTENS LÄN</t>
        </is>
      </c>
      <c r="E7048" t="inlineStr">
        <is>
          <t>VILHELMINA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49799-2025</t>
        </is>
      </c>
      <c r="B7049" s="1" t="n">
        <v>45940.4083912037</v>
      </c>
      <c r="C7049" s="1" t="n">
        <v>45971</v>
      </c>
      <c r="D7049" t="inlineStr">
        <is>
          <t>VÄSTERBOTTENS LÄN</t>
        </is>
      </c>
      <c r="E7049" t="inlineStr">
        <is>
          <t>UMEÅ</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35123-2023</t>
        </is>
      </c>
      <c r="B7050" s="1" t="n">
        <v>45145.50380787037</v>
      </c>
      <c r="C7050" s="1" t="n">
        <v>45971</v>
      </c>
      <c r="D7050" t="inlineStr">
        <is>
          <t>VÄSTERBOTTENS LÄN</t>
        </is>
      </c>
      <c r="E7050" t="inlineStr">
        <is>
          <t>VÄNNÄS</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49680-2025</t>
        </is>
      </c>
      <c r="B7051" s="1" t="n">
        <v>45939.65079861111</v>
      </c>
      <c r="C7051" s="1" t="n">
        <v>45971</v>
      </c>
      <c r="D7051" t="inlineStr">
        <is>
          <t>VÄSTERBOTTENS LÄN</t>
        </is>
      </c>
      <c r="E7051" t="inlineStr">
        <is>
          <t>VILHELMINA</t>
        </is>
      </c>
      <c r="F7051" t="inlineStr">
        <is>
          <t>Sveaskog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49710-2025</t>
        </is>
      </c>
      <c r="B7052" s="1" t="n">
        <v>45939.69342592593</v>
      </c>
      <c r="C7052" s="1" t="n">
        <v>45971</v>
      </c>
      <c r="D7052" t="inlineStr">
        <is>
          <t>VÄSTERBOTTENS LÄN</t>
        </is>
      </c>
      <c r="E7052" t="inlineStr">
        <is>
          <t>ROBERTSFORS</t>
        </is>
      </c>
      <c r="F7052" t="inlineStr">
        <is>
          <t>Kyrkan</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49725-2025</t>
        </is>
      </c>
      <c r="B7053" s="1" t="n">
        <v>45939.84310185185</v>
      </c>
      <c r="C7053" s="1" t="n">
        <v>45971</v>
      </c>
      <c r="D7053" t="inlineStr">
        <is>
          <t>VÄSTERBOTTENS LÄN</t>
        </is>
      </c>
      <c r="E7053" t="inlineStr">
        <is>
          <t>VINDELN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35149-2023</t>
        </is>
      </c>
      <c r="B7054" s="1" t="n">
        <v>45145.55239583334</v>
      </c>
      <c r="C7054" s="1" t="n">
        <v>45971</v>
      </c>
      <c r="D7054" t="inlineStr">
        <is>
          <t>VÄSTERBOTTENS LÄN</t>
        </is>
      </c>
      <c r="E7054" t="inlineStr">
        <is>
          <t>ROBERTSFORS</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8724-2025</t>
        </is>
      </c>
      <c r="B7055" s="1" t="n">
        <v>45712.51121527778</v>
      </c>
      <c r="C7055" s="1" t="n">
        <v>45971</v>
      </c>
      <c r="D7055" t="inlineStr">
        <is>
          <t>VÄSTERBOTTENS LÄN</t>
        </is>
      </c>
      <c r="E7055" t="inlineStr">
        <is>
          <t>ÅSELE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8753-2025</t>
        </is>
      </c>
      <c r="B7056" s="1" t="n">
        <v>45712</v>
      </c>
      <c r="C7056" s="1" t="n">
        <v>45971</v>
      </c>
      <c r="D7056" t="inlineStr">
        <is>
          <t>VÄSTERBOTTENS LÄN</t>
        </is>
      </c>
      <c r="E7056" t="inlineStr">
        <is>
          <t>ROBERTSFORS</t>
        </is>
      </c>
      <c r="F7056" t="inlineStr">
        <is>
          <t>Kommuner</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53102-2024</t>
        </is>
      </c>
      <c r="B7057" s="1" t="n">
        <v>45611</v>
      </c>
      <c r="C7057" s="1" t="n">
        <v>45971</v>
      </c>
      <c r="D7057" t="inlineStr">
        <is>
          <t>VÄSTERBOTTENS LÄN</t>
        </is>
      </c>
      <c r="E7057" t="inlineStr">
        <is>
          <t>SORSELE</t>
        </is>
      </c>
      <c r="F7057" t="inlineStr">
        <is>
          <t>Sveaskog</t>
        </is>
      </c>
      <c r="G7057" t="n">
        <v>44.8</v>
      </c>
      <c r="H7057" t="n">
        <v>0</v>
      </c>
      <c r="I7057" t="n">
        <v>0</v>
      </c>
      <c r="J7057" t="n">
        <v>0</v>
      </c>
      <c r="K7057" t="n">
        <v>0</v>
      </c>
      <c r="L7057" t="n">
        <v>0</v>
      </c>
      <c r="M7057" t="n">
        <v>0</v>
      </c>
      <c r="N7057" t="n">
        <v>0</v>
      </c>
      <c r="O7057" t="n">
        <v>0</v>
      </c>
      <c r="P7057" t="n">
        <v>0</v>
      </c>
      <c r="Q7057" t="n">
        <v>0</v>
      </c>
      <c r="R7057" s="2" t="inlineStr"/>
    </row>
    <row r="7058" ht="15" customHeight="1">
      <c r="A7058" t="inlineStr">
        <is>
          <t>A 35284-2023</t>
        </is>
      </c>
      <c r="B7058" s="1" t="n">
        <v>45145</v>
      </c>
      <c r="C7058" s="1" t="n">
        <v>45971</v>
      </c>
      <c r="D7058" t="inlineStr">
        <is>
          <t>VÄSTERBOTTENS LÄN</t>
        </is>
      </c>
      <c r="E7058" t="inlineStr">
        <is>
          <t>LYCKSELE</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35292-2023</t>
        </is>
      </c>
      <c r="B7059" s="1" t="n">
        <v>45145</v>
      </c>
      <c r="C7059" s="1" t="n">
        <v>45971</v>
      </c>
      <c r="D7059" t="inlineStr">
        <is>
          <t>VÄSTERBOTTENS LÄN</t>
        </is>
      </c>
      <c r="E7059" t="inlineStr">
        <is>
          <t>NORDMALING</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35294-2023</t>
        </is>
      </c>
      <c r="B7060" s="1" t="n">
        <v>45145</v>
      </c>
      <c r="C7060" s="1" t="n">
        <v>45971</v>
      </c>
      <c r="D7060" t="inlineStr">
        <is>
          <t>VÄSTERBOTTENS LÄN</t>
        </is>
      </c>
      <c r="E7060" t="inlineStr">
        <is>
          <t>VINDELN</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20000-2025</t>
        </is>
      </c>
      <c r="B7061" s="1" t="n">
        <v>45771.90070601852</v>
      </c>
      <c r="C7061" s="1" t="n">
        <v>45971</v>
      </c>
      <c r="D7061" t="inlineStr">
        <is>
          <t>VÄSTERBOTTENS LÄN</t>
        </is>
      </c>
      <c r="E7061" t="inlineStr">
        <is>
          <t>VINDELN</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20001-2025</t>
        </is>
      </c>
      <c r="B7062" s="1" t="n">
        <v>45771</v>
      </c>
      <c r="C7062" s="1" t="n">
        <v>45971</v>
      </c>
      <c r="D7062" t="inlineStr">
        <is>
          <t>VÄSTERBOTTENS LÄN</t>
        </is>
      </c>
      <c r="E7062" t="inlineStr">
        <is>
          <t>VINDELN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20026-2025</t>
        </is>
      </c>
      <c r="B7063" s="1" t="n">
        <v>45772.34459490741</v>
      </c>
      <c r="C7063" s="1" t="n">
        <v>45971</v>
      </c>
      <c r="D7063" t="inlineStr">
        <is>
          <t>VÄSTERBOTTENS LÄN</t>
        </is>
      </c>
      <c r="E7063" t="inlineStr">
        <is>
          <t>LYCKSELE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20034-2025</t>
        </is>
      </c>
      <c r="B7064" s="1" t="n">
        <v>45772.36483796296</v>
      </c>
      <c r="C7064" s="1" t="n">
        <v>45971</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41145-2025</t>
        </is>
      </c>
      <c r="B7065" s="1" t="n">
        <v>45898.49674768518</v>
      </c>
      <c r="C7065" s="1" t="n">
        <v>45971</v>
      </c>
      <c r="D7065" t="inlineStr">
        <is>
          <t>VÄSTERBOTTENS LÄN</t>
        </is>
      </c>
      <c r="E7065" t="inlineStr">
        <is>
          <t>STORUMAN</t>
        </is>
      </c>
      <c r="F7065" t="inlineStr">
        <is>
          <t>Sveaskog</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48073-2023</t>
        </is>
      </c>
      <c r="B7066" s="1" t="n">
        <v>45204</v>
      </c>
      <c r="C7066" s="1" t="n">
        <v>45971</v>
      </c>
      <c r="D7066" t="inlineStr">
        <is>
          <t>VÄSTERBOTTENS LÄN</t>
        </is>
      </c>
      <c r="E7066" t="inlineStr">
        <is>
          <t>ÅSELE</t>
        </is>
      </c>
      <c r="F7066" t="inlineStr">
        <is>
          <t>SCA</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41109-2023</t>
        </is>
      </c>
      <c r="B7067" s="1" t="n">
        <v>45170</v>
      </c>
      <c r="C7067" s="1" t="n">
        <v>45971</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22107-2025</t>
        </is>
      </c>
      <c r="B7068" s="1" t="n">
        <v>45785.49008101852</v>
      </c>
      <c r="C7068" s="1" t="n">
        <v>45971</v>
      </c>
      <c r="D7068" t="inlineStr">
        <is>
          <t>VÄSTERBOTTENS LÄN</t>
        </is>
      </c>
      <c r="E7068" t="inlineStr">
        <is>
          <t>LYCKSELE</t>
        </is>
      </c>
      <c r="F7068" t="inlineStr">
        <is>
          <t>SCA</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29658-2024</t>
        </is>
      </c>
      <c r="B7069" s="1" t="n">
        <v>45484.9237037037</v>
      </c>
      <c r="C7069" s="1" t="n">
        <v>45971</v>
      </c>
      <c r="D7069" t="inlineStr">
        <is>
          <t>VÄSTERBOTTENS LÄN</t>
        </is>
      </c>
      <c r="E7069" t="inlineStr">
        <is>
          <t>UMEÅ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41177-2025</t>
        </is>
      </c>
      <c r="B7070" s="1" t="n">
        <v>45898.55245370371</v>
      </c>
      <c r="C7070" s="1" t="n">
        <v>45971</v>
      </c>
      <c r="D7070" t="inlineStr">
        <is>
          <t>VÄSTERBOTTENS LÄN</t>
        </is>
      </c>
      <c r="E7070" t="inlineStr">
        <is>
          <t>ÅSELE</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27504-2023</t>
        </is>
      </c>
      <c r="B7071" s="1" t="n">
        <v>45097</v>
      </c>
      <c r="C7071" s="1" t="n">
        <v>45971</v>
      </c>
      <c r="D7071" t="inlineStr">
        <is>
          <t>VÄSTERBOTTENS LÄN</t>
        </is>
      </c>
      <c r="E7071" t="inlineStr">
        <is>
          <t>SKELLEFTEÅ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61609-2024</t>
        </is>
      </c>
      <c r="B7072" s="1" t="n">
        <v>45645</v>
      </c>
      <c r="C7072" s="1" t="n">
        <v>45971</v>
      </c>
      <c r="D7072" t="inlineStr">
        <is>
          <t>VÄSTERBOTTENS LÄN</t>
        </is>
      </c>
      <c r="E7072" t="inlineStr">
        <is>
          <t>MALÅ</t>
        </is>
      </c>
      <c r="F7072" t="inlineStr">
        <is>
          <t>Sveaskog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22453-2025</t>
        </is>
      </c>
      <c r="B7073" s="1" t="n">
        <v>45786.60395833333</v>
      </c>
      <c r="C7073" s="1" t="n">
        <v>45971</v>
      </c>
      <c r="D7073" t="inlineStr">
        <is>
          <t>VÄSTERBOTTENS LÄN</t>
        </is>
      </c>
      <c r="E7073" t="inlineStr">
        <is>
          <t>LYCKSELE</t>
        </is>
      </c>
      <c r="F7073" t="inlineStr">
        <is>
          <t>Sveaskog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39589-2023</t>
        </is>
      </c>
      <c r="B7074" s="1" t="n">
        <v>45167.44805555556</v>
      </c>
      <c r="C7074" s="1" t="n">
        <v>45971</v>
      </c>
      <c r="D7074" t="inlineStr">
        <is>
          <t>VÄSTERBOTTENS LÄN</t>
        </is>
      </c>
      <c r="E7074" t="inlineStr">
        <is>
          <t>SKELLEFTEÅ</t>
        </is>
      </c>
      <c r="F7074" t="inlineStr">
        <is>
          <t>Holmen skog AB</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2925-2025</t>
        </is>
      </c>
      <c r="B7075" s="1" t="n">
        <v>45678.32653935185</v>
      </c>
      <c r="C7075" s="1" t="n">
        <v>45971</v>
      </c>
      <c r="D7075" t="inlineStr">
        <is>
          <t>VÄSTERBOTTENS LÄN</t>
        </is>
      </c>
      <c r="E7075" t="inlineStr">
        <is>
          <t>NORDMALING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41101-2025</t>
        </is>
      </c>
      <c r="B7076" s="1" t="n">
        <v>45898</v>
      </c>
      <c r="C7076" s="1" t="n">
        <v>45971</v>
      </c>
      <c r="D7076" t="inlineStr">
        <is>
          <t>VÄSTERBOTTENS LÄN</t>
        </is>
      </c>
      <c r="E7076" t="inlineStr">
        <is>
          <t>VINDELN</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41102-2025</t>
        </is>
      </c>
      <c r="B7077" s="1" t="n">
        <v>45898.45258101852</v>
      </c>
      <c r="C7077" s="1" t="n">
        <v>45971</v>
      </c>
      <c r="D7077" t="inlineStr">
        <is>
          <t>VÄSTERBOTTENS LÄN</t>
        </is>
      </c>
      <c r="E7077" t="inlineStr">
        <is>
          <t>SKELLEFTEÅ</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41141-2025</t>
        </is>
      </c>
      <c r="B7078" s="1" t="n">
        <v>45898.49034722222</v>
      </c>
      <c r="C7078" s="1" t="n">
        <v>45971</v>
      </c>
      <c r="D7078" t="inlineStr">
        <is>
          <t>VÄSTERBOTTENS LÄN</t>
        </is>
      </c>
      <c r="E7078" t="inlineStr">
        <is>
          <t>STORUMAN</t>
        </is>
      </c>
      <c r="F7078" t="inlineStr">
        <is>
          <t>Sveaskog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41176-2025</t>
        </is>
      </c>
      <c r="B7079" s="1" t="n">
        <v>45898</v>
      </c>
      <c r="C7079" s="1" t="n">
        <v>45971</v>
      </c>
      <c r="D7079" t="inlineStr">
        <is>
          <t>VÄSTERBOTTENS LÄN</t>
        </is>
      </c>
      <c r="E7079" t="inlineStr">
        <is>
          <t>UMEÅ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39663-2023</t>
        </is>
      </c>
      <c r="B7080" s="1" t="n">
        <v>45167</v>
      </c>
      <c r="C7080" s="1" t="n">
        <v>45971</v>
      </c>
      <c r="D7080" t="inlineStr">
        <is>
          <t>VÄSTERBOTTENS LÄN</t>
        </is>
      </c>
      <c r="E7080" t="inlineStr">
        <is>
          <t>MALÅ</t>
        </is>
      </c>
      <c r="F7080" t="inlineStr">
        <is>
          <t>Sveaskog</t>
        </is>
      </c>
      <c r="G7080" t="n">
        <v>30.8</v>
      </c>
      <c r="H7080" t="n">
        <v>0</v>
      </c>
      <c r="I7080" t="n">
        <v>0</v>
      </c>
      <c r="J7080" t="n">
        <v>0</v>
      </c>
      <c r="K7080" t="n">
        <v>0</v>
      </c>
      <c r="L7080" t="n">
        <v>0</v>
      </c>
      <c r="M7080" t="n">
        <v>0</v>
      </c>
      <c r="N7080" t="n">
        <v>0</v>
      </c>
      <c r="O7080" t="n">
        <v>0</v>
      </c>
      <c r="P7080" t="n">
        <v>0</v>
      </c>
      <c r="Q7080" t="n">
        <v>0</v>
      </c>
      <c r="R7080" s="2" t="inlineStr"/>
    </row>
    <row r="7081" ht="15" customHeight="1">
      <c r="A7081" t="inlineStr">
        <is>
          <t>A 38315-2023</t>
        </is>
      </c>
      <c r="B7081" s="1" t="n">
        <v>45161.6918287037</v>
      </c>
      <c r="C7081" s="1" t="n">
        <v>45971</v>
      </c>
      <c r="D7081" t="inlineStr">
        <is>
          <t>VÄSTERBOTTENS LÄN</t>
        </is>
      </c>
      <c r="E7081" t="inlineStr">
        <is>
          <t>VINDELN</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22290-2025</t>
        </is>
      </c>
      <c r="B7082" s="1" t="n">
        <v>45786.34450231482</v>
      </c>
      <c r="C7082" s="1" t="n">
        <v>45971</v>
      </c>
      <c r="D7082" t="inlineStr">
        <is>
          <t>VÄSTERBOTTENS LÄN</t>
        </is>
      </c>
      <c r="E7082" t="inlineStr">
        <is>
          <t>BJURHOLM</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50072-2024</t>
        </is>
      </c>
      <c r="B7083" s="1" t="n">
        <v>45600.36332175926</v>
      </c>
      <c r="C7083" s="1" t="n">
        <v>45971</v>
      </c>
      <c r="D7083" t="inlineStr">
        <is>
          <t>VÄSTERBOTTENS LÄN</t>
        </is>
      </c>
      <c r="E7083" t="inlineStr">
        <is>
          <t>LYCKSELE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31558-2023</t>
        </is>
      </c>
      <c r="B7084" s="1" t="n">
        <v>45104</v>
      </c>
      <c r="C7084" s="1" t="n">
        <v>45971</v>
      </c>
      <c r="D7084" t="inlineStr">
        <is>
          <t>VÄSTERBOTTENS LÄN</t>
        </is>
      </c>
      <c r="E7084" t="inlineStr">
        <is>
          <t>SKELLEFTEÅ</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22452-2025</t>
        </is>
      </c>
      <c r="B7085" s="1" t="n">
        <v>45786.60216435185</v>
      </c>
      <c r="C7085" s="1" t="n">
        <v>45971</v>
      </c>
      <c r="D7085" t="inlineStr">
        <is>
          <t>VÄSTERBOTTENS LÄN</t>
        </is>
      </c>
      <c r="E7085" t="inlineStr">
        <is>
          <t>LYCKSELE</t>
        </is>
      </c>
      <c r="F7085" t="inlineStr">
        <is>
          <t>Sveaskog</t>
        </is>
      </c>
      <c r="G7085" t="n">
        <v>11.4</v>
      </c>
      <c r="H7085" t="n">
        <v>0</v>
      </c>
      <c r="I7085" t="n">
        <v>0</v>
      </c>
      <c r="J7085" t="n">
        <v>0</v>
      </c>
      <c r="K7085" t="n">
        <v>0</v>
      </c>
      <c r="L7085" t="n">
        <v>0</v>
      </c>
      <c r="M7085" t="n">
        <v>0</v>
      </c>
      <c r="N7085" t="n">
        <v>0</v>
      </c>
      <c r="O7085" t="n">
        <v>0</v>
      </c>
      <c r="P7085" t="n">
        <v>0</v>
      </c>
      <c r="Q7085" t="n">
        <v>0</v>
      </c>
      <c r="R7085" s="2" t="inlineStr"/>
    </row>
    <row r="7086" ht="15" customHeight="1">
      <c r="A7086" t="inlineStr">
        <is>
          <t>A 22343-2025</t>
        </is>
      </c>
      <c r="B7086" s="1" t="n">
        <v>45786.44841435185</v>
      </c>
      <c r="C7086" s="1" t="n">
        <v>45971</v>
      </c>
      <c r="D7086" t="inlineStr">
        <is>
          <t>VÄSTERBOTTENS LÄN</t>
        </is>
      </c>
      <c r="E7086" t="inlineStr">
        <is>
          <t>LYCKSELE</t>
        </is>
      </c>
      <c r="F7086" t="inlineStr">
        <is>
          <t>SCA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22371-2025</t>
        </is>
      </c>
      <c r="B7087" s="1" t="n">
        <v>45786.47739583333</v>
      </c>
      <c r="C7087" s="1" t="n">
        <v>45971</v>
      </c>
      <c r="D7087" t="inlineStr">
        <is>
          <t>VÄSTERBOTTENS LÄN</t>
        </is>
      </c>
      <c r="E7087" t="inlineStr">
        <is>
          <t>VINDELN</t>
        </is>
      </c>
      <c r="F7087" t="inlineStr">
        <is>
          <t>Holmen skog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18533-2023</t>
        </is>
      </c>
      <c r="B7088" s="1" t="n">
        <v>45041</v>
      </c>
      <c r="C7088" s="1" t="n">
        <v>45971</v>
      </c>
      <c r="D7088" t="inlineStr">
        <is>
          <t>VÄSTERBOTTENS LÄN</t>
        </is>
      </c>
      <c r="E7088" t="inlineStr">
        <is>
          <t>ROBERTSFORS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31397-2023</t>
        </is>
      </c>
      <c r="B7089" s="1" t="n">
        <v>45114</v>
      </c>
      <c r="C7089" s="1" t="n">
        <v>45971</v>
      </c>
      <c r="D7089" t="inlineStr">
        <is>
          <t>VÄSTERBOTTENS LÄN</t>
        </is>
      </c>
      <c r="E7089" t="inlineStr">
        <is>
          <t>VINDELN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45593-2024</t>
        </is>
      </c>
      <c r="B7090" s="1" t="n">
        <v>45579</v>
      </c>
      <c r="C7090" s="1" t="n">
        <v>45971</v>
      </c>
      <c r="D7090" t="inlineStr">
        <is>
          <t>VÄSTERBOTTENS LÄN</t>
        </is>
      </c>
      <c r="E7090" t="inlineStr">
        <is>
          <t>VILHELMINA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22531-2025</t>
        </is>
      </c>
      <c r="B7091" s="1" t="n">
        <v>45786</v>
      </c>
      <c r="C7091" s="1" t="n">
        <v>45971</v>
      </c>
      <c r="D7091" t="inlineStr">
        <is>
          <t>VÄSTERBOTTENS LÄN</t>
        </is>
      </c>
      <c r="E7091" t="inlineStr">
        <is>
          <t>SKELLEFTEÅ</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1117-2024</t>
        </is>
      </c>
      <c r="B7092" s="1" t="n">
        <v>45302.43986111111</v>
      </c>
      <c r="C7092" s="1" t="n">
        <v>45971</v>
      </c>
      <c r="D7092" t="inlineStr">
        <is>
          <t>VÄSTERBOTTENS LÄN</t>
        </is>
      </c>
      <c r="E7092" t="inlineStr">
        <is>
          <t>ROBERTSFORS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36695-2023</t>
        </is>
      </c>
      <c r="B7093" s="1" t="n">
        <v>45152</v>
      </c>
      <c r="C7093" s="1" t="n">
        <v>45971</v>
      </c>
      <c r="D7093" t="inlineStr">
        <is>
          <t>VÄSTERBOTTENS LÄN</t>
        </is>
      </c>
      <c r="E7093" t="inlineStr">
        <is>
          <t>MALÅ</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22410-2025</t>
        </is>
      </c>
      <c r="B7094" s="1" t="n">
        <v>45786.5508449074</v>
      </c>
      <c r="C7094" s="1" t="n">
        <v>45971</v>
      </c>
      <c r="D7094" t="inlineStr">
        <is>
          <t>VÄSTERBOTTENS LÄN</t>
        </is>
      </c>
      <c r="E7094" t="inlineStr">
        <is>
          <t>VINDELN</t>
        </is>
      </c>
      <c r="F7094" t="inlineStr">
        <is>
          <t>Holmen skog AB</t>
        </is>
      </c>
      <c r="G7094" t="n">
        <v>16.3</v>
      </c>
      <c r="H7094" t="n">
        <v>0</v>
      </c>
      <c r="I7094" t="n">
        <v>0</v>
      </c>
      <c r="J7094" t="n">
        <v>0</v>
      </c>
      <c r="K7094" t="n">
        <v>0</v>
      </c>
      <c r="L7094" t="n">
        <v>0</v>
      </c>
      <c r="M7094" t="n">
        <v>0</v>
      </c>
      <c r="N7094" t="n">
        <v>0</v>
      </c>
      <c r="O7094" t="n">
        <v>0</v>
      </c>
      <c r="P7094" t="n">
        <v>0</v>
      </c>
      <c r="Q7094" t="n">
        <v>0</v>
      </c>
      <c r="R7094" s="2" t="inlineStr"/>
    </row>
    <row r="7095" ht="15" customHeight="1">
      <c r="A7095" t="inlineStr">
        <is>
          <t>A 1113-2025</t>
        </is>
      </c>
      <c r="B7095" s="1" t="n">
        <v>45666</v>
      </c>
      <c r="C7095" s="1" t="n">
        <v>45971</v>
      </c>
      <c r="D7095" t="inlineStr">
        <is>
          <t>VÄSTERBOTTENS LÄN</t>
        </is>
      </c>
      <c r="E7095" t="inlineStr">
        <is>
          <t>SKELLEFTEÅ</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23718-2024</t>
        </is>
      </c>
      <c r="B7096" s="1" t="n">
        <v>45454.81177083333</v>
      </c>
      <c r="C7096" s="1" t="n">
        <v>45971</v>
      </c>
      <c r="D7096" t="inlineStr">
        <is>
          <t>VÄSTERBOTTENS LÄN</t>
        </is>
      </c>
      <c r="E7096" t="inlineStr">
        <is>
          <t>UMEÅ</t>
        </is>
      </c>
      <c r="F7096" t="inlineStr">
        <is>
          <t>Holmen skog AB</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22127-2025</t>
        </is>
      </c>
      <c r="B7097" s="1" t="n">
        <v>45785.53003472222</v>
      </c>
      <c r="C7097" s="1" t="n">
        <v>45971</v>
      </c>
      <c r="D7097" t="inlineStr">
        <is>
          <t>VÄSTERBOTTENS LÄN</t>
        </is>
      </c>
      <c r="E7097" t="inlineStr">
        <is>
          <t>LYCKSELE</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38229-2024</t>
        </is>
      </c>
      <c r="B7098" s="1" t="n">
        <v>45545.54909722223</v>
      </c>
      <c r="C7098" s="1" t="n">
        <v>45971</v>
      </c>
      <c r="D7098" t="inlineStr">
        <is>
          <t>VÄSTERBOTTENS LÄN</t>
        </is>
      </c>
      <c r="E7098" t="inlineStr">
        <is>
          <t>VINDELN</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61616-2023</t>
        </is>
      </c>
      <c r="B7099" s="1" t="n">
        <v>45261</v>
      </c>
      <c r="C7099" s="1" t="n">
        <v>45971</v>
      </c>
      <c r="D7099" t="inlineStr">
        <is>
          <t>VÄSTERBOTTENS LÄN</t>
        </is>
      </c>
      <c r="E7099" t="inlineStr">
        <is>
          <t>NORDMALING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11989-2023</t>
        </is>
      </c>
      <c r="B7100" s="1" t="n">
        <v>44994</v>
      </c>
      <c r="C7100" s="1" t="n">
        <v>45971</v>
      </c>
      <c r="D7100" t="inlineStr">
        <is>
          <t>VÄSTERBOTTENS LÄN</t>
        </is>
      </c>
      <c r="E7100" t="inlineStr">
        <is>
          <t>SKELLEFTEÅ</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43976-2024</t>
        </is>
      </c>
      <c r="B7101" s="1" t="n">
        <v>45572</v>
      </c>
      <c r="C7101" s="1" t="n">
        <v>45971</v>
      </c>
      <c r="D7101" t="inlineStr">
        <is>
          <t>VÄSTERBOTTENS LÄN</t>
        </is>
      </c>
      <c r="E7101" t="inlineStr">
        <is>
          <t>UMEÅ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43977-2024</t>
        </is>
      </c>
      <c r="B7102" s="1" t="n">
        <v>45572.49082175926</v>
      </c>
      <c r="C7102" s="1" t="n">
        <v>45971</v>
      </c>
      <c r="D7102" t="inlineStr">
        <is>
          <t>VÄSTERBOTTENS LÄN</t>
        </is>
      </c>
      <c r="E7102" t="inlineStr">
        <is>
          <t>UMEÅ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18605-2023</t>
        </is>
      </c>
      <c r="B7103" s="1" t="n">
        <v>45041</v>
      </c>
      <c r="C7103" s="1" t="n">
        <v>45971</v>
      </c>
      <c r="D7103" t="inlineStr">
        <is>
          <t>VÄSTERBOTTENS LÄN</t>
        </is>
      </c>
      <c r="E7103" t="inlineStr">
        <is>
          <t>ÅSELE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6619-2023</t>
        </is>
      </c>
      <c r="B7104" s="1" t="n">
        <v>44963</v>
      </c>
      <c r="C7104" s="1" t="n">
        <v>45971</v>
      </c>
      <c r="D7104" t="inlineStr">
        <is>
          <t>VÄSTERBOTTENS LÄN</t>
        </is>
      </c>
      <c r="E7104" t="inlineStr">
        <is>
          <t>NORSJÖ</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60896-2021</t>
        </is>
      </c>
      <c r="B7105" s="1" t="n">
        <v>44496</v>
      </c>
      <c r="C7105" s="1" t="n">
        <v>45971</v>
      </c>
      <c r="D7105" t="inlineStr">
        <is>
          <t>VÄSTERBOTTENS LÄN</t>
        </is>
      </c>
      <c r="E7105" t="inlineStr">
        <is>
          <t>SORSELE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17989-2023</t>
        </is>
      </c>
      <c r="B7106" s="1" t="n">
        <v>45040</v>
      </c>
      <c r="C7106" s="1" t="n">
        <v>45971</v>
      </c>
      <c r="D7106" t="inlineStr">
        <is>
          <t>VÄSTERBOTTENS LÄN</t>
        </is>
      </c>
      <c r="E7106" t="inlineStr">
        <is>
          <t>UMEÅ</t>
        </is>
      </c>
      <c r="F7106" t="inlineStr">
        <is>
          <t>Kommuner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46657-2024</t>
        </is>
      </c>
      <c r="B7107" s="1" t="n">
        <v>45583.36118055556</v>
      </c>
      <c r="C7107" s="1" t="n">
        <v>45971</v>
      </c>
      <c r="D7107" t="inlineStr">
        <is>
          <t>VÄSTERBOTTENS LÄN</t>
        </is>
      </c>
      <c r="E7107" t="inlineStr">
        <is>
          <t>SKELLEFTEÅ</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46663-2024</t>
        </is>
      </c>
      <c r="B7108" s="1" t="n">
        <v>45583.3650462963</v>
      </c>
      <c r="C7108" s="1" t="n">
        <v>45971</v>
      </c>
      <c r="D7108" t="inlineStr">
        <is>
          <t>VÄSTERBOTTENS LÄN</t>
        </is>
      </c>
      <c r="E7108" t="inlineStr">
        <is>
          <t>ROBERTSFORS</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46726-2024</t>
        </is>
      </c>
      <c r="B7109" s="1" t="n">
        <v>45583.46103009259</v>
      </c>
      <c r="C7109" s="1" t="n">
        <v>45971</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46731-2024</t>
        </is>
      </c>
      <c r="B7110" s="1" t="n">
        <v>45583</v>
      </c>
      <c r="C7110" s="1" t="n">
        <v>45971</v>
      </c>
      <c r="D7110" t="inlineStr">
        <is>
          <t>VÄSTERBOTTENS LÄN</t>
        </is>
      </c>
      <c r="E7110" t="inlineStr">
        <is>
          <t>SKELLEFTEÅ</t>
        </is>
      </c>
      <c r="F7110" t="inlineStr">
        <is>
          <t>Holmen skog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46435-2024</t>
        </is>
      </c>
      <c r="B7111" s="1" t="n">
        <v>45582.47464120371</v>
      </c>
      <c r="C7111" s="1" t="n">
        <v>45971</v>
      </c>
      <c r="D7111" t="inlineStr">
        <is>
          <t>VÄSTERBOTTENS LÄN</t>
        </is>
      </c>
      <c r="E7111" t="inlineStr">
        <is>
          <t>BJURHOLM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22408-2025</t>
        </is>
      </c>
      <c r="B7112" s="1" t="n">
        <v>45786</v>
      </c>
      <c r="C7112" s="1" t="n">
        <v>45971</v>
      </c>
      <c r="D7112" t="inlineStr">
        <is>
          <t>VÄSTERBOTTENS LÄN</t>
        </is>
      </c>
      <c r="E7112" t="inlineStr">
        <is>
          <t>LYCKSELE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22266-2025</t>
        </is>
      </c>
      <c r="B7113" s="1" t="n">
        <v>45785.84664351852</v>
      </c>
      <c r="C7113" s="1" t="n">
        <v>45971</v>
      </c>
      <c r="D7113" t="inlineStr">
        <is>
          <t>VÄSTERBOTTENS LÄN</t>
        </is>
      </c>
      <c r="E7113" t="inlineStr">
        <is>
          <t>BJURHOLM</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46858-2024</t>
        </is>
      </c>
      <c r="B7114" s="1" t="n">
        <v>45583</v>
      </c>
      <c r="C7114" s="1" t="n">
        <v>45971</v>
      </c>
      <c r="D7114" t="inlineStr">
        <is>
          <t>VÄSTERBOTTENS LÄN</t>
        </is>
      </c>
      <c r="E7114" t="inlineStr">
        <is>
          <t>SKELLEFTEÅ</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22311-2025</t>
        </is>
      </c>
      <c r="B7115" s="1" t="n">
        <v>45786</v>
      </c>
      <c r="C7115" s="1" t="n">
        <v>45971</v>
      </c>
      <c r="D7115" t="inlineStr">
        <is>
          <t>VÄSTERBOTTENS LÄN</t>
        </is>
      </c>
      <c r="E7115" t="inlineStr">
        <is>
          <t>SKELLEFTEÅ</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22456-2025</t>
        </is>
      </c>
      <c r="B7116" s="1" t="n">
        <v>45786.6059837963</v>
      </c>
      <c r="C7116" s="1" t="n">
        <v>45971</v>
      </c>
      <c r="D7116" t="inlineStr">
        <is>
          <t>VÄSTERBOTTENS LÄN</t>
        </is>
      </c>
      <c r="E7116" t="inlineStr">
        <is>
          <t>LYCKSELE</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49221-2024</t>
        </is>
      </c>
      <c r="B7117" s="1" t="n">
        <v>45595.41166666667</v>
      </c>
      <c r="C7117" s="1" t="n">
        <v>45971</v>
      </c>
      <c r="D7117" t="inlineStr">
        <is>
          <t>VÄSTERBOTTENS LÄN</t>
        </is>
      </c>
      <c r="E7117" t="inlineStr">
        <is>
          <t>VILHELMINA</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31006-2023</t>
        </is>
      </c>
      <c r="B7118" s="1" t="n">
        <v>45103</v>
      </c>
      <c r="C7118" s="1" t="n">
        <v>45971</v>
      </c>
      <c r="D7118" t="inlineStr">
        <is>
          <t>VÄSTERBOTTENS LÄN</t>
        </is>
      </c>
      <c r="E7118" t="inlineStr">
        <is>
          <t>SKELLEFTEÅ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49246-2024</t>
        </is>
      </c>
      <c r="B7119" s="1" t="n">
        <v>45595.4618287037</v>
      </c>
      <c r="C7119" s="1" t="n">
        <v>45971</v>
      </c>
      <c r="D7119" t="inlineStr">
        <is>
          <t>VÄSTERBOTTENS LÄN</t>
        </is>
      </c>
      <c r="E7119" t="inlineStr">
        <is>
          <t>VILHELMINA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67893-2021</t>
        </is>
      </c>
      <c r="B7120" s="1" t="n">
        <v>44525</v>
      </c>
      <c r="C7120" s="1" t="n">
        <v>45971</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43852-2024</t>
        </is>
      </c>
      <c r="B7121" s="1" t="n">
        <v>45572.35177083333</v>
      </c>
      <c r="C7121" s="1" t="n">
        <v>45971</v>
      </c>
      <c r="D7121" t="inlineStr">
        <is>
          <t>VÄSTERBOTTENS LÄN</t>
        </is>
      </c>
      <c r="E7121" t="inlineStr">
        <is>
          <t>ROBERTSFORS</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25352-2024</t>
        </is>
      </c>
      <c r="B7122" s="1" t="n">
        <v>45462</v>
      </c>
      <c r="C7122" s="1" t="n">
        <v>45971</v>
      </c>
      <c r="D7122" t="inlineStr">
        <is>
          <t>VÄSTERBOTTENS LÄN</t>
        </is>
      </c>
      <c r="E7122" t="inlineStr">
        <is>
          <t>NORSJÖ</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22161-2025</t>
        </is>
      </c>
      <c r="B7123" s="1" t="n">
        <v>45785.58844907407</v>
      </c>
      <c r="C7123" s="1" t="n">
        <v>45971</v>
      </c>
      <c r="D7123" t="inlineStr">
        <is>
          <t>VÄSTERBOTTENS LÄN</t>
        </is>
      </c>
      <c r="E7123" t="inlineStr">
        <is>
          <t>UMEÅ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22213-2025</t>
        </is>
      </c>
      <c r="B7124" s="1" t="n">
        <v>45785.65777777778</v>
      </c>
      <c r="C7124" s="1" t="n">
        <v>45971</v>
      </c>
      <c r="D7124" t="inlineStr">
        <is>
          <t>VÄSTERBOTTENS LÄN</t>
        </is>
      </c>
      <c r="E7124" t="inlineStr">
        <is>
          <t>DOROTEA</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25373-2024</t>
        </is>
      </c>
      <c r="B7125" s="1" t="n">
        <v>45462.96096064815</v>
      </c>
      <c r="C7125" s="1" t="n">
        <v>45971</v>
      </c>
      <c r="D7125" t="inlineStr">
        <is>
          <t>VÄSTERBOTTENS LÄN</t>
        </is>
      </c>
      <c r="E7125" t="inlineStr">
        <is>
          <t>NORDMALING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64355-2021</t>
        </is>
      </c>
      <c r="B7126" s="1" t="n">
        <v>44511</v>
      </c>
      <c r="C7126" s="1" t="n">
        <v>45971</v>
      </c>
      <c r="D7126" t="inlineStr">
        <is>
          <t>VÄSTERBOTTENS LÄN</t>
        </is>
      </c>
      <c r="E7126" t="inlineStr">
        <is>
          <t>UMEÅ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49520-2025</t>
        </is>
      </c>
      <c r="B7127" s="1" t="n">
        <v>45939.39337962963</v>
      </c>
      <c r="C7127" s="1" t="n">
        <v>45971</v>
      </c>
      <c r="D7127" t="inlineStr">
        <is>
          <t>VÄSTERBOTTENS LÄN</t>
        </is>
      </c>
      <c r="E7127" t="inlineStr">
        <is>
          <t>VÄNNÄS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44480-2024</t>
        </is>
      </c>
      <c r="B7128" s="1" t="n">
        <v>45574</v>
      </c>
      <c r="C7128" s="1" t="n">
        <v>45971</v>
      </c>
      <c r="D7128" t="inlineStr">
        <is>
          <t>VÄSTERBOTTENS LÄN</t>
        </is>
      </c>
      <c r="E7128" t="inlineStr">
        <is>
          <t>SKELLEFTEÅ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33046-2024</t>
        </is>
      </c>
      <c r="B7129" s="1" t="n">
        <v>45517.61690972222</v>
      </c>
      <c r="C7129" s="1" t="n">
        <v>45971</v>
      </c>
      <c r="D7129" t="inlineStr">
        <is>
          <t>VÄSTERBOTTENS LÄN</t>
        </is>
      </c>
      <c r="E7129" t="inlineStr">
        <is>
          <t>VINDELN</t>
        </is>
      </c>
      <c r="F7129" t="inlineStr">
        <is>
          <t>Sveaskog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40916-2025</t>
        </is>
      </c>
      <c r="B7130" s="1" t="n">
        <v>45897</v>
      </c>
      <c r="C7130" s="1" t="n">
        <v>45971</v>
      </c>
      <c r="D7130" t="inlineStr">
        <is>
          <t>VÄSTERBOTTENS LÄN</t>
        </is>
      </c>
      <c r="E7130" t="inlineStr">
        <is>
          <t>BJURHOLM</t>
        </is>
      </c>
      <c r="F7130" t="inlineStr">
        <is>
          <t>SCA</t>
        </is>
      </c>
      <c r="G7130" t="n">
        <v>48.1</v>
      </c>
      <c r="H7130" t="n">
        <v>0</v>
      </c>
      <c r="I7130" t="n">
        <v>0</v>
      </c>
      <c r="J7130" t="n">
        <v>0</v>
      </c>
      <c r="K7130" t="n">
        <v>0</v>
      </c>
      <c r="L7130" t="n">
        <v>0</v>
      </c>
      <c r="M7130" t="n">
        <v>0</v>
      </c>
      <c r="N7130" t="n">
        <v>0</v>
      </c>
      <c r="O7130" t="n">
        <v>0</v>
      </c>
      <c r="P7130" t="n">
        <v>0</v>
      </c>
      <c r="Q7130" t="n">
        <v>0</v>
      </c>
      <c r="R7130" s="2" t="inlineStr"/>
    </row>
    <row r="7131" ht="15" customHeight="1">
      <c r="A7131" t="inlineStr">
        <is>
          <t>A 22272-2025</t>
        </is>
      </c>
      <c r="B7131" s="1" t="n">
        <v>45785.94577546296</v>
      </c>
      <c r="C7131" s="1" t="n">
        <v>45971</v>
      </c>
      <c r="D7131" t="inlineStr">
        <is>
          <t>VÄSTERBOTTENS LÄN</t>
        </is>
      </c>
      <c r="E7131" t="inlineStr">
        <is>
          <t>VINDELN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22144-2025</t>
        </is>
      </c>
      <c r="B7132" s="1" t="n">
        <v>45785.55258101852</v>
      </c>
      <c r="C7132" s="1" t="n">
        <v>45971</v>
      </c>
      <c r="D7132" t="inlineStr">
        <is>
          <t>VÄSTERBOTTENS LÄN</t>
        </is>
      </c>
      <c r="E7132" t="inlineStr">
        <is>
          <t>ÅSELE</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49898-2025</t>
        </is>
      </c>
      <c r="B7133" s="1" t="n">
        <v>45940.58644675926</v>
      </c>
      <c r="C7133" s="1" t="n">
        <v>45971</v>
      </c>
      <c r="D7133" t="inlineStr">
        <is>
          <t>VÄSTERBOTTENS LÄN</t>
        </is>
      </c>
      <c r="E7133" t="inlineStr">
        <is>
          <t>UMEÅ</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31193-2023</t>
        </is>
      </c>
      <c r="B7134" s="1" t="n">
        <v>45113.94976851852</v>
      </c>
      <c r="C7134" s="1" t="n">
        <v>45971</v>
      </c>
      <c r="D7134" t="inlineStr">
        <is>
          <t>VÄSTERBOTTENS LÄN</t>
        </is>
      </c>
      <c r="E7134" t="inlineStr">
        <is>
          <t>ÅSELE</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42515-2023</t>
        </is>
      </c>
      <c r="B7135" s="1" t="n">
        <v>45180</v>
      </c>
      <c r="C7135" s="1" t="n">
        <v>45971</v>
      </c>
      <c r="D7135" t="inlineStr">
        <is>
          <t>VÄSTERBOTTENS LÄN</t>
        </is>
      </c>
      <c r="E7135" t="inlineStr">
        <is>
          <t>DOROTEA</t>
        </is>
      </c>
      <c r="F7135" t="inlineStr">
        <is>
          <t>SCA</t>
        </is>
      </c>
      <c r="G7135" t="n">
        <v>27.7</v>
      </c>
      <c r="H7135" t="n">
        <v>0</v>
      </c>
      <c r="I7135" t="n">
        <v>0</v>
      </c>
      <c r="J7135" t="n">
        <v>0</v>
      </c>
      <c r="K7135" t="n">
        <v>0</v>
      </c>
      <c r="L7135" t="n">
        <v>0</v>
      </c>
      <c r="M7135" t="n">
        <v>0</v>
      </c>
      <c r="N7135" t="n">
        <v>0</v>
      </c>
      <c r="O7135" t="n">
        <v>0</v>
      </c>
      <c r="P7135" t="n">
        <v>0</v>
      </c>
      <c r="Q7135" t="n">
        <v>0</v>
      </c>
      <c r="R7135" s="2" t="inlineStr"/>
    </row>
    <row r="7136" ht="15" customHeight="1">
      <c r="A7136" t="inlineStr">
        <is>
          <t>A 32474-2024</t>
        </is>
      </c>
      <c r="B7136" s="1" t="n">
        <v>45513.31015046296</v>
      </c>
      <c r="C7136" s="1" t="n">
        <v>45971</v>
      </c>
      <c r="D7136" t="inlineStr">
        <is>
          <t>VÄSTERBOTTENS LÄN</t>
        </is>
      </c>
      <c r="E7136" t="inlineStr">
        <is>
          <t>LYCKSELE</t>
        </is>
      </c>
      <c r="F7136" t="inlineStr">
        <is>
          <t>Holmen skog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63424-2023</t>
        </is>
      </c>
      <c r="B7137" s="1" t="n">
        <v>45274</v>
      </c>
      <c r="C7137" s="1" t="n">
        <v>45971</v>
      </c>
      <c r="D7137" t="inlineStr">
        <is>
          <t>VÄSTERBOTTENS LÄN</t>
        </is>
      </c>
      <c r="E7137" t="inlineStr">
        <is>
          <t>NORSJÖ</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15888-2024</t>
        </is>
      </c>
      <c r="B7138" s="1" t="n">
        <v>45405</v>
      </c>
      <c r="C7138" s="1" t="n">
        <v>45971</v>
      </c>
      <c r="D7138" t="inlineStr">
        <is>
          <t>VÄSTERBOTTENS LÄN</t>
        </is>
      </c>
      <c r="E7138" t="inlineStr">
        <is>
          <t>ROBERTSFORS</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67226-2020</t>
        </is>
      </c>
      <c r="B7139" s="1" t="n">
        <v>44180</v>
      </c>
      <c r="C7139" s="1" t="n">
        <v>45971</v>
      </c>
      <c r="D7139" t="inlineStr">
        <is>
          <t>VÄSTERBOTTENS LÄN</t>
        </is>
      </c>
      <c r="E7139" t="inlineStr">
        <is>
          <t>NORSJÖ</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54152-2024</t>
        </is>
      </c>
      <c r="B7140" s="1" t="n">
        <v>45616</v>
      </c>
      <c r="C7140" s="1" t="n">
        <v>45971</v>
      </c>
      <c r="D7140" t="inlineStr">
        <is>
          <t>VÄSTERBOTTENS LÄN</t>
        </is>
      </c>
      <c r="E7140" t="inlineStr">
        <is>
          <t>UMEÅ</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36493-2023</t>
        </is>
      </c>
      <c r="B7141" s="1" t="n">
        <v>45152.92484953703</v>
      </c>
      <c r="C7141" s="1" t="n">
        <v>45971</v>
      </c>
      <c r="D7141" t="inlineStr">
        <is>
          <t>VÄSTERBOTTENS LÄN</t>
        </is>
      </c>
      <c r="E7141" t="inlineStr">
        <is>
          <t>SKELLEFTEÅ</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36495-2023</t>
        </is>
      </c>
      <c r="B7142" s="1" t="n">
        <v>45152.92496527778</v>
      </c>
      <c r="C7142" s="1" t="n">
        <v>45971</v>
      </c>
      <c r="D7142" t="inlineStr">
        <is>
          <t>VÄSTERBOTTENS LÄN</t>
        </is>
      </c>
      <c r="E7142" t="inlineStr">
        <is>
          <t>SKELLEFTEÅ</t>
        </is>
      </c>
      <c r="G7142" t="n">
        <v>11.6</v>
      </c>
      <c r="H7142" t="n">
        <v>0</v>
      </c>
      <c r="I7142" t="n">
        <v>0</v>
      </c>
      <c r="J7142" t="n">
        <v>0</v>
      </c>
      <c r="K7142" t="n">
        <v>0</v>
      </c>
      <c r="L7142" t="n">
        <v>0</v>
      </c>
      <c r="M7142" t="n">
        <v>0</v>
      </c>
      <c r="N7142" t="n">
        <v>0</v>
      </c>
      <c r="O7142" t="n">
        <v>0</v>
      </c>
      <c r="P7142" t="n">
        <v>0</v>
      </c>
      <c r="Q7142" t="n">
        <v>0</v>
      </c>
      <c r="R7142" s="2" t="inlineStr"/>
    </row>
    <row r="7143" ht="15" customHeight="1">
      <c r="A7143" t="inlineStr">
        <is>
          <t>A 42104-2024</t>
        </is>
      </c>
      <c r="B7143" s="1" t="n">
        <v>45562</v>
      </c>
      <c r="C7143" s="1" t="n">
        <v>45971</v>
      </c>
      <c r="D7143" t="inlineStr">
        <is>
          <t>VÄSTERBOTTENS LÄN</t>
        </is>
      </c>
      <c r="E7143" t="inlineStr">
        <is>
          <t>DOROTEA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40909-2025</t>
        </is>
      </c>
      <c r="B7144" s="1" t="n">
        <v>45897</v>
      </c>
      <c r="C7144" s="1" t="n">
        <v>45971</v>
      </c>
      <c r="D7144" t="inlineStr">
        <is>
          <t>VÄSTERBOTTENS LÄN</t>
        </is>
      </c>
      <c r="E7144" t="inlineStr">
        <is>
          <t>BJURHOLM</t>
        </is>
      </c>
      <c r="F7144" t="inlineStr">
        <is>
          <t>SCA</t>
        </is>
      </c>
      <c r="G7144" t="n">
        <v>12.8</v>
      </c>
      <c r="H7144" t="n">
        <v>0</v>
      </c>
      <c r="I7144" t="n">
        <v>0</v>
      </c>
      <c r="J7144" t="n">
        <v>0</v>
      </c>
      <c r="K7144" t="n">
        <v>0</v>
      </c>
      <c r="L7144" t="n">
        <v>0</v>
      </c>
      <c r="M7144" t="n">
        <v>0</v>
      </c>
      <c r="N7144" t="n">
        <v>0</v>
      </c>
      <c r="O7144" t="n">
        <v>0</v>
      </c>
      <c r="P7144" t="n">
        <v>0</v>
      </c>
      <c r="Q7144" t="n">
        <v>0</v>
      </c>
      <c r="R7144" s="2" t="inlineStr"/>
    </row>
    <row r="7145" ht="15" customHeight="1">
      <c r="A7145" t="inlineStr">
        <is>
          <t>A 49684-2025</t>
        </is>
      </c>
      <c r="B7145" s="1" t="n">
        <v>45939.65523148148</v>
      </c>
      <c r="C7145" s="1" t="n">
        <v>45971</v>
      </c>
      <c r="D7145" t="inlineStr">
        <is>
          <t>VÄSTERBOTTENS LÄN</t>
        </is>
      </c>
      <c r="E7145" t="inlineStr">
        <is>
          <t>STORUMAN</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39165-2021</t>
        </is>
      </c>
      <c r="B7146" s="1" t="n">
        <v>44412</v>
      </c>
      <c r="C7146" s="1" t="n">
        <v>45971</v>
      </c>
      <c r="D7146" t="inlineStr">
        <is>
          <t>VÄSTERBOTTENS LÄN</t>
        </is>
      </c>
      <c r="E7146" t="inlineStr">
        <is>
          <t>LYCKSELE</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46501-2024</t>
        </is>
      </c>
      <c r="B7147" s="1" t="n">
        <v>45582.6006712963</v>
      </c>
      <c r="C7147" s="1" t="n">
        <v>45971</v>
      </c>
      <c r="D7147" t="inlineStr">
        <is>
          <t>VÄSTERBOTTENS LÄN</t>
        </is>
      </c>
      <c r="E7147" t="inlineStr">
        <is>
          <t>VÄNNÄS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26489-2024</t>
        </is>
      </c>
      <c r="B7148" s="1" t="n">
        <v>45469.5581712963</v>
      </c>
      <c r="C7148" s="1" t="n">
        <v>45971</v>
      </c>
      <c r="D7148" t="inlineStr">
        <is>
          <t>VÄSTERBOTTENS LÄN</t>
        </is>
      </c>
      <c r="E7148" t="inlineStr">
        <is>
          <t>VINDELN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23631-2024</t>
        </is>
      </c>
      <c r="B7149" s="1" t="n">
        <v>45454</v>
      </c>
      <c r="C7149" s="1" t="n">
        <v>45971</v>
      </c>
      <c r="D7149" t="inlineStr">
        <is>
          <t>VÄSTERBOTTENS LÄN</t>
        </is>
      </c>
      <c r="E7149" t="inlineStr">
        <is>
          <t>MALÅ</t>
        </is>
      </c>
      <c r="G7149" t="n">
        <v>9.4</v>
      </c>
      <c r="H7149" t="n">
        <v>0</v>
      </c>
      <c r="I7149" t="n">
        <v>0</v>
      </c>
      <c r="J7149" t="n">
        <v>0</v>
      </c>
      <c r="K7149" t="n">
        <v>0</v>
      </c>
      <c r="L7149" t="n">
        <v>0</v>
      </c>
      <c r="M7149" t="n">
        <v>0</v>
      </c>
      <c r="N7149" t="n">
        <v>0</v>
      </c>
      <c r="O7149" t="n">
        <v>0</v>
      </c>
      <c r="P7149" t="n">
        <v>0</v>
      </c>
      <c r="Q7149" t="n">
        <v>0</v>
      </c>
      <c r="R7149" s="2" t="inlineStr"/>
    </row>
    <row r="7150" ht="15" customHeight="1">
      <c r="A7150" t="inlineStr">
        <is>
          <t>A 50969-2024</t>
        </is>
      </c>
      <c r="B7150" s="1" t="n">
        <v>45603.33398148148</v>
      </c>
      <c r="C7150" s="1" t="n">
        <v>45971</v>
      </c>
      <c r="D7150" t="inlineStr">
        <is>
          <t>VÄSTERBOTTENS LÄN</t>
        </is>
      </c>
      <c r="E7150" t="inlineStr">
        <is>
          <t>NORDMALING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33132-2024</t>
        </is>
      </c>
      <c r="B7151" s="1" t="n">
        <v>45518.31344907408</v>
      </c>
      <c r="C7151" s="1" t="n">
        <v>45971</v>
      </c>
      <c r="D7151" t="inlineStr">
        <is>
          <t>VÄSTERBOTTENS LÄN</t>
        </is>
      </c>
      <c r="E7151" t="inlineStr">
        <is>
          <t>VINDELN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24696-2024</t>
        </is>
      </c>
      <c r="B7152" s="1" t="n">
        <v>45460</v>
      </c>
      <c r="C7152" s="1" t="n">
        <v>45971</v>
      </c>
      <c r="D7152" t="inlineStr">
        <is>
          <t>VÄSTERBOTTENS LÄN</t>
        </is>
      </c>
      <c r="E7152" t="inlineStr">
        <is>
          <t>SKELLEFTEÅ</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33206-2024</t>
        </is>
      </c>
      <c r="B7153" s="1" t="n">
        <v>45518</v>
      </c>
      <c r="C7153" s="1" t="n">
        <v>45971</v>
      </c>
      <c r="D7153" t="inlineStr">
        <is>
          <t>VÄSTERBOTTENS LÄN</t>
        </is>
      </c>
      <c r="E7153" t="inlineStr">
        <is>
          <t>VINDELN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48448-2024</t>
        </is>
      </c>
      <c r="B7154" s="1" t="n">
        <v>45590.70138888889</v>
      </c>
      <c r="C7154" s="1" t="n">
        <v>45971</v>
      </c>
      <c r="D7154" t="inlineStr">
        <is>
          <t>VÄSTERBOTTENS LÄN</t>
        </is>
      </c>
      <c r="E7154" t="inlineStr">
        <is>
          <t>UMEÅ</t>
        </is>
      </c>
      <c r="F7154" t="inlineStr">
        <is>
          <t>Holmen skog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41285-2024</t>
        </is>
      </c>
      <c r="B7155" s="1" t="n">
        <v>45559.5952662037</v>
      </c>
      <c r="C7155" s="1" t="n">
        <v>45971</v>
      </c>
      <c r="D7155" t="inlineStr">
        <is>
          <t>VÄSTERBOTTENS LÄN</t>
        </is>
      </c>
      <c r="E7155" t="inlineStr">
        <is>
          <t>LYCKSELE</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36032-2024</t>
        </is>
      </c>
      <c r="B7156" s="1" t="n">
        <v>45533</v>
      </c>
      <c r="C7156" s="1" t="n">
        <v>45971</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22095-2025</t>
        </is>
      </c>
      <c r="B7157" s="1" t="n">
        <v>45785.46921296296</v>
      </c>
      <c r="C7157" s="1" t="n">
        <v>45971</v>
      </c>
      <c r="D7157" t="inlineStr">
        <is>
          <t>VÄSTERBOTTENS LÄN</t>
        </is>
      </c>
      <c r="E7157" t="inlineStr">
        <is>
          <t>BJURHOLM</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50549-2023</t>
        </is>
      </c>
      <c r="B7158" s="1" t="n">
        <v>45217.36358796297</v>
      </c>
      <c r="C7158" s="1" t="n">
        <v>45971</v>
      </c>
      <c r="D7158" t="inlineStr">
        <is>
          <t>VÄSTERBOTTENS LÄN</t>
        </is>
      </c>
      <c r="E7158" t="inlineStr">
        <is>
          <t>SKELLEFTEÅ</t>
        </is>
      </c>
      <c r="F7158" t="inlineStr">
        <is>
          <t>Holmen skog AB</t>
        </is>
      </c>
      <c r="G7158" t="n">
        <v>28.5</v>
      </c>
      <c r="H7158" t="n">
        <v>0</v>
      </c>
      <c r="I7158" t="n">
        <v>0</v>
      </c>
      <c r="J7158" t="n">
        <v>0</v>
      </c>
      <c r="K7158" t="n">
        <v>0</v>
      </c>
      <c r="L7158" t="n">
        <v>0</v>
      </c>
      <c r="M7158" t="n">
        <v>0</v>
      </c>
      <c r="N7158" t="n">
        <v>0</v>
      </c>
      <c r="O7158" t="n">
        <v>0</v>
      </c>
      <c r="P7158" t="n">
        <v>0</v>
      </c>
      <c r="Q7158" t="n">
        <v>0</v>
      </c>
      <c r="R7158" s="2" t="inlineStr"/>
    </row>
    <row r="7159" ht="15" customHeight="1">
      <c r="A7159" t="inlineStr">
        <is>
          <t>A 41177-2024</t>
        </is>
      </c>
      <c r="B7159" s="1" t="n">
        <v>45559.49118055555</v>
      </c>
      <c r="C7159" s="1" t="n">
        <v>45971</v>
      </c>
      <c r="D7159" t="inlineStr">
        <is>
          <t>VÄSTERBOTTENS LÄN</t>
        </is>
      </c>
      <c r="E7159" t="inlineStr">
        <is>
          <t>UMEÅ</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45361-2024</t>
        </is>
      </c>
      <c r="B7160" s="1" t="n">
        <v>45576.48423611111</v>
      </c>
      <c r="C7160" s="1" t="n">
        <v>45971</v>
      </c>
      <c r="D7160" t="inlineStr">
        <is>
          <t>VÄSTERBOTTENS LÄN</t>
        </is>
      </c>
      <c r="E7160" t="inlineStr">
        <is>
          <t>LYCKSELE</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15082-2023</t>
        </is>
      </c>
      <c r="B7161" s="1" t="n">
        <v>45016</v>
      </c>
      <c r="C7161" s="1" t="n">
        <v>45971</v>
      </c>
      <c r="D7161" t="inlineStr">
        <is>
          <t>VÄSTERBOTTENS LÄN</t>
        </is>
      </c>
      <c r="E7161" t="inlineStr">
        <is>
          <t>ÅSELE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58670-2024</t>
        </is>
      </c>
      <c r="B7162" s="1" t="n">
        <v>45634</v>
      </c>
      <c r="C7162" s="1" t="n">
        <v>45971</v>
      </c>
      <c r="D7162" t="inlineStr">
        <is>
          <t>VÄSTERBOTTENS LÄN</t>
        </is>
      </c>
      <c r="E7162" t="inlineStr">
        <is>
          <t>SORSELE</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58708-2024</t>
        </is>
      </c>
      <c r="B7163" s="1" t="n">
        <v>45635</v>
      </c>
      <c r="C7163" s="1" t="n">
        <v>45971</v>
      </c>
      <c r="D7163" t="inlineStr">
        <is>
          <t>VÄSTERBOTTENS LÄN</t>
        </is>
      </c>
      <c r="E7163" t="inlineStr">
        <is>
          <t>UMEÅ</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1502-2025</t>
        </is>
      </c>
      <c r="B7164" s="1" t="n">
        <v>45670.42223379629</v>
      </c>
      <c r="C7164" s="1" t="n">
        <v>45971</v>
      </c>
      <c r="D7164" t="inlineStr">
        <is>
          <t>VÄSTERBOTTENS LÄN</t>
        </is>
      </c>
      <c r="E7164" t="inlineStr">
        <is>
          <t>UMEÅ</t>
        </is>
      </c>
      <c r="G7164" t="n">
        <v>8.9</v>
      </c>
      <c r="H7164" t="n">
        <v>0</v>
      </c>
      <c r="I7164" t="n">
        <v>0</v>
      </c>
      <c r="J7164" t="n">
        <v>0</v>
      </c>
      <c r="K7164" t="n">
        <v>0</v>
      </c>
      <c r="L7164" t="n">
        <v>0</v>
      </c>
      <c r="M7164" t="n">
        <v>0</v>
      </c>
      <c r="N7164" t="n">
        <v>0</v>
      </c>
      <c r="O7164" t="n">
        <v>0</v>
      </c>
      <c r="P7164" t="n">
        <v>0</v>
      </c>
      <c r="Q7164" t="n">
        <v>0</v>
      </c>
      <c r="R7164" s="2" t="inlineStr"/>
    </row>
    <row r="7165" ht="15" customHeight="1">
      <c r="A7165" t="inlineStr">
        <is>
          <t>A 22657-2025</t>
        </is>
      </c>
      <c r="B7165" s="1" t="n">
        <v>45789.47297453704</v>
      </c>
      <c r="C7165" s="1" t="n">
        <v>45971</v>
      </c>
      <c r="D7165" t="inlineStr">
        <is>
          <t>VÄSTERBOTTENS LÄN</t>
        </is>
      </c>
      <c r="E7165" t="inlineStr">
        <is>
          <t>UMEÅ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42329-2023</t>
        </is>
      </c>
      <c r="B7166" s="1" t="n">
        <v>45175</v>
      </c>
      <c r="C7166" s="1" t="n">
        <v>45971</v>
      </c>
      <c r="D7166" t="inlineStr">
        <is>
          <t>VÄSTERBOTTENS LÄN</t>
        </is>
      </c>
      <c r="E7166" t="inlineStr">
        <is>
          <t>SKELLEFTEÅ</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30686-2023</t>
        </is>
      </c>
      <c r="B7167" s="1" t="n">
        <v>45112</v>
      </c>
      <c r="C7167" s="1" t="n">
        <v>45971</v>
      </c>
      <c r="D7167" t="inlineStr">
        <is>
          <t>VÄSTERBOTTENS LÄN</t>
        </is>
      </c>
      <c r="E7167" t="inlineStr">
        <is>
          <t>SKELLEFTEÅ</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40593-2023</t>
        </is>
      </c>
      <c r="B7168" s="1" t="n">
        <v>45170</v>
      </c>
      <c r="C7168" s="1" t="n">
        <v>45971</v>
      </c>
      <c r="D7168" t="inlineStr">
        <is>
          <t>VÄSTERBOTTENS LÄN</t>
        </is>
      </c>
      <c r="E7168" t="inlineStr">
        <is>
          <t>MALÅ</t>
        </is>
      </c>
      <c r="F7168" t="inlineStr">
        <is>
          <t>Sveaskog</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22423-2025</t>
        </is>
      </c>
      <c r="B7169" s="1" t="n">
        <v>45786.5633912037</v>
      </c>
      <c r="C7169" s="1" t="n">
        <v>45971</v>
      </c>
      <c r="D7169" t="inlineStr">
        <is>
          <t>VÄSTERBOTTENS LÄN</t>
        </is>
      </c>
      <c r="E7169" t="inlineStr">
        <is>
          <t>LYCKSELE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41126-2025</t>
        </is>
      </c>
      <c r="B7170" s="1" t="n">
        <v>45898.47530092593</v>
      </c>
      <c r="C7170" s="1" t="n">
        <v>45971</v>
      </c>
      <c r="D7170" t="inlineStr">
        <is>
          <t>VÄSTERBOTTENS LÄN</t>
        </is>
      </c>
      <c r="E7170" t="inlineStr">
        <is>
          <t>STORUMAN</t>
        </is>
      </c>
      <c r="F7170" t="inlineStr">
        <is>
          <t>Sveaskog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41131-2025</t>
        </is>
      </c>
      <c r="B7171" s="1" t="n">
        <v>45898.48043981481</v>
      </c>
      <c r="C7171" s="1" t="n">
        <v>45971</v>
      </c>
      <c r="D7171" t="inlineStr">
        <is>
          <t>VÄSTERBOTTENS LÄN</t>
        </is>
      </c>
      <c r="E7171" t="inlineStr">
        <is>
          <t>NORDMALING</t>
        </is>
      </c>
      <c r="G7171" t="n">
        <v>12.5</v>
      </c>
      <c r="H7171" t="n">
        <v>0</v>
      </c>
      <c r="I7171" t="n">
        <v>0</v>
      </c>
      <c r="J7171" t="n">
        <v>0</v>
      </c>
      <c r="K7171" t="n">
        <v>0</v>
      </c>
      <c r="L7171" t="n">
        <v>0</v>
      </c>
      <c r="M7171" t="n">
        <v>0</v>
      </c>
      <c r="N7171" t="n">
        <v>0</v>
      </c>
      <c r="O7171" t="n">
        <v>0</v>
      </c>
      <c r="P7171" t="n">
        <v>0</v>
      </c>
      <c r="Q7171" t="n">
        <v>0</v>
      </c>
      <c r="R7171" s="2" t="inlineStr"/>
    </row>
    <row r="7172" ht="15" customHeight="1">
      <c r="A7172" t="inlineStr">
        <is>
          <t>A 49489-2025</t>
        </is>
      </c>
      <c r="B7172" s="1" t="n">
        <v>45939.36525462963</v>
      </c>
      <c r="C7172" s="1" t="n">
        <v>45971</v>
      </c>
      <c r="D7172" t="inlineStr">
        <is>
          <t>VÄSTERBOTTENS LÄN</t>
        </is>
      </c>
      <c r="E7172" t="inlineStr">
        <is>
          <t>DOROTEA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22833-2025</t>
        </is>
      </c>
      <c r="B7173" s="1" t="n">
        <v>45789.89773148148</v>
      </c>
      <c r="C7173" s="1" t="n">
        <v>45971</v>
      </c>
      <c r="D7173" t="inlineStr">
        <is>
          <t>VÄSTERBOTTENS LÄN</t>
        </is>
      </c>
      <c r="E7173" t="inlineStr">
        <is>
          <t>NORDMALING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9724-2024</t>
        </is>
      </c>
      <c r="B7174" s="1" t="n">
        <v>45362</v>
      </c>
      <c r="C7174" s="1" t="n">
        <v>45971</v>
      </c>
      <c r="D7174" t="inlineStr">
        <is>
          <t>VÄSTERBOTTENS LÄN</t>
        </is>
      </c>
      <c r="E7174" t="inlineStr">
        <is>
          <t>NORSJÖ</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40505-2024</t>
        </is>
      </c>
      <c r="B7175" s="1" t="n">
        <v>45555.57373842593</v>
      </c>
      <c r="C7175" s="1" t="n">
        <v>45971</v>
      </c>
      <c r="D7175" t="inlineStr">
        <is>
          <t>VÄSTERBOTTENS LÄN</t>
        </is>
      </c>
      <c r="E7175" t="inlineStr">
        <is>
          <t>VILHELMINA</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22551-2025</t>
        </is>
      </c>
      <c r="B7176" s="1" t="n">
        <v>45788.65594907408</v>
      </c>
      <c r="C7176" s="1" t="n">
        <v>45971</v>
      </c>
      <c r="D7176" t="inlineStr">
        <is>
          <t>VÄSTERBOTTENS LÄN</t>
        </is>
      </c>
      <c r="E7176" t="inlineStr">
        <is>
          <t>NORSJÖ</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55645-2024</t>
        </is>
      </c>
      <c r="B7177" s="1" t="n">
        <v>45621</v>
      </c>
      <c r="C7177" s="1" t="n">
        <v>45971</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55657-2024</t>
        </is>
      </c>
      <c r="B7178" s="1" t="n">
        <v>45622.63604166666</v>
      </c>
      <c r="C7178" s="1" t="n">
        <v>45971</v>
      </c>
      <c r="D7178" t="inlineStr">
        <is>
          <t>VÄSTERBOTTENS LÄN</t>
        </is>
      </c>
      <c r="E7178" t="inlineStr">
        <is>
          <t>ÅSELE</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22732-2025</t>
        </is>
      </c>
      <c r="B7179" s="1" t="n">
        <v>45789.58261574074</v>
      </c>
      <c r="C7179" s="1" t="n">
        <v>45971</v>
      </c>
      <c r="D7179" t="inlineStr">
        <is>
          <t>VÄSTERBOTTENS LÄN</t>
        </is>
      </c>
      <c r="E7179" t="inlineStr">
        <is>
          <t>LYCKSELE</t>
        </is>
      </c>
      <c r="F7179" t="inlineStr">
        <is>
          <t>Sveaskog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45990-2024</t>
        </is>
      </c>
      <c r="B7180" s="1" t="n">
        <v>45580.62873842593</v>
      </c>
      <c r="C7180" s="1" t="n">
        <v>45971</v>
      </c>
      <c r="D7180" t="inlineStr">
        <is>
          <t>VÄSTERBOTTENS LÄN</t>
        </is>
      </c>
      <c r="E7180" t="inlineStr">
        <is>
          <t>NORSJÖ</t>
        </is>
      </c>
      <c r="F7180" t="inlineStr">
        <is>
          <t>Holmen skog AB</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18368-2024</t>
        </is>
      </c>
      <c r="B7181" s="1" t="n">
        <v>45422</v>
      </c>
      <c r="C7181" s="1" t="n">
        <v>45971</v>
      </c>
      <c r="D7181" t="inlineStr">
        <is>
          <t>VÄSTERBOTTENS LÄN</t>
        </is>
      </c>
      <c r="E7181" t="inlineStr">
        <is>
          <t>SKELLEFTEÅ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55743-2024</t>
        </is>
      </c>
      <c r="B7182" s="1" t="n">
        <v>45623.30952546297</v>
      </c>
      <c r="C7182" s="1" t="n">
        <v>45971</v>
      </c>
      <c r="D7182" t="inlineStr">
        <is>
          <t>VÄSTERBOTTENS LÄN</t>
        </is>
      </c>
      <c r="E7182" t="inlineStr">
        <is>
          <t>SKELLEFTEÅ</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48045-2024</t>
        </is>
      </c>
      <c r="B7183" s="1" t="n">
        <v>45589</v>
      </c>
      <c r="C7183" s="1" t="n">
        <v>45971</v>
      </c>
      <c r="D7183" t="inlineStr">
        <is>
          <t>VÄSTERBOTTENS LÄN</t>
        </is>
      </c>
      <c r="E7183" t="inlineStr">
        <is>
          <t>SORSELE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49494-2025</t>
        </is>
      </c>
      <c r="B7184" s="1" t="n">
        <v>45939.36633101852</v>
      </c>
      <c r="C7184" s="1" t="n">
        <v>45971</v>
      </c>
      <c r="D7184" t="inlineStr">
        <is>
          <t>VÄSTERBOTTENS LÄN</t>
        </is>
      </c>
      <c r="E7184" t="inlineStr">
        <is>
          <t>MALÅ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41163-2025</t>
        </is>
      </c>
      <c r="B7185" s="1" t="n">
        <v>45898.53366898148</v>
      </c>
      <c r="C7185" s="1" t="n">
        <v>45971</v>
      </c>
      <c r="D7185" t="inlineStr">
        <is>
          <t>VÄSTERBOTTENS LÄN</t>
        </is>
      </c>
      <c r="E7185" t="inlineStr">
        <is>
          <t>UMEÅ</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41171-2025</t>
        </is>
      </c>
      <c r="B7186" s="1" t="n">
        <v>45898</v>
      </c>
      <c r="C7186" s="1" t="n">
        <v>45971</v>
      </c>
      <c r="D7186" t="inlineStr">
        <is>
          <t>VÄSTERBOTTENS LÄN</t>
        </is>
      </c>
      <c r="E7186" t="inlineStr">
        <is>
          <t>VILHELMINA</t>
        </is>
      </c>
      <c r="F7186" t="inlineStr">
        <is>
          <t>Övriga Aktiebolag</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60225-2024</t>
        </is>
      </c>
      <c r="B7187" s="1" t="n">
        <v>45642.71113425926</v>
      </c>
      <c r="C7187" s="1" t="n">
        <v>45971</v>
      </c>
      <c r="D7187" t="inlineStr">
        <is>
          <t>VÄSTERBOTTENS LÄN</t>
        </is>
      </c>
      <c r="E7187" t="inlineStr">
        <is>
          <t>ROBERTSFORS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43535-2024</t>
        </is>
      </c>
      <c r="B7188" s="1" t="n">
        <v>45569.35552083333</v>
      </c>
      <c r="C7188" s="1" t="n">
        <v>45971</v>
      </c>
      <c r="D7188" t="inlineStr">
        <is>
          <t>VÄSTERBOTTENS LÄN</t>
        </is>
      </c>
      <c r="E7188" t="inlineStr">
        <is>
          <t>VINDELN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22896-2025</t>
        </is>
      </c>
      <c r="B7189" s="1" t="n">
        <v>45790.40627314815</v>
      </c>
      <c r="C7189" s="1" t="n">
        <v>45971</v>
      </c>
      <c r="D7189" t="inlineStr">
        <is>
          <t>VÄSTERBOTTENS LÄN</t>
        </is>
      </c>
      <c r="E7189" t="inlineStr">
        <is>
          <t>VINDELN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58542-2024</t>
        </is>
      </c>
      <c r="B7190" s="1" t="n">
        <v>45635.45708333333</v>
      </c>
      <c r="C7190" s="1" t="n">
        <v>45971</v>
      </c>
      <c r="D7190" t="inlineStr">
        <is>
          <t>VÄSTERBOTTENS LÄN</t>
        </is>
      </c>
      <c r="E7190" t="inlineStr">
        <is>
          <t>SKELLEFTEÅ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58544-2024</t>
        </is>
      </c>
      <c r="B7191" s="1" t="n">
        <v>45635.45777777778</v>
      </c>
      <c r="C7191" s="1" t="n">
        <v>45971</v>
      </c>
      <c r="D7191" t="inlineStr">
        <is>
          <t>VÄSTERBOTTENS LÄN</t>
        </is>
      </c>
      <c r="E7191" t="inlineStr">
        <is>
          <t>VINDELN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37159-2023</t>
        </is>
      </c>
      <c r="B7192" s="1" t="n">
        <v>45154</v>
      </c>
      <c r="C7192" s="1" t="n">
        <v>45971</v>
      </c>
      <c r="D7192" t="inlineStr">
        <is>
          <t>VÄSTERBOTTENS LÄN</t>
        </is>
      </c>
      <c r="E7192" t="inlineStr">
        <is>
          <t>MALÅ</t>
        </is>
      </c>
      <c r="G7192" t="n">
        <v>63.5</v>
      </c>
      <c r="H7192" t="n">
        <v>0</v>
      </c>
      <c r="I7192" t="n">
        <v>0</v>
      </c>
      <c r="J7192" t="n">
        <v>0</v>
      </c>
      <c r="K7192" t="n">
        <v>0</v>
      </c>
      <c r="L7192" t="n">
        <v>0</v>
      </c>
      <c r="M7192" t="n">
        <v>0</v>
      </c>
      <c r="N7192" t="n">
        <v>0</v>
      </c>
      <c r="O7192" t="n">
        <v>0</v>
      </c>
      <c r="P7192" t="n">
        <v>0</v>
      </c>
      <c r="Q7192" t="n">
        <v>0</v>
      </c>
      <c r="R7192" s="2" t="inlineStr"/>
    </row>
    <row r="7193" ht="15" customHeight="1">
      <c r="A7193" t="inlineStr">
        <is>
          <t>A 37250-2023</t>
        </is>
      </c>
      <c r="B7193" s="1" t="n">
        <v>45155</v>
      </c>
      <c r="C7193" s="1" t="n">
        <v>45971</v>
      </c>
      <c r="D7193" t="inlineStr">
        <is>
          <t>VÄSTERBOTTENS LÄN</t>
        </is>
      </c>
      <c r="E7193" t="inlineStr">
        <is>
          <t>VINDELN</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39677-2024</t>
        </is>
      </c>
      <c r="B7194" s="1" t="n">
        <v>45552</v>
      </c>
      <c r="C7194" s="1" t="n">
        <v>45971</v>
      </c>
      <c r="D7194" t="inlineStr">
        <is>
          <t>VÄSTERBOTTENS LÄN</t>
        </is>
      </c>
      <c r="E7194" t="inlineStr">
        <is>
          <t>VILHELMINA</t>
        </is>
      </c>
      <c r="F7194" t="inlineStr">
        <is>
          <t>SCA</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44820-2024</t>
        </is>
      </c>
      <c r="B7195" s="1" t="n">
        <v>45574</v>
      </c>
      <c r="C7195" s="1" t="n">
        <v>45971</v>
      </c>
      <c r="D7195" t="inlineStr">
        <is>
          <t>VÄSTERBOTTENS LÄN</t>
        </is>
      </c>
      <c r="E7195" t="inlineStr">
        <is>
          <t>DOROTEA</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40715-2025</t>
        </is>
      </c>
      <c r="B7196" s="1" t="n">
        <v>45897</v>
      </c>
      <c r="C7196" s="1" t="n">
        <v>45971</v>
      </c>
      <c r="D7196" t="inlineStr">
        <is>
          <t>VÄSTERBOTTENS LÄN</t>
        </is>
      </c>
      <c r="E7196" t="inlineStr">
        <is>
          <t>BJURHOLM</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40735-2025</t>
        </is>
      </c>
      <c r="B7197" s="1" t="n">
        <v>45897.36552083334</v>
      </c>
      <c r="C7197" s="1" t="n">
        <v>45971</v>
      </c>
      <c r="D7197" t="inlineStr">
        <is>
          <t>VÄSTERBOTTENS LÄN</t>
        </is>
      </c>
      <c r="E7197" t="inlineStr">
        <is>
          <t>VINDELN</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40736-2025</t>
        </is>
      </c>
      <c r="B7198" s="1" t="n">
        <v>45897.36565972222</v>
      </c>
      <c r="C7198" s="1" t="n">
        <v>45971</v>
      </c>
      <c r="D7198" t="inlineStr">
        <is>
          <t>VÄSTERBOTTENS LÄN</t>
        </is>
      </c>
      <c r="E7198" t="inlineStr">
        <is>
          <t>UMEÅ</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22912-2025</t>
        </is>
      </c>
      <c r="B7199" s="1" t="n">
        <v>45790</v>
      </c>
      <c r="C7199" s="1" t="n">
        <v>45971</v>
      </c>
      <c r="D7199" t="inlineStr">
        <is>
          <t>VÄSTERBOTTENS LÄN</t>
        </is>
      </c>
      <c r="E7199" t="inlineStr">
        <is>
          <t>UMEÅ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41058-2025</t>
        </is>
      </c>
      <c r="B7200" s="1" t="n">
        <v>45898.40689814815</v>
      </c>
      <c r="C7200" s="1" t="n">
        <v>45971</v>
      </c>
      <c r="D7200" t="inlineStr">
        <is>
          <t>VÄSTERBOTTENS LÄN</t>
        </is>
      </c>
      <c r="E7200" t="inlineStr">
        <is>
          <t>SKELLEFTEÅ</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22752-2025</t>
        </is>
      </c>
      <c r="B7201" s="1" t="n">
        <v>45789</v>
      </c>
      <c r="C7201" s="1" t="n">
        <v>45971</v>
      </c>
      <c r="D7201" t="inlineStr">
        <is>
          <t>VÄSTERBOTTENS LÄN</t>
        </is>
      </c>
      <c r="E7201" t="inlineStr">
        <is>
          <t>DOROTEA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49803-2025</t>
        </is>
      </c>
      <c r="B7202" s="1" t="n">
        <v>45940.41320601852</v>
      </c>
      <c r="C7202" s="1" t="n">
        <v>45971</v>
      </c>
      <c r="D7202" t="inlineStr">
        <is>
          <t>VÄSTERBOTTENS LÄN</t>
        </is>
      </c>
      <c r="E7202" t="inlineStr">
        <is>
          <t>LYCKSELE</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23018-2025</t>
        </is>
      </c>
      <c r="B7203" s="1" t="n">
        <v>45790.6446875</v>
      </c>
      <c r="C7203" s="1" t="n">
        <v>45971</v>
      </c>
      <c r="D7203" t="inlineStr">
        <is>
          <t>VÄSTERBOTTENS LÄN</t>
        </is>
      </c>
      <c r="E7203" t="inlineStr">
        <is>
          <t>SKELLEFTEÅ</t>
        </is>
      </c>
      <c r="F7203" t="inlineStr">
        <is>
          <t>Holmen skog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11634-2023</t>
        </is>
      </c>
      <c r="B7204" s="1" t="n">
        <v>44992</v>
      </c>
      <c r="C7204" s="1" t="n">
        <v>45971</v>
      </c>
      <c r="D7204" t="inlineStr">
        <is>
          <t>VÄSTERBOTTENS LÄN</t>
        </is>
      </c>
      <c r="E7204" t="inlineStr">
        <is>
          <t>SORSELE</t>
        </is>
      </c>
      <c r="G7204" t="n">
        <v>12.4</v>
      </c>
      <c r="H7204" t="n">
        <v>0</v>
      </c>
      <c r="I7204" t="n">
        <v>0</v>
      </c>
      <c r="J7204" t="n">
        <v>0</v>
      </c>
      <c r="K7204" t="n">
        <v>0</v>
      </c>
      <c r="L7204" t="n">
        <v>0</v>
      </c>
      <c r="M7204" t="n">
        <v>0</v>
      </c>
      <c r="N7204" t="n">
        <v>0</v>
      </c>
      <c r="O7204" t="n">
        <v>0</v>
      </c>
      <c r="P7204" t="n">
        <v>0</v>
      </c>
      <c r="Q7204" t="n">
        <v>0</v>
      </c>
      <c r="R7204" s="2" t="inlineStr"/>
    </row>
    <row r="7205" ht="15" customHeight="1">
      <c r="A7205" t="inlineStr">
        <is>
          <t>A 23029-2025</t>
        </is>
      </c>
      <c r="B7205" s="1" t="n">
        <v>45790.65723379629</v>
      </c>
      <c r="C7205" s="1" t="n">
        <v>45971</v>
      </c>
      <c r="D7205" t="inlineStr">
        <is>
          <t>VÄSTERBOTTENS LÄN</t>
        </is>
      </c>
      <c r="E7205" t="inlineStr">
        <is>
          <t>NORDMALING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23041-2025</t>
        </is>
      </c>
      <c r="B7206" s="1" t="n">
        <v>45790.66664351852</v>
      </c>
      <c r="C7206" s="1" t="n">
        <v>45971</v>
      </c>
      <c r="D7206" t="inlineStr">
        <is>
          <t>VÄSTERBOTTENS LÄN</t>
        </is>
      </c>
      <c r="E7206" t="inlineStr">
        <is>
          <t>NORDMALING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23074-2025</t>
        </is>
      </c>
      <c r="B7207" s="1" t="n">
        <v>45790</v>
      </c>
      <c r="C7207" s="1" t="n">
        <v>45971</v>
      </c>
      <c r="D7207" t="inlineStr">
        <is>
          <t>VÄSTERBOTTENS LÄN</t>
        </is>
      </c>
      <c r="E7207" t="inlineStr">
        <is>
          <t>BJURHOLM</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49464-2025</t>
        </is>
      </c>
      <c r="B7208" s="1" t="n">
        <v>45939.32709490741</v>
      </c>
      <c r="C7208" s="1" t="n">
        <v>45971</v>
      </c>
      <c r="D7208" t="inlineStr">
        <is>
          <t>VÄSTERBOTTENS LÄN</t>
        </is>
      </c>
      <c r="E7208" t="inlineStr">
        <is>
          <t>ÅSELE</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15664-2025</t>
        </is>
      </c>
      <c r="B7209" s="1" t="n">
        <v>45748</v>
      </c>
      <c r="C7209" s="1" t="n">
        <v>45971</v>
      </c>
      <c r="D7209" t="inlineStr">
        <is>
          <t>VÄSTERBOTTENS LÄN</t>
        </is>
      </c>
      <c r="E7209" t="inlineStr">
        <is>
          <t>UMEÅ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51380-2023</t>
        </is>
      </c>
      <c r="B7210" s="1" t="n">
        <v>45219</v>
      </c>
      <c r="C7210" s="1" t="n">
        <v>45971</v>
      </c>
      <c r="D7210" t="inlineStr">
        <is>
          <t>VÄSTERBOTTENS LÄN</t>
        </is>
      </c>
      <c r="E7210" t="inlineStr">
        <is>
          <t>MALÅ</t>
        </is>
      </c>
      <c r="F7210" t="inlineStr">
        <is>
          <t>Sveaskog</t>
        </is>
      </c>
      <c r="G7210" t="n">
        <v>21.5</v>
      </c>
      <c r="H7210" t="n">
        <v>0</v>
      </c>
      <c r="I7210" t="n">
        <v>0</v>
      </c>
      <c r="J7210" t="n">
        <v>0</v>
      </c>
      <c r="K7210" t="n">
        <v>0</v>
      </c>
      <c r="L7210" t="n">
        <v>0</v>
      </c>
      <c r="M7210" t="n">
        <v>0</v>
      </c>
      <c r="N7210" t="n">
        <v>0</v>
      </c>
      <c r="O7210" t="n">
        <v>0</v>
      </c>
      <c r="P7210" t="n">
        <v>0</v>
      </c>
      <c r="Q7210" t="n">
        <v>0</v>
      </c>
      <c r="R7210" s="2" t="inlineStr"/>
    </row>
    <row r="7211" ht="15" customHeight="1">
      <c r="A7211" t="inlineStr">
        <is>
          <t>A 49541-2025</t>
        </is>
      </c>
      <c r="B7211" s="1" t="n">
        <v>45939.42748842593</v>
      </c>
      <c r="C7211" s="1" t="n">
        <v>45971</v>
      </c>
      <c r="D7211" t="inlineStr">
        <is>
          <t>VÄSTERBOTTENS LÄN</t>
        </is>
      </c>
      <c r="E7211" t="inlineStr">
        <is>
          <t>MALÅ</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49623-2025</t>
        </is>
      </c>
      <c r="B7212" s="1" t="n">
        <v>45939.59351851852</v>
      </c>
      <c r="C7212" s="1" t="n">
        <v>45971</v>
      </c>
      <c r="D7212" t="inlineStr">
        <is>
          <t>VÄSTERBOTTENS LÄN</t>
        </is>
      </c>
      <c r="E7212" t="inlineStr">
        <is>
          <t>ÅSELE</t>
        </is>
      </c>
      <c r="F7212" t="inlineStr">
        <is>
          <t>Holmen skog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40874-2025</t>
        </is>
      </c>
      <c r="B7213" s="1" t="n">
        <v>45897.57534722222</v>
      </c>
      <c r="C7213" s="1" t="n">
        <v>45971</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41055-2025</t>
        </is>
      </c>
      <c r="B7214" s="1" t="n">
        <v>45898</v>
      </c>
      <c r="C7214" s="1" t="n">
        <v>45971</v>
      </c>
      <c r="D7214" t="inlineStr">
        <is>
          <t>VÄSTERBOTTENS LÄN</t>
        </is>
      </c>
      <c r="E7214" t="inlineStr">
        <is>
          <t>DOROTEA</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41087-2025</t>
        </is>
      </c>
      <c r="B7215" s="1" t="n">
        <v>45898.43600694444</v>
      </c>
      <c r="C7215" s="1" t="n">
        <v>45971</v>
      </c>
      <c r="D7215" t="inlineStr">
        <is>
          <t>VÄSTERBOTTENS LÄN</t>
        </is>
      </c>
      <c r="E7215" t="inlineStr">
        <is>
          <t>LYCKSELE</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22921-2025</t>
        </is>
      </c>
      <c r="B7216" s="1" t="n">
        <v>45790.43959490741</v>
      </c>
      <c r="C7216" s="1" t="n">
        <v>45971</v>
      </c>
      <c r="D7216" t="inlineStr">
        <is>
          <t>VÄSTERBOTTENS LÄN</t>
        </is>
      </c>
      <c r="E7216" t="inlineStr">
        <is>
          <t>SKELLEFTEÅ</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39233-2025</t>
        </is>
      </c>
      <c r="B7217" s="1" t="n">
        <v>45889</v>
      </c>
      <c r="C7217" s="1" t="n">
        <v>45971</v>
      </c>
      <c r="D7217" t="inlineStr">
        <is>
          <t>VÄSTERBOTTENS LÄN</t>
        </is>
      </c>
      <c r="E7217" t="inlineStr">
        <is>
          <t>UMEÅ</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22759-2025</t>
        </is>
      </c>
      <c r="B7218" s="1" t="n">
        <v>45789.61988425926</v>
      </c>
      <c r="C7218" s="1" t="n">
        <v>45971</v>
      </c>
      <c r="D7218" t="inlineStr">
        <is>
          <t>VÄSTERBOTTENS LÄN</t>
        </is>
      </c>
      <c r="E7218" t="inlineStr">
        <is>
          <t>LYCKSELE</t>
        </is>
      </c>
      <c r="F7218" t="inlineStr">
        <is>
          <t>Sveaskog</t>
        </is>
      </c>
      <c r="G7218" t="n">
        <v>25.5</v>
      </c>
      <c r="H7218" t="n">
        <v>0</v>
      </c>
      <c r="I7218" t="n">
        <v>0</v>
      </c>
      <c r="J7218" t="n">
        <v>0</v>
      </c>
      <c r="K7218" t="n">
        <v>0</v>
      </c>
      <c r="L7218" t="n">
        <v>0</v>
      </c>
      <c r="M7218" t="n">
        <v>0</v>
      </c>
      <c r="N7218" t="n">
        <v>0</v>
      </c>
      <c r="O7218" t="n">
        <v>0</v>
      </c>
      <c r="P7218" t="n">
        <v>0</v>
      </c>
      <c r="Q7218" t="n">
        <v>0</v>
      </c>
      <c r="R7218" s="2" t="inlineStr"/>
    </row>
    <row r="7219" ht="15" customHeight="1">
      <c r="A7219" t="inlineStr">
        <is>
          <t>A 17711-2023</t>
        </is>
      </c>
      <c r="B7219" s="1" t="n">
        <v>45036</v>
      </c>
      <c r="C7219" s="1" t="n">
        <v>45971</v>
      </c>
      <c r="D7219" t="inlineStr">
        <is>
          <t>VÄSTERBOTTENS LÄN</t>
        </is>
      </c>
      <c r="E7219" t="inlineStr">
        <is>
          <t>NORDMALING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22550-2025</t>
        </is>
      </c>
      <c r="B7220" s="1" t="n">
        <v>45788.52340277778</v>
      </c>
      <c r="C7220" s="1" t="n">
        <v>45971</v>
      </c>
      <c r="D7220" t="inlineStr">
        <is>
          <t>VÄSTERBOTTENS LÄN</t>
        </is>
      </c>
      <c r="E7220" t="inlineStr">
        <is>
          <t>VINDELN</t>
        </is>
      </c>
      <c r="F7220" t="inlineStr">
        <is>
          <t>Holmen skog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21763-2025</t>
        </is>
      </c>
      <c r="B7221" s="1" t="n">
        <v>45783</v>
      </c>
      <c r="C7221" s="1" t="n">
        <v>45971</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22739-2025</t>
        </is>
      </c>
      <c r="B7222" s="1" t="n">
        <v>45789.59297453704</v>
      </c>
      <c r="C7222" s="1" t="n">
        <v>45971</v>
      </c>
      <c r="D7222" t="inlineStr">
        <is>
          <t>VÄSTERBOTTENS LÄN</t>
        </is>
      </c>
      <c r="E7222" t="inlineStr">
        <is>
          <t>NORDMALING</t>
        </is>
      </c>
      <c r="G7222" t="n">
        <v>11.9</v>
      </c>
      <c r="H7222" t="n">
        <v>0</v>
      </c>
      <c r="I7222" t="n">
        <v>0</v>
      </c>
      <c r="J7222" t="n">
        <v>0</v>
      </c>
      <c r="K7222" t="n">
        <v>0</v>
      </c>
      <c r="L7222" t="n">
        <v>0</v>
      </c>
      <c r="M7222" t="n">
        <v>0</v>
      </c>
      <c r="N7222" t="n">
        <v>0</v>
      </c>
      <c r="O7222" t="n">
        <v>0</v>
      </c>
      <c r="P7222" t="n">
        <v>0</v>
      </c>
      <c r="Q7222" t="n">
        <v>0</v>
      </c>
      <c r="R7222" s="2" t="inlineStr"/>
    </row>
    <row r="7223" ht="15" customHeight="1">
      <c r="A7223" t="inlineStr">
        <is>
          <t>A 41218-2025</t>
        </is>
      </c>
      <c r="B7223" s="1" t="n">
        <v>45898.58579861111</v>
      </c>
      <c r="C7223" s="1" t="n">
        <v>45971</v>
      </c>
      <c r="D7223" t="inlineStr">
        <is>
          <t>VÄSTERBOTTENS LÄN</t>
        </is>
      </c>
      <c r="E7223" t="inlineStr">
        <is>
          <t>NORSJÖ</t>
        </is>
      </c>
      <c r="F7223" t="inlineStr">
        <is>
          <t>Sveaskog</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22584-2025</t>
        </is>
      </c>
      <c r="B7224" s="1" t="n">
        <v>45789</v>
      </c>
      <c r="C7224" s="1" t="n">
        <v>45971</v>
      </c>
      <c r="D7224" t="inlineStr">
        <is>
          <t>VÄSTERBOTTENS LÄN</t>
        </is>
      </c>
      <c r="E7224" t="inlineStr">
        <is>
          <t>LYCKSELE</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22851-2025</t>
        </is>
      </c>
      <c r="B7225" s="1" t="n">
        <v>45790.34162037037</v>
      </c>
      <c r="C7225" s="1" t="n">
        <v>45971</v>
      </c>
      <c r="D7225" t="inlineStr">
        <is>
          <t>VÄSTERBOTTENS LÄN</t>
        </is>
      </c>
      <c r="E7225" t="inlineStr">
        <is>
          <t>UMEÅ</t>
        </is>
      </c>
      <c r="F7225" t="inlineStr">
        <is>
          <t>Holmen skog AB</t>
        </is>
      </c>
      <c r="G7225" t="n">
        <v>20.6</v>
      </c>
      <c r="H7225" t="n">
        <v>0</v>
      </c>
      <c r="I7225" t="n">
        <v>0</v>
      </c>
      <c r="J7225" t="n">
        <v>0</v>
      </c>
      <c r="K7225" t="n">
        <v>0</v>
      </c>
      <c r="L7225" t="n">
        <v>0</v>
      </c>
      <c r="M7225" t="n">
        <v>0</v>
      </c>
      <c r="N7225" t="n">
        <v>0</v>
      </c>
      <c r="O7225" t="n">
        <v>0</v>
      </c>
      <c r="P7225" t="n">
        <v>0</v>
      </c>
      <c r="Q7225" t="n">
        <v>0</v>
      </c>
      <c r="R7225" s="2" t="inlineStr"/>
    </row>
    <row r="7226" ht="15" customHeight="1">
      <c r="A7226" t="inlineStr">
        <is>
          <t>A 38694-2023</t>
        </is>
      </c>
      <c r="B7226" s="1" t="n">
        <v>45162</v>
      </c>
      <c r="C7226" s="1" t="n">
        <v>45971</v>
      </c>
      <c r="D7226" t="inlineStr">
        <is>
          <t>VÄSTERBOTTENS LÄN</t>
        </is>
      </c>
      <c r="E7226" t="inlineStr">
        <is>
          <t>SORSELE</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38717-2023</t>
        </is>
      </c>
      <c r="B7227" s="1" t="n">
        <v>45160</v>
      </c>
      <c r="C7227" s="1" t="n">
        <v>45971</v>
      </c>
      <c r="D7227" t="inlineStr">
        <is>
          <t>VÄSTERBOTTENS LÄN</t>
        </is>
      </c>
      <c r="E7227" t="inlineStr">
        <is>
          <t>SKELLEFTEÅ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30643-2024</t>
        </is>
      </c>
      <c r="B7228" s="1" t="n">
        <v>45495.58291666667</v>
      </c>
      <c r="C7228" s="1" t="n">
        <v>45971</v>
      </c>
      <c r="D7228" t="inlineStr">
        <is>
          <t>VÄSTERBOTTENS LÄN</t>
        </is>
      </c>
      <c r="E7228" t="inlineStr">
        <is>
          <t>ROBERTSFORS</t>
        </is>
      </c>
      <c r="F7228" t="inlineStr">
        <is>
          <t>Holmen skog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60535-2023</t>
        </is>
      </c>
      <c r="B7229" s="1" t="n">
        <v>45258</v>
      </c>
      <c r="C7229" s="1" t="n">
        <v>45971</v>
      </c>
      <c r="D7229" t="inlineStr">
        <is>
          <t>VÄSTERBOTTENS LÄN</t>
        </is>
      </c>
      <c r="E7229" t="inlineStr">
        <is>
          <t>STORUMAN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25099-2024</t>
        </is>
      </c>
      <c r="B7230" s="1" t="n">
        <v>45462.41755787037</v>
      </c>
      <c r="C7230" s="1" t="n">
        <v>45971</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49875-2025</t>
        </is>
      </c>
      <c r="B7231" s="1" t="n">
        <v>45940.55391203704</v>
      </c>
      <c r="C7231" s="1" t="n">
        <v>45971</v>
      </c>
      <c r="D7231" t="inlineStr">
        <is>
          <t>VÄSTERBOTTENS LÄN</t>
        </is>
      </c>
      <c r="E7231" t="inlineStr">
        <is>
          <t>UMEÅ</t>
        </is>
      </c>
      <c r="F7231" t="inlineStr">
        <is>
          <t>Kommuner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22778-2025</t>
        </is>
      </c>
      <c r="B7232" s="1" t="n">
        <v>45789.6372337963</v>
      </c>
      <c r="C7232" s="1" t="n">
        <v>45971</v>
      </c>
      <c r="D7232" t="inlineStr">
        <is>
          <t>VÄSTERBOTTENS LÄN</t>
        </is>
      </c>
      <c r="E7232" t="inlineStr">
        <is>
          <t>ROBERTSFORS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39214-2023</t>
        </is>
      </c>
      <c r="B7233" s="1" t="n">
        <v>45166</v>
      </c>
      <c r="C7233" s="1" t="n">
        <v>45971</v>
      </c>
      <c r="D7233" t="inlineStr">
        <is>
          <t>VÄSTERBOTTENS LÄN</t>
        </is>
      </c>
      <c r="E7233" t="inlineStr">
        <is>
          <t>MALÅ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38035-2023</t>
        </is>
      </c>
      <c r="B7234" s="1" t="n">
        <v>45159</v>
      </c>
      <c r="C7234" s="1" t="n">
        <v>45971</v>
      </c>
      <c r="D7234" t="inlineStr">
        <is>
          <t>VÄSTERBOTTENS LÄN</t>
        </is>
      </c>
      <c r="E7234" t="inlineStr">
        <is>
          <t>VINDELN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59289-2024</t>
        </is>
      </c>
      <c r="B7235" s="1" t="n">
        <v>45637.64994212963</v>
      </c>
      <c r="C7235" s="1" t="n">
        <v>45971</v>
      </c>
      <c r="D7235" t="inlineStr">
        <is>
          <t>VÄSTERBOTTENS LÄN</t>
        </is>
      </c>
      <c r="E7235" t="inlineStr">
        <is>
          <t>NORDMALING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59290-2024</t>
        </is>
      </c>
      <c r="B7236" s="1" t="n">
        <v>45637.65096064815</v>
      </c>
      <c r="C7236" s="1" t="n">
        <v>45971</v>
      </c>
      <c r="D7236" t="inlineStr">
        <is>
          <t>VÄSTERBOTTENS LÄN</t>
        </is>
      </c>
      <c r="E7236" t="inlineStr">
        <is>
          <t>MALÅ</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59309-2024</t>
        </is>
      </c>
      <c r="B7237" s="1" t="n">
        <v>45637.67839120371</v>
      </c>
      <c r="C7237" s="1" t="n">
        <v>45971</v>
      </c>
      <c r="D7237" t="inlineStr">
        <is>
          <t>VÄSTERBOTTENS LÄN</t>
        </is>
      </c>
      <c r="E7237" t="inlineStr">
        <is>
          <t>MALÅ</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13529-2023</t>
        </is>
      </c>
      <c r="B7238" s="1" t="n">
        <v>45005</v>
      </c>
      <c r="C7238" s="1" t="n">
        <v>45971</v>
      </c>
      <c r="D7238" t="inlineStr">
        <is>
          <t>VÄSTERBOTTENS LÄN</t>
        </is>
      </c>
      <c r="E7238" t="inlineStr">
        <is>
          <t>ROBERTSFORS</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2859-2022</t>
        </is>
      </c>
      <c r="B7239" s="1" t="n">
        <v>44581</v>
      </c>
      <c r="C7239" s="1" t="n">
        <v>45971</v>
      </c>
      <c r="D7239" t="inlineStr">
        <is>
          <t>VÄSTERBOTTENS LÄN</t>
        </is>
      </c>
      <c r="E7239" t="inlineStr">
        <is>
          <t>LYCKSELE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24706-2024</t>
        </is>
      </c>
      <c r="B7240" s="1" t="n">
        <v>45460.62152777778</v>
      </c>
      <c r="C7240" s="1" t="n">
        <v>45971</v>
      </c>
      <c r="D7240" t="inlineStr">
        <is>
          <t>VÄSTERBOTTENS LÄN</t>
        </is>
      </c>
      <c r="E7240" t="inlineStr">
        <is>
          <t>VINDELN</t>
        </is>
      </c>
      <c r="F7240" t="inlineStr">
        <is>
          <t>Holmen skog AB</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49482-2025</t>
        </is>
      </c>
      <c r="B7241" s="1" t="n">
        <v>45939.35900462963</v>
      </c>
      <c r="C7241" s="1" t="n">
        <v>45971</v>
      </c>
      <c r="D7241" t="inlineStr">
        <is>
          <t>VÄSTERBOTTENS LÄN</t>
        </is>
      </c>
      <c r="E7241" t="inlineStr">
        <is>
          <t>ÅSELE</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49559-2025</t>
        </is>
      </c>
      <c r="B7242" s="1" t="n">
        <v>45939.45946759259</v>
      </c>
      <c r="C7242" s="1" t="n">
        <v>45971</v>
      </c>
      <c r="D7242" t="inlineStr">
        <is>
          <t>VÄSTERBOTTENS LÄN</t>
        </is>
      </c>
      <c r="E7242" t="inlineStr">
        <is>
          <t>VÄNNÄS</t>
        </is>
      </c>
      <c r="G7242" t="n">
        <v>7.2</v>
      </c>
      <c r="H7242" t="n">
        <v>0</v>
      </c>
      <c r="I7242" t="n">
        <v>0</v>
      </c>
      <c r="J7242" t="n">
        <v>0</v>
      </c>
      <c r="K7242" t="n">
        <v>0</v>
      </c>
      <c r="L7242" t="n">
        <v>0</v>
      </c>
      <c r="M7242" t="n">
        <v>0</v>
      </c>
      <c r="N7242" t="n">
        <v>0</v>
      </c>
      <c r="O7242" t="n">
        <v>0</v>
      </c>
      <c r="P7242" t="n">
        <v>0</v>
      </c>
      <c r="Q7242" t="n">
        <v>0</v>
      </c>
      <c r="R7242" s="2" t="inlineStr"/>
    </row>
    <row r="7243" ht="15" customHeight="1">
      <c r="A7243" t="inlineStr">
        <is>
          <t>A 43848-2023</t>
        </is>
      </c>
      <c r="B7243" s="1" t="n">
        <v>45182</v>
      </c>
      <c r="C7243" s="1" t="n">
        <v>45971</v>
      </c>
      <c r="D7243" t="inlineStr">
        <is>
          <t>VÄSTERBOTTENS LÄN</t>
        </is>
      </c>
      <c r="E7243" t="inlineStr">
        <is>
          <t>NORSJÖ</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22720-2025</t>
        </is>
      </c>
      <c r="B7244" s="1" t="n">
        <v>45789.5709375</v>
      </c>
      <c r="C7244" s="1" t="n">
        <v>45971</v>
      </c>
      <c r="D7244" t="inlineStr">
        <is>
          <t>VÄSTERBOTTENS LÄN</t>
        </is>
      </c>
      <c r="E7244" t="inlineStr">
        <is>
          <t>LYCKSELE</t>
        </is>
      </c>
      <c r="F7244" t="inlineStr">
        <is>
          <t>Sveaskog</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22114-2024</t>
        </is>
      </c>
      <c r="B7245" s="1" t="n">
        <v>45443</v>
      </c>
      <c r="C7245" s="1" t="n">
        <v>45971</v>
      </c>
      <c r="D7245" t="inlineStr">
        <is>
          <t>VÄSTERBOTTENS LÄN</t>
        </is>
      </c>
      <c r="E7245" t="inlineStr">
        <is>
          <t>ÅSELE</t>
        </is>
      </c>
      <c r="F7245" t="inlineStr">
        <is>
          <t>SCA</t>
        </is>
      </c>
      <c r="G7245" t="n">
        <v>30.2</v>
      </c>
      <c r="H7245" t="n">
        <v>0</v>
      </c>
      <c r="I7245" t="n">
        <v>0</v>
      </c>
      <c r="J7245" t="n">
        <v>0</v>
      </c>
      <c r="K7245" t="n">
        <v>0</v>
      </c>
      <c r="L7245" t="n">
        <v>0</v>
      </c>
      <c r="M7245" t="n">
        <v>0</v>
      </c>
      <c r="N7245" t="n">
        <v>0</v>
      </c>
      <c r="O7245" t="n">
        <v>0</v>
      </c>
      <c r="P7245" t="n">
        <v>0</v>
      </c>
      <c r="Q7245" t="n">
        <v>0</v>
      </c>
      <c r="R7245" s="2" t="inlineStr"/>
    </row>
    <row r="7246" ht="15" customHeight="1">
      <c r="A7246" t="inlineStr">
        <is>
          <t>A 46049-2024</t>
        </is>
      </c>
      <c r="B7246" s="1" t="n">
        <v>45580.85546296297</v>
      </c>
      <c r="C7246" s="1" t="n">
        <v>45971</v>
      </c>
      <c r="D7246" t="inlineStr">
        <is>
          <t>VÄSTERBOTTENS LÄN</t>
        </is>
      </c>
      <c r="E7246" t="inlineStr">
        <is>
          <t>SKELLEFTEÅ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65133-2021</t>
        </is>
      </c>
      <c r="B7247" s="1" t="n">
        <v>44515</v>
      </c>
      <c r="C7247" s="1" t="n">
        <v>45971</v>
      </c>
      <c r="D7247" t="inlineStr">
        <is>
          <t>VÄSTERBOTTENS LÄN</t>
        </is>
      </c>
      <c r="E7247" t="inlineStr">
        <is>
          <t>VILHELMINA</t>
        </is>
      </c>
      <c r="G7247" t="n">
        <v>16.4</v>
      </c>
      <c r="H7247" t="n">
        <v>0</v>
      </c>
      <c r="I7247" t="n">
        <v>0</v>
      </c>
      <c r="J7247" t="n">
        <v>0</v>
      </c>
      <c r="K7247" t="n">
        <v>0</v>
      </c>
      <c r="L7247" t="n">
        <v>0</v>
      </c>
      <c r="M7247" t="n">
        <v>0</v>
      </c>
      <c r="N7247" t="n">
        <v>0</v>
      </c>
      <c r="O7247" t="n">
        <v>0</v>
      </c>
      <c r="P7247" t="n">
        <v>0</v>
      </c>
      <c r="Q7247" t="n">
        <v>0</v>
      </c>
      <c r="R7247" s="2" t="inlineStr"/>
    </row>
    <row r="7248" ht="15" customHeight="1">
      <c r="A7248" t="inlineStr">
        <is>
          <t>A 22344-2025</t>
        </is>
      </c>
      <c r="B7248" s="1" t="n">
        <v>45786.44856481482</v>
      </c>
      <c r="C7248" s="1" t="n">
        <v>45971</v>
      </c>
      <c r="D7248" t="inlineStr">
        <is>
          <t>VÄSTERBOTTENS LÄN</t>
        </is>
      </c>
      <c r="E7248" t="inlineStr">
        <is>
          <t>LYCKSELE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31867-2023</t>
        </is>
      </c>
      <c r="B7249" s="1" t="n">
        <v>45118.61844907407</v>
      </c>
      <c r="C7249" s="1" t="n">
        <v>45971</v>
      </c>
      <c r="D7249" t="inlineStr">
        <is>
          <t>VÄSTERBOTTENS LÄN</t>
        </is>
      </c>
      <c r="E7249" t="inlineStr">
        <is>
          <t>VÄNNÄS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22955-2025</t>
        </is>
      </c>
      <c r="B7250" s="1" t="n">
        <v>45790.52902777777</v>
      </c>
      <c r="C7250" s="1" t="n">
        <v>45971</v>
      </c>
      <c r="D7250" t="inlineStr">
        <is>
          <t>VÄSTERBOTTENS LÄN</t>
        </is>
      </c>
      <c r="E7250" t="inlineStr">
        <is>
          <t>NORDMALING</t>
        </is>
      </c>
      <c r="G7250" t="n">
        <v>20.3</v>
      </c>
      <c r="H7250" t="n">
        <v>0</v>
      </c>
      <c r="I7250" t="n">
        <v>0</v>
      </c>
      <c r="J7250" t="n">
        <v>0</v>
      </c>
      <c r="K7250" t="n">
        <v>0</v>
      </c>
      <c r="L7250" t="n">
        <v>0</v>
      </c>
      <c r="M7250" t="n">
        <v>0</v>
      </c>
      <c r="N7250" t="n">
        <v>0</v>
      </c>
      <c r="O7250" t="n">
        <v>0</v>
      </c>
      <c r="P7250" t="n">
        <v>0</v>
      </c>
      <c r="Q7250" t="n">
        <v>0</v>
      </c>
      <c r="R7250" s="2" t="inlineStr"/>
    </row>
    <row r="7251" ht="15" customHeight="1">
      <c r="A7251" t="inlineStr">
        <is>
          <t>A 37496-2024</t>
        </is>
      </c>
      <c r="B7251" s="1" t="n">
        <v>45541.36414351852</v>
      </c>
      <c r="C7251" s="1" t="n">
        <v>45971</v>
      </c>
      <c r="D7251" t="inlineStr">
        <is>
          <t>VÄSTERBOTTENS LÄN</t>
        </is>
      </c>
      <c r="E7251" t="inlineStr">
        <is>
          <t>NORSJÖ</t>
        </is>
      </c>
      <c r="F7251" t="inlineStr">
        <is>
          <t>Holmen skog AB</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11369-2023</t>
        </is>
      </c>
      <c r="B7252" s="1" t="n">
        <v>44993.43899305556</v>
      </c>
      <c r="C7252" s="1" t="n">
        <v>45971</v>
      </c>
      <c r="D7252" t="inlineStr">
        <is>
          <t>VÄSTERBOTTENS LÄN</t>
        </is>
      </c>
      <c r="E7252" t="inlineStr">
        <is>
          <t>NORDMALING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34252-2024</t>
        </is>
      </c>
      <c r="B7253" s="1" t="n">
        <v>45524.59075231481</v>
      </c>
      <c r="C7253" s="1" t="n">
        <v>45971</v>
      </c>
      <c r="D7253" t="inlineStr">
        <is>
          <t>VÄSTERBOTTENS LÄN</t>
        </is>
      </c>
      <c r="E7253" t="inlineStr">
        <is>
          <t>NORDMALING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3265-2022</t>
        </is>
      </c>
      <c r="B7254" s="1" t="n">
        <v>44583.7693287037</v>
      </c>
      <c r="C7254" s="1" t="n">
        <v>45971</v>
      </c>
      <c r="D7254" t="inlineStr">
        <is>
          <t>VÄSTERBOTTENS LÄN</t>
        </is>
      </c>
      <c r="E7254" t="inlineStr">
        <is>
          <t>SKELLEFTEÅ</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34857-2024</t>
        </is>
      </c>
      <c r="B7255" s="1" t="n">
        <v>45527.32915509259</v>
      </c>
      <c r="C7255" s="1" t="n">
        <v>45971</v>
      </c>
      <c r="D7255" t="inlineStr">
        <is>
          <t>VÄSTERBOTTENS LÄN</t>
        </is>
      </c>
      <c r="E7255" t="inlineStr">
        <is>
          <t>LYCKSELE</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18566-2025</t>
        </is>
      </c>
      <c r="B7256" s="1" t="n">
        <v>45763.45278935185</v>
      </c>
      <c r="C7256" s="1" t="n">
        <v>45971</v>
      </c>
      <c r="D7256" t="inlineStr">
        <is>
          <t>VÄSTERBOTTENS LÄN</t>
        </is>
      </c>
      <c r="E7256" t="inlineStr">
        <is>
          <t>LYCKSELE</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23037-2025</t>
        </is>
      </c>
      <c r="B7257" s="1" t="n">
        <v>45790.66141203704</v>
      </c>
      <c r="C7257" s="1" t="n">
        <v>45971</v>
      </c>
      <c r="D7257" t="inlineStr">
        <is>
          <t>VÄSTERBOTTENS LÄN</t>
        </is>
      </c>
      <c r="E7257" t="inlineStr">
        <is>
          <t>NORDMALING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22557-2025</t>
        </is>
      </c>
      <c r="B7258" s="1" t="n">
        <v>45789.29510416667</v>
      </c>
      <c r="C7258" s="1" t="n">
        <v>45971</v>
      </c>
      <c r="D7258" t="inlineStr">
        <is>
          <t>VÄSTERBOTTENS LÄN</t>
        </is>
      </c>
      <c r="E7258" t="inlineStr">
        <is>
          <t>VINDELN</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18598-2025</t>
        </is>
      </c>
      <c r="B7259" s="1" t="n">
        <v>45763.48916666667</v>
      </c>
      <c r="C7259" s="1" t="n">
        <v>45971</v>
      </c>
      <c r="D7259" t="inlineStr">
        <is>
          <t>VÄSTERBOTTENS LÄN</t>
        </is>
      </c>
      <c r="E7259" t="inlineStr">
        <is>
          <t>VINDELN</t>
        </is>
      </c>
      <c r="F7259" t="inlineStr">
        <is>
          <t>Naturvårdsverket</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22764-2025</t>
        </is>
      </c>
      <c r="B7260" s="1" t="n">
        <v>45789.6282175926</v>
      </c>
      <c r="C7260" s="1" t="n">
        <v>45971</v>
      </c>
      <c r="D7260" t="inlineStr">
        <is>
          <t>VÄSTERBOTTENS LÄN</t>
        </is>
      </c>
      <c r="E7260" t="inlineStr">
        <is>
          <t>VINDELN</t>
        </is>
      </c>
      <c r="F7260" t="inlineStr">
        <is>
          <t>Holmen skog AB</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22774-2025</t>
        </is>
      </c>
      <c r="B7261" s="1" t="n">
        <v>45789.63657407407</v>
      </c>
      <c r="C7261" s="1" t="n">
        <v>45971</v>
      </c>
      <c r="D7261" t="inlineStr">
        <is>
          <t>VÄSTERBOTTENS LÄN</t>
        </is>
      </c>
      <c r="E7261" t="inlineStr">
        <is>
          <t>DOROTEA</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22962-2025</t>
        </is>
      </c>
      <c r="B7262" s="1" t="n">
        <v>45790.53908564815</v>
      </c>
      <c r="C7262" s="1" t="n">
        <v>45971</v>
      </c>
      <c r="D7262" t="inlineStr">
        <is>
          <t>VÄSTERBOTTENS LÄN</t>
        </is>
      </c>
      <c r="E7262" t="inlineStr">
        <is>
          <t>NORDMALING</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18637-2025</t>
        </is>
      </c>
      <c r="B7263" s="1" t="n">
        <v>45763.56527777778</v>
      </c>
      <c r="C7263" s="1" t="n">
        <v>45971</v>
      </c>
      <c r="D7263" t="inlineStr">
        <is>
          <t>VÄSTERBOTTENS LÄN</t>
        </is>
      </c>
      <c r="E7263" t="inlineStr">
        <is>
          <t>SKELLEFTEÅ</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28962-2024</t>
        </is>
      </c>
      <c r="B7264" s="1" t="n">
        <v>45481.41788194444</v>
      </c>
      <c r="C7264" s="1" t="n">
        <v>45971</v>
      </c>
      <c r="D7264" t="inlineStr">
        <is>
          <t>VÄSTERBOTTENS LÄN</t>
        </is>
      </c>
      <c r="E7264" t="inlineStr">
        <is>
          <t>ÅSELE</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10649-2025</t>
        </is>
      </c>
      <c r="B7265" s="1" t="n">
        <v>45721</v>
      </c>
      <c r="C7265" s="1" t="n">
        <v>45971</v>
      </c>
      <c r="D7265" t="inlineStr">
        <is>
          <t>VÄSTERBOTTENS LÄN</t>
        </is>
      </c>
      <c r="E7265" t="inlineStr">
        <is>
          <t>DOROTEA</t>
        </is>
      </c>
      <c r="F7265" t="inlineStr">
        <is>
          <t>SCA</t>
        </is>
      </c>
      <c r="G7265" t="n">
        <v>12.2</v>
      </c>
      <c r="H7265" t="n">
        <v>0</v>
      </c>
      <c r="I7265" t="n">
        <v>0</v>
      </c>
      <c r="J7265" t="n">
        <v>0</v>
      </c>
      <c r="K7265" t="n">
        <v>0</v>
      </c>
      <c r="L7265" t="n">
        <v>0</v>
      </c>
      <c r="M7265" t="n">
        <v>0</v>
      </c>
      <c r="N7265" t="n">
        <v>0</v>
      </c>
      <c r="O7265" t="n">
        <v>0</v>
      </c>
      <c r="P7265" t="n">
        <v>0</v>
      </c>
      <c r="Q7265" t="n">
        <v>0</v>
      </c>
      <c r="R7265" s="2" t="inlineStr"/>
    </row>
    <row r="7266" ht="15" customHeight="1">
      <c r="A7266" t="inlineStr">
        <is>
          <t>A 29511-2024</t>
        </is>
      </c>
      <c r="B7266" s="1" t="n">
        <v>45484</v>
      </c>
      <c r="C7266" s="1" t="n">
        <v>45971</v>
      </c>
      <c r="D7266" t="inlineStr">
        <is>
          <t>VÄSTERBOTTENS LÄN</t>
        </is>
      </c>
      <c r="E7266" t="inlineStr">
        <is>
          <t>ÅSELE</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29517-2024</t>
        </is>
      </c>
      <c r="B7267" s="1" t="n">
        <v>45484</v>
      </c>
      <c r="C7267" s="1" t="n">
        <v>45971</v>
      </c>
      <c r="D7267" t="inlineStr">
        <is>
          <t>VÄSTERBOTTENS LÄN</t>
        </is>
      </c>
      <c r="E7267" t="inlineStr">
        <is>
          <t>ÅSELE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22900-2025</t>
        </is>
      </c>
      <c r="B7268" s="1" t="n">
        <v>45790.41079861111</v>
      </c>
      <c r="C7268" s="1" t="n">
        <v>45971</v>
      </c>
      <c r="D7268" t="inlineStr">
        <is>
          <t>VÄSTERBOTTENS LÄN</t>
        </is>
      </c>
      <c r="E7268" t="inlineStr">
        <is>
          <t>VÄNNÄS</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38364-2023</t>
        </is>
      </c>
      <c r="B7269" s="1" t="n">
        <v>45161</v>
      </c>
      <c r="C7269" s="1" t="n">
        <v>45971</v>
      </c>
      <c r="D7269" t="inlineStr">
        <is>
          <t>VÄSTERBOTTENS LÄN</t>
        </is>
      </c>
      <c r="E7269" t="inlineStr">
        <is>
          <t>VILHELMINA</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22838-2025</t>
        </is>
      </c>
      <c r="B7270" s="1" t="n">
        <v>45790.28381944444</v>
      </c>
      <c r="C7270" s="1" t="n">
        <v>45971</v>
      </c>
      <c r="D7270" t="inlineStr">
        <is>
          <t>VÄSTERBOTTENS LÄN</t>
        </is>
      </c>
      <c r="E7270" t="inlineStr">
        <is>
          <t>SKELLEFTEÅ</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22560-2025</t>
        </is>
      </c>
      <c r="B7271" s="1" t="n">
        <v>45789.33638888889</v>
      </c>
      <c r="C7271" s="1" t="n">
        <v>45971</v>
      </c>
      <c r="D7271" t="inlineStr">
        <is>
          <t>VÄSTERBOTTENS LÄN</t>
        </is>
      </c>
      <c r="E7271" t="inlineStr">
        <is>
          <t>VINDELN</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57499-2022</t>
        </is>
      </c>
      <c r="B7272" s="1" t="n">
        <v>44889</v>
      </c>
      <c r="C7272" s="1" t="n">
        <v>45971</v>
      </c>
      <c r="D7272" t="inlineStr">
        <is>
          <t>VÄSTERBOTTENS LÄN</t>
        </is>
      </c>
      <c r="E7272" t="inlineStr">
        <is>
          <t>MALÅ</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49783-2025</t>
        </is>
      </c>
      <c r="B7273" s="1" t="n">
        <v>45940.39555555556</v>
      </c>
      <c r="C7273" s="1" t="n">
        <v>45971</v>
      </c>
      <c r="D7273" t="inlineStr">
        <is>
          <t>VÄSTERBOTTENS LÄN</t>
        </is>
      </c>
      <c r="E7273" t="inlineStr">
        <is>
          <t>LYCKSELE</t>
        </is>
      </c>
      <c r="F7273" t="inlineStr">
        <is>
          <t>Sveaskog</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25030-2023</t>
        </is>
      </c>
      <c r="B7274" s="1" t="n">
        <v>45085.92760416667</v>
      </c>
      <c r="C7274" s="1" t="n">
        <v>45971</v>
      </c>
      <c r="D7274" t="inlineStr">
        <is>
          <t>VÄSTERBOTTENS LÄN</t>
        </is>
      </c>
      <c r="E7274" t="inlineStr">
        <is>
          <t>NORSJÖ</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14697-2023</t>
        </is>
      </c>
      <c r="B7275" s="1" t="n">
        <v>45012</v>
      </c>
      <c r="C7275" s="1" t="n">
        <v>45971</v>
      </c>
      <c r="D7275" t="inlineStr">
        <is>
          <t>VÄSTERBOTTENS LÄN</t>
        </is>
      </c>
      <c r="E7275" t="inlineStr">
        <is>
          <t>SKELLEFTEÅ</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33319-2023</t>
        </is>
      </c>
      <c r="B7276" s="1" t="n">
        <v>45127.88890046296</v>
      </c>
      <c r="C7276" s="1" t="n">
        <v>45971</v>
      </c>
      <c r="D7276" t="inlineStr">
        <is>
          <t>VÄSTERBOTTENS LÄN</t>
        </is>
      </c>
      <c r="E7276" t="inlineStr">
        <is>
          <t>VÄNNÄS</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49628-2025</t>
        </is>
      </c>
      <c r="B7277" s="1" t="n">
        <v>45939.59528935186</v>
      </c>
      <c r="C7277" s="1" t="n">
        <v>45971</v>
      </c>
      <c r="D7277" t="inlineStr">
        <is>
          <t>VÄSTERBOTTENS LÄN</t>
        </is>
      </c>
      <c r="E7277" t="inlineStr">
        <is>
          <t>ROBERTSFORS</t>
        </is>
      </c>
      <c r="F7277" t="inlineStr">
        <is>
          <t>Holmen skog AB</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6283-2025</t>
        </is>
      </c>
      <c r="B7278" s="1" t="n">
        <v>45698.63582175926</v>
      </c>
      <c r="C7278" s="1" t="n">
        <v>45971</v>
      </c>
      <c r="D7278" t="inlineStr">
        <is>
          <t>VÄSTERBOTTENS LÄN</t>
        </is>
      </c>
      <c r="E7278" t="inlineStr">
        <is>
          <t>ÅSELE</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23170-2025</t>
        </is>
      </c>
      <c r="B7279" s="1" t="n">
        <v>45791.42770833334</v>
      </c>
      <c r="C7279" s="1" t="n">
        <v>45971</v>
      </c>
      <c r="D7279" t="inlineStr">
        <is>
          <t>VÄSTERBOTTENS LÄN</t>
        </is>
      </c>
      <c r="E7279" t="inlineStr">
        <is>
          <t>ÅSELE</t>
        </is>
      </c>
      <c r="F7279" t="inlineStr">
        <is>
          <t>SCA</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10133-2024</t>
        </is>
      </c>
      <c r="B7280" s="1" t="n">
        <v>45364.59172453704</v>
      </c>
      <c r="C7280" s="1" t="n">
        <v>45971</v>
      </c>
      <c r="D7280" t="inlineStr">
        <is>
          <t>VÄSTERBOTTENS LÄN</t>
        </is>
      </c>
      <c r="E7280" t="inlineStr">
        <is>
          <t>SORSELE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23205-2025</t>
        </is>
      </c>
      <c r="B7281" s="1" t="n">
        <v>45791.46658564815</v>
      </c>
      <c r="C7281" s="1" t="n">
        <v>45971</v>
      </c>
      <c r="D7281" t="inlineStr">
        <is>
          <t>VÄSTERBOTTENS LÄN</t>
        </is>
      </c>
      <c r="E7281" t="inlineStr">
        <is>
          <t>VÄNNÄS</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23213-2025</t>
        </is>
      </c>
      <c r="B7282" s="1" t="n">
        <v>45791</v>
      </c>
      <c r="C7282" s="1" t="n">
        <v>45971</v>
      </c>
      <c r="D7282" t="inlineStr">
        <is>
          <t>VÄSTERBOTTENS LÄN</t>
        </is>
      </c>
      <c r="E7282" t="inlineStr">
        <is>
          <t>SKELLEFTEÅ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58256-2023</t>
        </is>
      </c>
      <c r="B7283" s="1" t="n">
        <v>45250.48440972222</v>
      </c>
      <c r="C7283" s="1" t="n">
        <v>45971</v>
      </c>
      <c r="D7283" t="inlineStr">
        <is>
          <t>VÄSTERBOTTENS LÄN</t>
        </is>
      </c>
      <c r="E7283" t="inlineStr">
        <is>
          <t>UMEÅ</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20397-2025</t>
        </is>
      </c>
      <c r="B7284" s="1" t="n">
        <v>45775.45503472222</v>
      </c>
      <c r="C7284" s="1" t="n">
        <v>45971</v>
      </c>
      <c r="D7284" t="inlineStr">
        <is>
          <t>VÄSTERBOTTENS LÄN</t>
        </is>
      </c>
      <c r="E7284" t="inlineStr">
        <is>
          <t>ÅSELE</t>
        </is>
      </c>
      <c r="G7284" t="n">
        <v>11.9</v>
      </c>
      <c r="H7284" t="n">
        <v>0</v>
      </c>
      <c r="I7284" t="n">
        <v>0</v>
      </c>
      <c r="J7284" t="n">
        <v>0</v>
      </c>
      <c r="K7284" t="n">
        <v>0</v>
      </c>
      <c r="L7284" t="n">
        <v>0</v>
      </c>
      <c r="M7284" t="n">
        <v>0</v>
      </c>
      <c r="N7284" t="n">
        <v>0</v>
      </c>
      <c r="O7284" t="n">
        <v>0</v>
      </c>
      <c r="P7284" t="n">
        <v>0</v>
      </c>
      <c r="Q7284" t="n">
        <v>0</v>
      </c>
      <c r="R7284" s="2" t="inlineStr"/>
    </row>
    <row r="7285" ht="15" customHeight="1">
      <c r="A7285" t="inlineStr">
        <is>
          <t>A 47440-2024</t>
        </is>
      </c>
      <c r="B7285" s="1" t="n">
        <v>45587</v>
      </c>
      <c r="C7285" s="1" t="n">
        <v>45971</v>
      </c>
      <c r="D7285" t="inlineStr">
        <is>
          <t>VÄSTERBOTTENS LÄN</t>
        </is>
      </c>
      <c r="E7285" t="inlineStr">
        <is>
          <t>VILHELMINA</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48088-2024</t>
        </is>
      </c>
      <c r="B7286" s="1" t="n">
        <v>45589</v>
      </c>
      <c r="C7286" s="1" t="n">
        <v>45971</v>
      </c>
      <c r="D7286" t="inlineStr">
        <is>
          <t>VÄSTERBOTTENS LÄN</t>
        </is>
      </c>
      <c r="E7286" t="inlineStr">
        <is>
          <t>VILHELMINA</t>
        </is>
      </c>
      <c r="F7286" t="inlineStr">
        <is>
          <t>SCA</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49661-2025</t>
        </is>
      </c>
      <c r="B7287" s="1" t="n">
        <v>45939.63412037037</v>
      </c>
      <c r="C7287" s="1" t="n">
        <v>45971</v>
      </c>
      <c r="D7287" t="inlineStr">
        <is>
          <t>VÄSTERBOTTENS LÄN</t>
        </is>
      </c>
      <c r="E7287" t="inlineStr">
        <is>
          <t>MALÅ</t>
        </is>
      </c>
      <c r="F7287" t="inlineStr">
        <is>
          <t>Sveaskog</t>
        </is>
      </c>
      <c r="G7287" t="n">
        <v>16.7</v>
      </c>
      <c r="H7287" t="n">
        <v>0</v>
      </c>
      <c r="I7287" t="n">
        <v>0</v>
      </c>
      <c r="J7287" t="n">
        <v>0</v>
      </c>
      <c r="K7287" t="n">
        <v>0</v>
      </c>
      <c r="L7287" t="n">
        <v>0</v>
      </c>
      <c r="M7287" t="n">
        <v>0</v>
      </c>
      <c r="N7287" t="n">
        <v>0</v>
      </c>
      <c r="O7287" t="n">
        <v>0</v>
      </c>
      <c r="P7287" t="n">
        <v>0</v>
      </c>
      <c r="Q7287" t="n">
        <v>0</v>
      </c>
      <c r="R7287" s="2" t="inlineStr"/>
    </row>
    <row r="7288" ht="15" customHeight="1">
      <c r="A7288" t="inlineStr">
        <is>
          <t>A 49686-2025</t>
        </is>
      </c>
      <c r="B7288" s="1" t="n">
        <v>45939</v>
      </c>
      <c r="C7288" s="1" t="n">
        <v>45971</v>
      </c>
      <c r="D7288" t="inlineStr">
        <is>
          <t>VÄSTERBOTTENS LÄN</t>
        </is>
      </c>
      <c r="E7288" t="inlineStr">
        <is>
          <t>LYCKSELE</t>
        </is>
      </c>
      <c r="G7288" t="n">
        <v>11.6</v>
      </c>
      <c r="H7288" t="n">
        <v>0</v>
      </c>
      <c r="I7288" t="n">
        <v>0</v>
      </c>
      <c r="J7288" t="n">
        <v>0</v>
      </c>
      <c r="K7288" t="n">
        <v>0</v>
      </c>
      <c r="L7288" t="n">
        <v>0</v>
      </c>
      <c r="M7288" t="n">
        <v>0</v>
      </c>
      <c r="N7288" t="n">
        <v>0</v>
      </c>
      <c r="O7288" t="n">
        <v>0</v>
      </c>
      <c r="P7288" t="n">
        <v>0</v>
      </c>
      <c r="Q7288" t="n">
        <v>0</v>
      </c>
      <c r="R7288" s="2" t="inlineStr"/>
    </row>
    <row r="7289" ht="15" customHeight="1">
      <c r="A7289" t="inlineStr">
        <is>
          <t>A 49691-2025</t>
        </is>
      </c>
      <c r="B7289" s="1" t="n">
        <v>45939.66736111111</v>
      </c>
      <c r="C7289" s="1" t="n">
        <v>45971</v>
      </c>
      <c r="D7289" t="inlineStr">
        <is>
          <t>VÄSTERBOTTENS LÄN</t>
        </is>
      </c>
      <c r="E7289" t="inlineStr">
        <is>
          <t>STORUMAN</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32308-2023</t>
        </is>
      </c>
      <c r="B7290" s="1" t="n">
        <v>45120.43883101852</v>
      </c>
      <c r="C7290" s="1" t="n">
        <v>45971</v>
      </c>
      <c r="D7290" t="inlineStr">
        <is>
          <t>VÄSTERBOTTENS LÄN</t>
        </is>
      </c>
      <c r="E7290" t="inlineStr">
        <is>
          <t>ÅSELE</t>
        </is>
      </c>
      <c r="F7290" t="inlineStr">
        <is>
          <t>Sveaskog</t>
        </is>
      </c>
      <c r="G7290" t="n">
        <v>22.9</v>
      </c>
      <c r="H7290" t="n">
        <v>0</v>
      </c>
      <c r="I7290" t="n">
        <v>0</v>
      </c>
      <c r="J7290" t="n">
        <v>0</v>
      </c>
      <c r="K7290" t="n">
        <v>0</v>
      </c>
      <c r="L7290" t="n">
        <v>0</v>
      </c>
      <c r="M7290" t="n">
        <v>0</v>
      </c>
      <c r="N7290" t="n">
        <v>0</v>
      </c>
      <c r="O7290" t="n">
        <v>0</v>
      </c>
      <c r="P7290" t="n">
        <v>0</v>
      </c>
      <c r="Q7290" t="n">
        <v>0</v>
      </c>
      <c r="R7290" s="2" t="inlineStr"/>
    </row>
    <row r="7291" ht="15" customHeight="1">
      <c r="A7291" t="inlineStr">
        <is>
          <t>A 23631-2025</t>
        </is>
      </c>
      <c r="B7291" s="1" t="n">
        <v>45792.67769675926</v>
      </c>
      <c r="C7291" s="1" t="n">
        <v>45971</v>
      </c>
      <c r="D7291" t="inlineStr">
        <is>
          <t>VÄSTERBOTTENS LÄN</t>
        </is>
      </c>
      <c r="E7291" t="inlineStr">
        <is>
          <t>ROBERTSFORS</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23523-2025</t>
        </is>
      </c>
      <c r="B7292" s="1" t="n">
        <v>45792.51623842592</v>
      </c>
      <c r="C7292" s="1" t="n">
        <v>45971</v>
      </c>
      <c r="D7292" t="inlineStr">
        <is>
          <t>VÄSTERBOTTENS LÄN</t>
        </is>
      </c>
      <c r="E7292" t="inlineStr">
        <is>
          <t>NORSJÖ</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23101-2025</t>
        </is>
      </c>
      <c r="B7293" s="1" t="n">
        <v>45791.35427083333</v>
      </c>
      <c r="C7293" s="1" t="n">
        <v>45971</v>
      </c>
      <c r="D7293" t="inlineStr">
        <is>
          <t>VÄSTERBOTTENS LÄN</t>
        </is>
      </c>
      <c r="E7293" t="inlineStr">
        <is>
          <t>VÄNNÄS</t>
        </is>
      </c>
      <c r="F7293" t="inlineStr">
        <is>
          <t>Holmen skog AB</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7668-2024</t>
        </is>
      </c>
      <c r="B7294" s="1" t="n">
        <v>45348</v>
      </c>
      <c r="C7294" s="1" t="n">
        <v>45971</v>
      </c>
      <c r="D7294" t="inlineStr">
        <is>
          <t>VÄSTERBOTTENS LÄN</t>
        </is>
      </c>
      <c r="E7294" t="inlineStr">
        <is>
          <t>SKELLEFTEÅ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17981-2024</t>
        </is>
      </c>
      <c r="B7295" s="1" t="n">
        <v>45419</v>
      </c>
      <c r="C7295" s="1" t="n">
        <v>45971</v>
      </c>
      <c r="D7295" t="inlineStr">
        <is>
          <t>VÄSTERBOTTENS LÄN</t>
        </is>
      </c>
      <c r="E7295" t="inlineStr">
        <is>
          <t>VÄNNÄS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23593-2025</t>
        </is>
      </c>
      <c r="B7296" s="1" t="n">
        <v>45792.63686342593</v>
      </c>
      <c r="C7296" s="1" t="n">
        <v>45971</v>
      </c>
      <c r="D7296" t="inlineStr">
        <is>
          <t>VÄSTERBOTTENS LÄN</t>
        </is>
      </c>
      <c r="E7296" t="inlineStr">
        <is>
          <t>ROBERTSFORS</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23208-2025</t>
        </is>
      </c>
      <c r="B7297" s="1" t="n">
        <v>45791</v>
      </c>
      <c r="C7297" s="1" t="n">
        <v>45971</v>
      </c>
      <c r="D7297" t="inlineStr">
        <is>
          <t>VÄSTERBOTTENS LÄN</t>
        </is>
      </c>
      <c r="E7297" t="inlineStr">
        <is>
          <t>SKELLEFTEÅ</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23271-2025</t>
        </is>
      </c>
      <c r="B7298" s="1" t="n">
        <v>45791.5622337963</v>
      </c>
      <c r="C7298" s="1" t="n">
        <v>45971</v>
      </c>
      <c r="D7298" t="inlineStr">
        <is>
          <t>VÄSTERBOTTENS LÄN</t>
        </is>
      </c>
      <c r="E7298" t="inlineStr">
        <is>
          <t>UMEÅ</t>
        </is>
      </c>
      <c r="F7298" t="inlineStr">
        <is>
          <t>Holmen skog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23442-2025</t>
        </is>
      </c>
      <c r="B7299" s="1" t="n">
        <v>45792.3788425926</v>
      </c>
      <c r="C7299" s="1" t="n">
        <v>45971</v>
      </c>
      <c r="D7299" t="inlineStr">
        <is>
          <t>VÄSTERBOTTENS LÄN</t>
        </is>
      </c>
      <c r="E7299" t="inlineStr">
        <is>
          <t>UMEÅ</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49849-2025</t>
        </is>
      </c>
      <c r="B7300" s="1" t="n">
        <v>45940.48415509259</v>
      </c>
      <c r="C7300" s="1" t="n">
        <v>45971</v>
      </c>
      <c r="D7300" t="inlineStr">
        <is>
          <t>VÄSTERBOTTENS LÄN</t>
        </is>
      </c>
      <c r="E7300" t="inlineStr">
        <is>
          <t>NORDMALING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41198-2025</t>
        </is>
      </c>
      <c r="B7301" s="1" t="n">
        <v>45898.57359953703</v>
      </c>
      <c r="C7301" s="1" t="n">
        <v>45971</v>
      </c>
      <c r="D7301" t="inlineStr">
        <is>
          <t>VÄSTERBOTTENS LÄN</t>
        </is>
      </c>
      <c r="E7301" t="inlineStr">
        <is>
          <t>MALÅ</t>
        </is>
      </c>
      <c r="F7301" t="inlineStr">
        <is>
          <t>Sveaskog</t>
        </is>
      </c>
      <c r="G7301" t="n">
        <v>22.4</v>
      </c>
      <c r="H7301" t="n">
        <v>0</v>
      </c>
      <c r="I7301" t="n">
        <v>0</v>
      </c>
      <c r="J7301" t="n">
        <v>0</v>
      </c>
      <c r="K7301" t="n">
        <v>0</v>
      </c>
      <c r="L7301" t="n">
        <v>0</v>
      </c>
      <c r="M7301" t="n">
        <v>0</v>
      </c>
      <c r="N7301" t="n">
        <v>0</v>
      </c>
      <c r="O7301" t="n">
        <v>0</v>
      </c>
      <c r="P7301" t="n">
        <v>0</v>
      </c>
      <c r="Q7301" t="n">
        <v>0</v>
      </c>
      <c r="R7301" s="2" t="inlineStr"/>
    </row>
    <row r="7302" ht="15" customHeight="1">
      <c r="A7302" t="inlineStr">
        <is>
          <t>A 23500-2025</t>
        </is>
      </c>
      <c r="B7302" s="1" t="n">
        <v>45792.48252314814</v>
      </c>
      <c r="C7302" s="1" t="n">
        <v>45971</v>
      </c>
      <c r="D7302" t="inlineStr">
        <is>
          <t>VÄSTERBOTTENS LÄN</t>
        </is>
      </c>
      <c r="E7302" t="inlineStr">
        <is>
          <t>UMEÅ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23554-2025</t>
        </is>
      </c>
      <c r="B7303" s="1" t="n">
        <v>45792.57557870371</v>
      </c>
      <c r="C7303" s="1" t="n">
        <v>45971</v>
      </c>
      <c r="D7303" t="inlineStr">
        <is>
          <t>VÄSTERBOTTENS LÄN</t>
        </is>
      </c>
      <c r="E7303" t="inlineStr">
        <is>
          <t>LYCKSELE</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50151-2024</t>
        </is>
      </c>
      <c r="B7304" s="1" t="n">
        <v>45600.45456018519</v>
      </c>
      <c r="C7304" s="1" t="n">
        <v>45971</v>
      </c>
      <c r="D7304" t="inlineStr">
        <is>
          <t>VÄSTERBOTTENS LÄN</t>
        </is>
      </c>
      <c r="E7304" t="inlineStr">
        <is>
          <t>ÅSELE</t>
        </is>
      </c>
      <c r="F7304" t="inlineStr">
        <is>
          <t>Holmen skog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23563-2025</t>
        </is>
      </c>
      <c r="B7305" s="1" t="n">
        <v>45792.58780092592</v>
      </c>
      <c r="C7305" s="1" t="n">
        <v>45971</v>
      </c>
      <c r="D7305" t="inlineStr">
        <is>
          <t>VÄSTERBOTTENS LÄN</t>
        </is>
      </c>
      <c r="E7305" t="inlineStr">
        <is>
          <t>UMEÅ</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39035-2024</t>
        </is>
      </c>
      <c r="B7306" s="1" t="n">
        <v>45548.46918981482</v>
      </c>
      <c r="C7306" s="1" t="n">
        <v>45971</v>
      </c>
      <c r="D7306" t="inlineStr">
        <is>
          <t>VÄSTERBOTTENS LÄN</t>
        </is>
      </c>
      <c r="E7306" t="inlineStr">
        <is>
          <t>VILHELMINA</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47548-2024</t>
        </is>
      </c>
      <c r="B7307" s="1" t="n">
        <v>45587</v>
      </c>
      <c r="C7307" s="1" t="n">
        <v>45971</v>
      </c>
      <c r="D7307" t="inlineStr">
        <is>
          <t>VÄSTERBOTTENS LÄN</t>
        </is>
      </c>
      <c r="E7307" t="inlineStr">
        <is>
          <t>VILHELMINA</t>
        </is>
      </c>
      <c r="F7307" t="inlineStr">
        <is>
          <t>SCA</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23646-2025</t>
        </is>
      </c>
      <c r="B7308" s="1" t="n">
        <v>45792.69844907407</v>
      </c>
      <c r="C7308" s="1" t="n">
        <v>45971</v>
      </c>
      <c r="D7308" t="inlineStr">
        <is>
          <t>VÄSTERBOTTENS LÄN</t>
        </is>
      </c>
      <c r="E7308" t="inlineStr">
        <is>
          <t>ROBERTSFORS</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43398-2023</t>
        </is>
      </c>
      <c r="B7309" s="1" t="n">
        <v>45183</v>
      </c>
      <c r="C7309" s="1" t="n">
        <v>45971</v>
      </c>
      <c r="D7309" t="inlineStr">
        <is>
          <t>VÄSTERBOTTENS LÄN</t>
        </is>
      </c>
      <c r="E7309" t="inlineStr">
        <is>
          <t>NORSJÖ</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19889-2025</t>
        </is>
      </c>
      <c r="B7310" s="1" t="n">
        <v>45771.57355324074</v>
      </c>
      <c r="C7310" s="1" t="n">
        <v>45971</v>
      </c>
      <c r="D7310" t="inlineStr">
        <is>
          <t>VÄSTERBOTTENS LÄN</t>
        </is>
      </c>
      <c r="E7310" t="inlineStr">
        <is>
          <t>DOROTEA</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23373-2025</t>
        </is>
      </c>
      <c r="B7311" s="1" t="n">
        <v>45791.75634259259</v>
      </c>
      <c r="C7311" s="1" t="n">
        <v>45971</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17016-2025</t>
        </is>
      </c>
      <c r="B7312" s="1" t="n">
        <v>45755.55481481482</v>
      </c>
      <c r="C7312" s="1" t="n">
        <v>45971</v>
      </c>
      <c r="D7312" t="inlineStr">
        <is>
          <t>VÄSTERBOTTENS LÄN</t>
        </is>
      </c>
      <c r="E7312" t="inlineStr">
        <is>
          <t>VINDELN</t>
        </is>
      </c>
      <c r="F7312" t="inlineStr">
        <is>
          <t>Holmen skog AB</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23457-2025</t>
        </is>
      </c>
      <c r="B7313" s="1" t="n">
        <v>45792.42746527777</v>
      </c>
      <c r="C7313" s="1" t="n">
        <v>45971</v>
      </c>
      <c r="D7313" t="inlineStr">
        <is>
          <t>VÄSTERBOTTENS LÄN</t>
        </is>
      </c>
      <c r="E7313" t="inlineStr">
        <is>
          <t>DOROTEA</t>
        </is>
      </c>
      <c r="F7313" t="inlineStr">
        <is>
          <t>SCA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23459-2025</t>
        </is>
      </c>
      <c r="B7314" s="1" t="n">
        <v>45792</v>
      </c>
      <c r="C7314" s="1" t="n">
        <v>45971</v>
      </c>
      <c r="D7314" t="inlineStr">
        <is>
          <t>VÄSTERBOTTENS LÄN</t>
        </is>
      </c>
      <c r="E7314" t="inlineStr">
        <is>
          <t>VILHELMINA</t>
        </is>
      </c>
      <c r="F7314" t="inlineStr">
        <is>
          <t>SCA</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23461-2025</t>
        </is>
      </c>
      <c r="B7315" s="1" t="n">
        <v>45792</v>
      </c>
      <c r="C7315" s="1" t="n">
        <v>45971</v>
      </c>
      <c r="D7315" t="inlineStr">
        <is>
          <t>VÄSTERBOTTENS LÄN</t>
        </is>
      </c>
      <c r="E7315" t="inlineStr">
        <is>
          <t>VILHELMINA</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23462-2025</t>
        </is>
      </c>
      <c r="B7316" s="1" t="n">
        <v>45792.43016203704</v>
      </c>
      <c r="C7316" s="1" t="n">
        <v>45971</v>
      </c>
      <c r="D7316" t="inlineStr">
        <is>
          <t>VÄSTERBOTTENS LÄN</t>
        </is>
      </c>
      <c r="E7316" t="inlineStr">
        <is>
          <t>VÄNNÄS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14434-2024</t>
        </is>
      </c>
      <c r="B7317" s="1" t="n">
        <v>45394</v>
      </c>
      <c r="C7317" s="1" t="n">
        <v>45971</v>
      </c>
      <c r="D7317" t="inlineStr">
        <is>
          <t>VÄSTERBOTTENS LÄN</t>
        </is>
      </c>
      <c r="E7317" t="inlineStr">
        <is>
          <t>NORDMALING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17740-2024</t>
        </is>
      </c>
      <c r="B7318" s="1" t="n">
        <v>45418</v>
      </c>
      <c r="C7318" s="1" t="n">
        <v>45971</v>
      </c>
      <c r="D7318" t="inlineStr">
        <is>
          <t>VÄSTERBOTTENS LÄN</t>
        </is>
      </c>
      <c r="E7318" t="inlineStr">
        <is>
          <t>BJURHOLM</t>
        </is>
      </c>
      <c r="F7318" t="inlineStr">
        <is>
          <t>Holmen skog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8499-2024</t>
        </is>
      </c>
      <c r="B7319" s="1" t="n">
        <v>45351</v>
      </c>
      <c r="C7319" s="1" t="n">
        <v>45971</v>
      </c>
      <c r="D7319" t="inlineStr">
        <is>
          <t>VÄSTERBOTTENS LÄN</t>
        </is>
      </c>
      <c r="E7319" t="inlineStr">
        <is>
          <t>BJURHOLM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23281-2025</t>
        </is>
      </c>
      <c r="B7320" s="1" t="n">
        <v>45791.57324074074</v>
      </c>
      <c r="C7320" s="1" t="n">
        <v>45971</v>
      </c>
      <c r="D7320" t="inlineStr">
        <is>
          <t>VÄSTERBOTTENS LÄN</t>
        </is>
      </c>
      <c r="E7320" t="inlineStr">
        <is>
          <t>VILHELMINA</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59801-2021</t>
        </is>
      </c>
      <c r="B7321" s="1" t="n">
        <v>44491</v>
      </c>
      <c r="C7321" s="1" t="n">
        <v>45971</v>
      </c>
      <c r="D7321" t="inlineStr">
        <is>
          <t>VÄSTERBOTTENS LÄN</t>
        </is>
      </c>
      <c r="E7321" t="inlineStr">
        <is>
          <t>MALÅ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67383-2021</t>
        </is>
      </c>
      <c r="B7322" s="1" t="n">
        <v>44523</v>
      </c>
      <c r="C7322" s="1" t="n">
        <v>45971</v>
      </c>
      <c r="D7322" t="inlineStr">
        <is>
          <t>VÄSTERBOTTENS LÄN</t>
        </is>
      </c>
      <c r="E7322" t="inlineStr">
        <is>
          <t>MALÅ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34945-2024</t>
        </is>
      </c>
      <c r="B7323" s="1" t="n">
        <v>45527.46944444445</v>
      </c>
      <c r="C7323" s="1" t="n">
        <v>45971</v>
      </c>
      <c r="D7323" t="inlineStr">
        <is>
          <t>VÄSTERBOTTENS LÄN</t>
        </is>
      </c>
      <c r="E7323" t="inlineStr">
        <is>
          <t>NORSJÖ</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19074-2021</t>
        </is>
      </c>
      <c r="B7324" s="1" t="n">
        <v>44308</v>
      </c>
      <c r="C7324" s="1" t="n">
        <v>45971</v>
      </c>
      <c r="D7324" t="inlineStr">
        <is>
          <t>VÄSTERBOTTENS LÄN</t>
        </is>
      </c>
      <c r="E7324" t="inlineStr">
        <is>
          <t>UMEÅ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15226-2024</t>
        </is>
      </c>
      <c r="B7325" s="1" t="n">
        <v>45400</v>
      </c>
      <c r="C7325" s="1" t="n">
        <v>45971</v>
      </c>
      <c r="D7325" t="inlineStr">
        <is>
          <t>VÄSTERBOTTENS LÄN</t>
        </is>
      </c>
      <c r="E7325" t="inlineStr">
        <is>
          <t>SORSELE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36201-2024</t>
        </is>
      </c>
      <c r="B7326" s="1" t="n">
        <v>45534.43785879629</v>
      </c>
      <c r="C7326" s="1" t="n">
        <v>45971</v>
      </c>
      <c r="D7326" t="inlineStr">
        <is>
          <t>VÄSTERBOTTENS LÄN</t>
        </is>
      </c>
      <c r="E7326" t="inlineStr">
        <is>
          <t>SKELLEFTEÅ</t>
        </is>
      </c>
      <c r="F7326" t="inlineStr">
        <is>
          <t>Holmen skog AB</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32914-2024</t>
        </is>
      </c>
      <c r="B7327" s="1" t="n">
        <v>45516.95133101852</v>
      </c>
      <c r="C7327" s="1" t="n">
        <v>45971</v>
      </c>
      <c r="D7327" t="inlineStr">
        <is>
          <t>VÄSTERBOTTENS LÄN</t>
        </is>
      </c>
      <c r="E7327" t="inlineStr">
        <is>
          <t>SKELLEFTEÅ</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41398-2024</t>
        </is>
      </c>
      <c r="B7328" s="1" t="n">
        <v>45560</v>
      </c>
      <c r="C7328" s="1" t="n">
        <v>45971</v>
      </c>
      <c r="D7328" t="inlineStr">
        <is>
          <t>VÄSTERBOTTENS LÄN</t>
        </is>
      </c>
      <c r="E7328" t="inlineStr">
        <is>
          <t>VINDELN</t>
        </is>
      </c>
      <c r="F7328" t="inlineStr">
        <is>
          <t>Naturvårdsverket</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32925-2024</t>
        </is>
      </c>
      <c r="B7329" s="1" t="n">
        <v>45516.95302083333</v>
      </c>
      <c r="C7329" s="1" t="n">
        <v>45971</v>
      </c>
      <c r="D7329" t="inlineStr">
        <is>
          <t>VÄSTERBOTTENS LÄN</t>
        </is>
      </c>
      <c r="E7329" t="inlineStr">
        <is>
          <t>VILHELMINA</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32926-2024</t>
        </is>
      </c>
      <c r="B7330" s="1" t="n">
        <v>45516.95311342592</v>
      </c>
      <c r="C7330" s="1" t="n">
        <v>45971</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41402-2024</t>
        </is>
      </c>
      <c r="B7331" s="1" t="n">
        <v>45560.33498842592</v>
      </c>
      <c r="C7331" s="1" t="n">
        <v>45971</v>
      </c>
      <c r="D7331" t="inlineStr">
        <is>
          <t>VÄSTERBOTTENS LÄN</t>
        </is>
      </c>
      <c r="E7331" t="inlineStr">
        <is>
          <t>ÅSELE</t>
        </is>
      </c>
      <c r="F7331" t="inlineStr">
        <is>
          <t>Holmen skog AB</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41966-2024</t>
        </is>
      </c>
      <c r="B7332" s="1" t="n">
        <v>45561.59516203704</v>
      </c>
      <c r="C7332" s="1" t="n">
        <v>45971</v>
      </c>
      <c r="D7332" t="inlineStr">
        <is>
          <t>VÄSTERBOTTENS LÄN</t>
        </is>
      </c>
      <c r="E7332" t="inlineStr">
        <is>
          <t>NORSJÖ</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277-2025</t>
        </is>
      </c>
      <c r="B7333" s="1" t="n">
        <v>45660.49072916667</v>
      </c>
      <c r="C7333" s="1" t="n">
        <v>45971</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32820-2023</t>
        </is>
      </c>
      <c r="B7334" s="1" t="n">
        <v>45112</v>
      </c>
      <c r="C7334" s="1" t="n">
        <v>45971</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47242-2024</t>
        </is>
      </c>
      <c r="B7335" s="1" t="n">
        <v>45586</v>
      </c>
      <c r="C7335" s="1" t="n">
        <v>45971</v>
      </c>
      <c r="D7335" t="inlineStr">
        <is>
          <t>VÄSTERBOTTENS LÄN</t>
        </is>
      </c>
      <c r="E7335" t="inlineStr">
        <is>
          <t>VILHELMINA</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44475-2024</t>
        </is>
      </c>
      <c r="B7336" s="1" t="n">
        <v>45574</v>
      </c>
      <c r="C7336" s="1" t="n">
        <v>45971</v>
      </c>
      <c r="D7336" t="inlineStr">
        <is>
          <t>VÄSTERBOTTENS LÄN</t>
        </is>
      </c>
      <c r="E7336" t="inlineStr">
        <is>
          <t>NORDMALING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23645-2025</t>
        </is>
      </c>
      <c r="B7337" s="1" t="n">
        <v>45792.69283564815</v>
      </c>
      <c r="C7337" s="1" t="n">
        <v>45971</v>
      </c>
      <c r="D7337" t="inlineStr">
        <is>
          <t>VÄSTERBOTTENS LÄN</t>
        </is>
      </c>
      <c r="E7337" t="inlineStr">
        <is>
          <t>LYCKSELE</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44479-2024</t>
        </is>
      </c>
      <c r="B7338" s="1" t="n">
        <v>45574</v>
      </c>
      <c r="C7338" s="1" t="n">
        <v>45971</v>
      </c>
      <c r="D7338" t="inlineStr">
        <is>
          <t>VÄSTERBOTTENS LÄN</t>
        </is>
      </c>
      <c r="E7338" t="inlineStr">
        <is>
          <t>SKELLEFTEÅ</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8341-2024</t>
        </is>
      </c>
      <c r="B7339" s="1" t="n">
        <v>45351</v>
      </c>
      <c r="C7339" s="1" t="n">
        <v>45971</v>
      </c>
      <c r="D7339" t="inlineStr">
        <is>
          <t>VÄSTERBOTTENS LÄN</t>
        </is>
      </c>
      <c r="E7339" t="inlineStr">
        <is>
          <t>SKELLEFTEÅ</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41212-2025</t>
        </is>
      </c>
      <c r="B7340" s="1" t="n">
        <v>45898.57967592592</v>
      </c>
      <c r="C7340" s="1" t="n">
        <v>45971</v>
      </c>
      <c r="D7340" t="inlineStr">
        <is>
          <t>VÄSTERBOTTENS LÄN</t>
        </is>
      </c>
      <c r="E7340" t="inlineStr">
        <is>
          <t>MALÅ</t>
        </is>
      </c>
      <c r="F7340" t="inlineStr">
        <is>
          <t>Sveaskog</t>
        </is>
      </c>
      <c r="G7340" t="n">
        <v>17.6</v>
      </c>
      <c r="H7340" t="n">
        <v>0</v>
      </c>
      <c r="I7340" t="n">
        <v>0</v>
      </c>
      <c r="J7340" t="n">
        <v>0</v>
      </c>
      <c r="K7340" t="n">
        <v>0</v>
      </c>
      <c r="L7340" t="n">
        <v>0</v>
      </c>
      <c r="M7340" t="n">
        <v>0</v>
      </c>
      <c r="N7340" t="n">
        <v>0</v>
      </c>
      <c r="O7340" t="n">
        <v>0</v>
      </c>
      <c r="P7340" t="n">
        <v>0</v>
      </c>
      <c r="Q7340" t="n">
        <v>0</v>
      </c>
      <c r="R7340" s="2" t="inlineStr"/>
    </row>
    <row r="7341" ht="15" customHeight="1">
      <c r="A7341" t="inlineStr">
        <is>
          <t>A 44505-2024</t>
        </is>
      </c>
      <c r="B7341" s="1" t="n">
        <v>45574.40974537037</v>
      </c>
      <c r="C7341" s="1" t="n">
        <v>45971</v>
      </c>
      <c r="D7341" t="inlineStr">
        <is>
          <t>VÄSTERBOTTENS LÄN</t>
        </is>
      </c>
      <c r="E7341" t="inlineStr">
        <is>
          <t>VILHELMINA</t>
        </is>
      </c>
      <c r="G7341" t="n">
        <v>15.5</v>
      </c>
      <c r="H7341" t="n">
        <v>0</v>
      </c>
      <c r="I7341" t="n">
        <v>0</v>
      </c>
      <c r="J7341" t="n">
        <v>0</v>
      </c>
      <c r="K7341" t="n">
        <v>0</v>
      </c>
      <c r="L7341" t="n">
        <v>0</v>
      </c>
      <c r="M7341" t="n">
        <v>0</v>
      </c>
      <c r="N7341" t="n">
        <v>0</v>
      </c>
      <c r="O7341" t="n">
        <v>0</v>
      </c>
      <c r="P7341" t="n">
        <v>0</v>
      </c>
      <c r="Q7341" t="n">
        <v>0</v>
      </c>
      <c r="R7341" s="2" t="inlineStr"/>
    </row>
    <row r="7342" ht="15" customHeight="1">
      <c r="A7342" t="inlineStr">
        <is>
          <t>A 5603-2024</t>
        </is>
      </c>
      <c r="B7342" s="1" t="n">
        <v>45334</v>
      </c>
      <c r="C7342" s="1" t="n">
        <v>45971</v>
      </c>
      <c r="D7342" t="inlineStr">
        <is>
          <t>VÄSTERBOTTENS LÄN</t>
        </is>
      </c>
      <c r="E7342" t="inlineStr">
        <is>
          <t>SKELLEFTEÅ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23567-2025</t>
        </is>
      </c>
      <c r="B7343" s="1" t="n">
        <v>45792.60107638889</v>
      </c>
      <c r="C7343" s="1" t="n">
        <v>45971</v>
      </c>
      <c r="D7343" t="inlineStr">
        <is>
          <t>VÄSTERBOTTENS LÄN</t>
        </is>
      </c>
      <c r="E7343" t="inlineStr">
        <is>
          <t>VÄNNÄS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5249-2024</t>
        </is>
      </c>
      <c r="B7344" s="1" t="n">
        <v>45330.93196759259</v>
      </c>
      <c r="C7344" s="1" t="n">
        <v>45971</v>
      </c>
      <c r="D7344" t="inlineStr">
        <is>
          <t>VÄSTERBOTTENS LÄN</t>
        </is>
      </c>
      <c r="E7344" t="inlineStr">
        <is>
          <t>ÅSELE</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23605-2025</t>
        </is>
      </c>
      <c r="B7345" s="1" t="n">
        <v>45792.65528935185</v>
      </c>
      <c r="C7345" s="1" t="n">
        <v>45971</v>
      </c>
      <c r="D7345" t="inlineStr">
        <is>
          <t>VÄSTERBOTTENS LÄN</t>
        </is>
      </c>
      <c r="E7345" t="inlineStr">
        <is>
          <t>ROBERTSFORS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5258-2024</t>
        </is>
      </c>
      <c r="B7346" s="1" t="n">
        <v>45330</v>
      </c>
      <c r="C7346" s="1" t="n">
        <v>45971</v>
      </c>
      <c r="D7346" t="inlineStr">
        <is>
          <t>VÄSTERBOTTENS LÄN</t>
        </is>
      </c>
      <c r="E7346" t="inlineStr">
        <is>
          <t>NORDMALING</t>
        </is>
      </c>
      <c r="F7346" t="inlineStr">
        <is>
          <t>SCA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45126-2023</t>
        </is>
      </c>
      <c r="B7347" s="1" t="n">
        <v>45187</v>
      </c>
      <c r="C7347" s="1" t="n">
        <v>45971</v>
      </c>
      <c r="D7347" t="inlineStr">
        <is>
          <t>VÄSTERBOTTENS LÄN</t>
        </is>
      </c>
      <c r="E7347" t="inlineStr">
        <is>
          <t>VÄNNÄS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55714-2023</t>
        </is>
      </c>
      <c r="B7348" s="1" t="n">
        <v>45232</v>
      </c>
      <c r="C7348" s="1" t="n">
        <v>45971</v>
      </c>
      <c r="D7348" t="inlineStr">
        <is>
          <t>VÄSTERBOTTENS LÄN</t>
        </is>
      </c>
      <c r="E7348" t="inlineStr">
        <is>
          <t>VILHELMINA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34489-2024</t>
        </is>
      </c>
      <c r="B7349" s="1" t="n">
        <v>45525.61174768519</v>
      </c>
      <c r="C7349" s="1" t="n">
        <v>45971</v>
      </c>
      <c r="D7349" t="inlineStr">
        <is>
          <t>VÄSTERBOTTENS LÄN</t>
        </is>
      </c>
      <c r="E7349" t="inlineStr">
        <is>
          <t>NORDMALING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32979-2024</t>
        </is>
      </c>
      <c r="B7350" s="1" t="n">
        <v>45516</v>
      </c>
      <c r="C7350" s="1" t="n">
        <v>45971</v>
      </c>
      <c r="D7350" t="inlineStr">
        <is>
          <t>VÄSTERBOTTENS LÄN</t>
        </is>
      </c>
      <c r="E7350" t="inlineStr">
        <is>
          <t>MALÅ</t>
        </is>
      </c>
      <c r="G7350" t="n">
        <v>15.5</v>
      </c>
      <c r="H7350" t="n">
        <v>0</v>
      </c>
      <c r="I7350" t="n">
        <v>0</v>
      </c>
      <c r="J7350" t="n">
        <v>0</v>
      </c>
      <c r="K7350" t="n">
        <v>0</v>
      </c>
      <c r="L7350" t="n">
        <v>0</v>
      </c>
      <c r="M7350" t="n">
        <v>0</v>
      </c>
      <c r="N7350" t="n">
        <v>0</v>
      </c>
      <c r="O7350" t="n">
        <v>0</v>
      </c>
      <c r="P7350" t="n">
        <v>0</v>
      </c>
      <c r="Q7350" t="n">
        <v>0</v>
      </c>
      <c r="R7350" s="2" t="inlineStr"/>
    </row>
    <row r="7351" ht="15" customHeight="1">
      <c r="A7351" t="inlineStr">
        <is>
          <t>A 23492-2025</t>
        </is>
      </c>
      <c r="B7351" s="1" t="n">
        <v>45792.46936342592</v>
      </c>
      <c r="C7351" s="1" t="n">
        <v>45971</v>
      </c>
      <c r="D7351" t="inlineStr">
        <is>
          <t>VÄSTERBOTTENS LÄN</t>
        </is>
      </c>
      <c r="E7351" t="inlineStr">
        <is>
          <t>DOROTEA</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45899-2024</t>
        </is>
      </c>
      <c r="B7352" s="1" t="n">
        <v>45580.43047453704</v>
      </c>
      <c r="C7352" s="1" t="n">
        <v>45971</v>
      </c>
      <c r="D7352" t="inlineStr">
        <is>
          <t>VÄSTERBOTTENS LÄN</t>
        </is>
      </c>
      <c r="E7352" t="inlineStr">
        <is>
          <t>VÄNNÄS</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60224-2024</t>
        </is>
      </c>
      <c r="B7353" s="1" t="n">
        <v>45642.70561342593</v>
      </c>
      <c r="C7353" s="1" t="n">
        <v>45971</v>
      </c>
      <c r="D7353" t="inlineStr">
        <is>
          <t>VÄSTERBOTTENS LÄN</t>
        </is>
      </c>
      <c r="E7353" t="inlineStr">
        <is>
          <t>BJURHOLM</t>
        </is>
      </c>
      <c r="F7353" t="inlineStr">
        <is>
          <t>Sveaskog</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26385-2024</t>
        </is>
      </c>
      <c r="B7354" s="1" t="n">
        <v>45469.42753472222</v>
      </c>
      <c r="C7354" s="1" t="n">
        <v>45971</v>
      </c>
      <c r="D7354" t="inlineStr">
        <is>
          <t>VÄSTERBOTTENS LÄN</t>
        </is>
      </c>
      <c r="E7354" t="inlineStr">
        <is>
          <t>NORSJÖ</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378-2024</t>
        </is>
      </c>
      <c r="B7355" s="1" t="n">
        <v>45296</v>
      </c>
      <c r="C7355" s="1" t="n">
        <v>45971</v>
      </c>
      <c r="D7355" t="inlineStr">
        <is>
          <t>VÄSTERBOTTENS LÄN</t>
        </is>
      </c>
      <c r="E7355" t="inlineStr">
        <is>
          <t>VINDELN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48714-2024</t>
        </is>
      </c>
      <c r="B7356" s="1" t="n">
        <v>45593.54328703704</v>
      </c>
      <c r="C7356" s="1" t="n">
        <v>45971</v>
      </c>
      <c r="D7356" t="inlineStr">
        <is>
          <t>VÄSTERBOTTENS LÄN</t>
        </is>
      </c>
      <c r="E7356" t="inlineStr">
        <is>
          <t>UMEÅ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23104-2025</t>
        </is>
      </c>
      <c r="B7357" s="1" t="n">
        <v>45791.35722222222</v>
      </c>
      <c r="C7357" s="1" t="n">
        <v>45971</v>
      </c>
      <c r="D7357" t="inlineStr">
        <is>
          <t>VÄSTERBOTTENS LÄN</t>
        </is>
      </c>
      <c r="E7357" t="inlineStr">
        <is>
          <t>SKELLEFTEÅ</t>
        </is>
      </c>
      <c r="F7357" t="inlineStr">
        <is>
          <t>Holmen skog AB</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48716-2024</t>
        </is>
      </c>
      <c r="B7358" s="1" t="n">
        <v>45593</v>
      </c>
      <c r="C7358" s="1" t="n">
        <v>45971</v>
      </c>
      <c r="D7358" t="inlineStr">
        <is>
          <t>VÄSTERBOTTENS LÄN</t>
        </is>
      </c>
      <c r="E7358" t="inlineStr">
        <is>
          <t>STORUMAN</t>
        </is>
      </c>
      <c r="F7358" t="inlineStr">
        <is>
          <t>Allmännings- och besparingsskogar</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43854-2024</t>
        </is>
      </c>
      <c r="B7359" s="1" t="n">
        <v>45572</v>
      </c>
      <c r="C7359" s="1" t="n">
        <v>45971</v>
      </c>
      <c r="D7359" t="inlineStr">
        <is>
          <t>VÄSTERBOTTENS LÄN</t>
        </is>
      </c>
      <c r="E7359" t="inlineStr">
        <is>
          <t>MALÅ</t>
        </is>
      </c>
      <c r="F7359" t="inlineStr">
        <is>
          <t>Kommuner</t>
        </is>
      </c>
      <c r="G7359" t="n">
        <v>12.7</v>
      </c>
      <c r="H7359" t="n">
        <v>0</v>
      </c>
      <c r="I7359" t="n">
        <v>0</v>
      </c>
      <c r="J7359" t="n">
        <v>0</v>
      </c>
      <c r="K7359" t="n">
        <v>0</v>
      </c>
      <c r="L7359" t="n">
        <v>0</v>
      </c>
      <c r="M7359" t="n">
        <v>0</v>
      </c>
      <c r="N7359" t="n">
        <v>0</v>
      </c>
      <c r="O7359" t="n">
        <v>0</v>
      </c>
      <c r="P7359" t="n">
        <v>0</v>
      </c>
      <c r="Q7359" t="n">
        <v>0</v>
      </c>
      <c r="R7359" s="2" t="inlineStr"/>
    </row>
    <row r="7360" ht="15" customHeight="1">
      <c r="A7360" t="inlineStr">
        <is>
          <t>A 22673-2025</t>
        </is>
      </c>
      <c r="B7360" s="1" t="n">
        <v>45789.49042824074</v>
      </c>
      <c r="C7360" s="1" t="n">
        <v>45971</v>
      </c>
      <c r="D7360" t="inlineStr">
        <is>
          <t>VÄSTERBOTTENS LÄN</t>
        </is>
      </c>
      <c r="E7360" t="inlineStr">
        <is>
          <t>ROBERTSFORS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22674-2025</t>
        </is>
      </c>
      <c r="B7361" s="1" t="n">
        <v>45789.49047453704</v>
      </c>
      <c r="C7361" s="1" t="n">
        <v>45971</v>
      </c>
      <c r="D7361" t="inlineStr">
        <is>
          <t>VÄSTERBOTTENS LÄN</t>
        </is>
      </c>
      <c r="E7361" t="inlineStr">
        <is>
          <t>UMEÅ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45312-2024</t>
        </is>
      </c>
      <c r="B7362" s="1" t="n">
        <v>45576.4328587963</v>
      </c>
      <c r="C7362" s="1" t="n">
        <v>45971</v>
      </c>
      <c r="D7362" t="inlineStr">
        <is>
          <t>VÄSTERBOTTENS LÄN</t>
        </is>
      </c>
      <c r="E7362" t="inlineStr">
        <is>
          <t>LYCKSELE</t>
        </is>
      </c>
      <c r="F7362" t="inlineStr">
        <is>
          <t>Sveaskog</t>
        </is>
      </c>
      <c r="G7362" t="n">
        <v>10.8</v>
      </c>
      <c r="H7362" t="n">
        <v>0</v>
      </c>
      <c r="I7362" t="n">
        <v>0</v>
      </c>
      <c r="J7362" t="n">
        <v>0</v>
      </c>
      <c r="K7362" t="n">
        <v>0</v>
      </c>
      <c r="L7362" t="n">
        <v>0</v>
      </c>
      <c r="M7362" t="n">
        <v>0</v>
      </c>
      <c r="N7362" t="n">
        <v>0</v>
      </c>
      <c r="O7362" t="n">
        <v>0</v>
      </c>
      <c r="P7362" t="n">
        <v>0</v>
      </c>
      <c r="Q7362" t="n">
        <v>0</v>
      </c>
      <c r="R7362" s="2" t="inlineStr"/>
    </row>
    <row r="7363" ht="15" customHeight="1">
      <c r="A7363" t="inlineStr">
        <is>
          <t>A 23453-2025</t>
        </is>
      </c>
      <c r="B7363" s="1" t="n">
        <v>45792.42302083333</v>
      </c>
      <c r="C7363" s="1" t="n">
        <v>45971</v>
      </c>
      <c r="D7363" t="inlineStr">
        <is>
          <t>VÄSTERBOTTENS LÄN</t>
        </is>
      </c>
      <c r="E7363" t="inlineStr">
        <is>
          <t>VÄNNÄS</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23472-2025</t>
        </is>
      </c>
      <c r="B7364" s="1" t="n">
        <v>45792</v>
      </c>
      <c r="C7364" s="1" t="n">
        <v>45971</v>
      </c>
      <c r="D7364" t="inlineStr">
        <is>
          <t>VÄSTERBOTTENS LÄN</t>
        </is>
      </c>
      <c r="E7364" t="inlineStr">
        <is>
          <t>UMEÅ</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45352-2024</t>
        </is>
      </c>
      <c r="B7365" s="1" t="n">
        <v>45576</v>
      </c>
      <c r="C7365" s="1" t="n">
        <v>45971</v>
      </c>
      <c r="D7365" t="inlineStr">
        <is>
          <t>VÄSTERBOTTENS LÄN</t>
        </is>
      </c>
      <c r="E7365" t="inlineStr">
        <is>
          <t>LYCKSELE</t>
        </is>
      </c>
      <c r="F7365" t="inlineStr">
        <is>
          <t>Sveaskog</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49637-2025</t>
        </is>
      </c>
      <c r="B7366" s="1" t="n">
        <v>45939.61072916666</v>
      </c>
      <c r="C7366" s="1" t="n">
        <v>45971</v>
      </c>
      <c r="D7366" t="inlineStr">
        <is>
          <t>VÄSTERBOTTENS LÄN</t>
        </is>
      </c>
      <c r="E7366" t="inlineStr">
        <is>
          <t>ROBERTSFORS</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23327-2025</t>
        </is>
      </c>
      <c r="B7367" s="1" t="n">
        <v>45791.62792824074</v>
      </c>
      <c r="C7367" s="1" t="n">
        <v>45971</v>
      </c>
      <c r="D7367" t="inlineStr">
        <is>
          <t>VÄSTERBOTTENS LÄN</t>
        </is>
      </c>
      <c r="E7367" t="inlineStr">
        <is>
          <t>SKELLEFTEÅ</t>
        </is>
      </c>
      <c r="F7367" t="inlineStr">
        <is>
          <t>Holmen skog AB</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18010-2025</t>
        </is>
      </c>
      <c r="B7368" s="1" t="n">
        <v>45761.43072916667</v>
      </c>
      <c r="C7368" s="1" t="n">
        <v>45971</v>
      </c>
      <c r="D7368" t="inlineStr">
        <is>
          <t>VÄSTERBOTTENS LÄN</t>
        </is>
      </c>
      <c r="E7368" t="inlineStr">
        <is>
          <t>UMEÅ</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40928-2025</t>
        </is>
      </c>
      <c r="B7369" s="1" t="n">
        <v>45897.6433912037</v>
      </c>
      <c r="C7369" s="1" t="n">
        <v>45971</v>
      </c>
      <c r="D7369" t="inlineStr">
        <is>
          <t>VÄSTERBOTTENS LÄN</t>
        </is>
      </c>
      <c r="E7369" t="inlineStr">
        <is>
          <t>UMEÅ</t>
        </is>
      </c>
      <c r="F7369" t="inlineStr">
        <is>
          <t>Holmen skog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29737-2024</t>
        </is>
      </c>
      <c r="B7370" s="1" t="n">
        <v>45485.38835648148</v>
      </c>
      <c r="C7370" s="1" t="n">
        <v>45971</v>
      </c>
      <c r="D7370" t="inlineStr">
        <is>
          <t>VÄSTERBOTTENS LÄN</t>
        </is>
      </c>
      <c r="E7370" t="inlineStr">
        <is>
          <t>DOROTEA</t>
        </is>
      </c>
      <c r="G7370" t="n">
        <v>10.2</v>
      </c>
      <c r="H7370" t="n">
        <v>0</v>
      </c>
      <c r="I7370" t="n">
        <v>0</v>
      </c>
      <c r="J7370" t="n">
        <v>0</v>
      </c>
      <c r="K7370" t="n">
        <v>0</v>
      </c>
      <c r="L7370" t="n">
        <v>0</v>
      </c>
      <c r="M7370" t="n">
        <v>0</v>
      </c>
      <c r="N7370" t="n">
        <v>0</v>
      </c>
      <c r="O7370" t="n">
        <v>0</v>
      </c>
      <c r="P7370" t="n">
        <v>0</v>
      </c>
      <c r="Q7370" t="n">
        <v>0</v>
      </c>
      <c r="R7370" s="2" t="inlineStr"/>
    </row>
    <row r="7371" ht="15" customHeight="1">
      <c r="A7371" t="inlineStr">
        <is>
          <t>A 18674-2025</t>
        </is>
      </c>
      <c r="B7371" s="1" t="n">
        <v>45763.59829861111</v>
      </c>
      <c r="C7371" s="1" t="n">
        <v>45971</v>
      </c>
      <c r="D7371" t="inlineStr">
        <is>
          <t>VÄSTERBOTTENS LÄN</t>
        </is>
      </c>
      <c r="E7371" t="inlineStr">
        <is>
          <t>LYCKSELE</t>
        </is>
      </c>
      <c r="F7371" t="inlineStr">
        <is>
          <t>Holmen skog AB</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49492-2025</t>
        </is>
      </c>
      <c r="B7372" s="1" t="n">
        <v>45939.36616898148</v>
      </c>
      <c r="C7372" s="1" t="n">
        <v>45971</v>
      </c>
      <c r="D7372" t="inlineStr">
        <is>
          <t>VÄSTERBOTTENS LÄN</t>
        </is>
      </c>
      <c r="E7372" t="inlineStr">
        <is>
          <t>UMEÅ</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49496-2025</t>
        </is>
      </c>
      <c r="B7373" s="1" t="n">
        <v>45939.36644675926</v>
      </c>
      <c r="C7373" s="1" t="n">
        <v>45971</v>
      </c>
      <c r="D7373" t="inlineStr">
        <is>
          <t>VÄSTERBOTTENS LÄN</t>
        </is>
      </c>
      <c r="E7373" t="inlineStr">
        <is>
          <t>UMEÅ</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49497-2025</t>
        </is>
      </c>
      <c r="B7374" s="1" t="n">
        <v>45939.36646990741</v>
      </c>
      <c r="C7374" s="1" t="n">
        <v>45971</v>
      </c>
      <c r="D7374" t="inlineStr">
        <is>
          <t>VÄSTERBOTTENS LÄN</t>
        </is>
      </c>
      <c r="E7374" t="inlineStr">
        <is>
          <t>UMEÅ</t>
        </is>
      </c>
      <c r="G7374" t="n">
        <v>17.2</v>
      </c>
      <c r="H7374" t="n">
        <v>0</v>
      </c>
      <c r="I7374" t="n">
        <v>0</v>
      </c>
      <c r="J7374" t="n">
        <v>0</v>
      </c>
      <c r="K7374" t="n">
        <v>0</v>
      </c>
      <c r="L7374" t="n">
        <v>0</v>
      </c>
      <c r="M7374" t="n">
        <v>0</v>
      </c>
      <c r="N7374" t="n">
        <v>0</v>
      </c>
      <c r="O7374" t="n">
        <v>0</v>
      </c>
      <c r="P7374" t="n">
        <v>0</v>
      </c>
      <c r="Q7374" t="n">
        <v>0</v>
      </c>
      <c r="R7374" s="2" t="inlineStr"/>
    </row>
    <row r="7375" ht="15" customHeight="1">
      <c r="A7375" t="inlineStr">
        <is>
          <t>A 49498-2025</t>
        </is>
      </c>
      <c r="B7375" s="1" t="n">
        <v>45939.36655092592</v>
      </c>
      <c r="C7375" s="1" t="n">
        <v>45971</v>
      </c>
      <c r="D7375" t="inlineStr">
        <is>
          <t>VÄSTERBOTTENS LÄN</t>
        </is>
      </c>
      <c r="E7375" t="inlineStr">
        <is>
          <t>VINDELN</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49519-2025</t>
        </is>
      </c>
      <c r="B7376" s="1" t="n">
        <v>45939.39155092592</v>
      </c>
      <c r="C7376" s="1" t="n">
        <v>45971</v>
      </c>
      <c r="D7376" t="inlineStr">
        <is>
          <t>VÄSTERBOTTENS LÄN</t>
        </is>
      </c>
      <c r="E7376" t="inlineStr">
        <is>
          <t>UMEÅ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45673-2023</t>
        </is>
      </c>
      <c r="B7377" s="1" t="n">
        <v>45194</v>
      </c>
      <c r="C7377" s="1" t="n">
        <v>45971</v>
      </c>
      <c r="D7377" t="inlineStr">
        <is>
          <t>VÄSTERBOTTENS LÄN</t>
        </is>
      </c>
      <c r="E7377" t="inlineStr">
        <is>
          <t>VILHELMINA</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52062-2023</t>
        </is>
      </c>
      <c r="B7378" s="1" t="n">
        <v>45216</v>
      </c>
      <c r="C7378" s="1" t="n">
        <v>45971</v>
      </c>
      <c r="D7378" t="inlineStr">
        <is>
          <t>VÄSTERBOTTENS LÄN</t>
        </is>
      </c>
      <c r="E7378" t="inlineStr">
        <is>
          <t>SKELLEFTEÅ</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25237-2023</t>
        </is>
      </c>
      <c r="B7379" s="1" t="n">
        <v>45079</v>
      </c>
      <c r="C7379" s="1" t="n">
        <v>45971</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41227-2024</t>
        </is>
      </c>
      <c r="B7380" s="1" t="n">
        <v>45559.55923611111</v>
      </c>
      <c r="C7380" s="1" t="n">
        <v>45971</v>
      </c>
      <c r="D7380" t="inlineStr">
        <is>
          <t>VÄSTERBOTTENS LÄN</t>
        </is>
      </c>
      <c r="E7380" t="inlineStr">
        <is>
          <t>VINDELN</t>
        </is>
      </c>
      <c r="F7380" t="inlineStr">
        <is>
          <t>Holmen skog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19390-2024</t>
        </is>
      </c>
      <c r="B7381" s="1" t="n">
        <v>45429.37934027778</v>
      </c>
      <c r="C7381" s="1" t="n">
        <v>45971</v>
      </c>
      <c r="D7381" t="inlineStr">
        <is>
          <t>VÄSTERBOTTENS LÄN</t>
        </is>
      </c>
      <c r="E7381" t="inlineStr">
        <is>
          <t>LYCKSELE</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45789-2023</t>
        </is>
      </c>
      <c r="B7382" s="1" t="n">
        <v>45189</v>
      </c>
      <c r="C7382" s="1" t="n">
        <v>45971</v>
      </c>
      <c r="D7382" t="inlineStr">
        <is>
          <t>VÄSTERBOTTENS LÄN</t>
        </is>
      </c>
      <c r="E7382" t="inlineStr">
        <is>
          <t>MALÅ</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54207-2024</t>
        </is>
      </c>
      <c r="B7383" s="1" t="n">
        <v>45616.65459490741</v>
      </c>
      <c r="C7383" s="1" t="n">
        <v>45971</v>
      </c>
      <c r="D7383" t="inlineStr">
        <is>
          <t>VÄSTERBOTTENS LÄN</t>
        </is>
      </c>
      <c r="E7383" t="inlineStr">
        <is>
          <t>NORDMALING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54251-2024</t>
        </is>
      </c>
      <c r="B7384" s="1" t="n">
        <v>45616.69726851852</v>
      </c>
      <c r="C7384" s="1" t="n">
        <v>45971</v>
      </c>
      <c r="D7384" t="inlineStr">
        <is>
          <t>VÄSTERBOTTENS LÄN</t>
        </is>
      </c>
      <c r="E7384" t="inlineStr">
        <is>
          <t>SKELLEFTEÅ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54680-2024</t>
        </is>
      </c>
      <c r="B7385" s="1" t="n">
        <v>45618.3540162037</v>
      </c>
      <c r="C7385" s="1" t="n">
        <v>45971</v>
      </c>
      <c r="D7385" t="inlineStr">
        <is>
          <t>VÄSTERBOTTENS LÄN</t>
        </is>
      </c>
      <c r="E7385" t="inlineStr">
        <is>
          <t>LYCKSELE</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35349-2023</t>
        </is>
      </c>
      <c r="B7386" s="1" t="n">
        <v>45146</v>
      </c>
      <c r="C7386" s="1" t="n">
        <v>45971</v>
      </c>
      <c r="D7386" t="inlineStr">
        <is>
          <t>VÄSTERBOTTENS LÄN</t>
        </is>
      </c>
      <c r="E7386" t="inlineStr">
        <is>
          <t>VÄNNÄS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13451-2022</t>
        </is>
      </c>
      <c r="B7387" s="1" t="n">
        <v>44645</v>
      </c>
      <c r="C7387" s="1" t="n">
        <v>45971</v>
      </c>
      <c r="D7387" t="inlineStr">
        <is>
          <t>VÄSTERBOTTENS LÄN</t>
        </is>
      </c>
      <c r="E7387" t="inlineStr">
        <is>
          <t>DOROTEA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25719-2024</t>
        </is>
      </c>
      <c r="B7388" s="1" t="n">
        <v>45463</v>
      </c>
      <c r="C7388" s="1" t="n">
        <v>45971</v>
      </c>
      <c r="D7388" t="inlineStr">
        <is>
          <t>VÄSTERBOTTENS LÄN</t>
        </is>
      </c>
      <c r="E7388" t="inlineStr">
        <is>
          <t>DOROTEA</t>
        </is>
      </c>
      <c r="F7388" t="inlineStr">
        <is>
          <t>SCA</t>
        </is>
      </c>
      <c r="G7388" t="n">
        <v>16.2</v>
      </c>
      <c r="H7388" t="n">
        <v>0</v>
      </c>
      <c r="I7388" t="n">
        <v>0</v>
      </c>
      <c r="J7388" t="n">
        <v>0</v>
      </c>
      <c r="K7388" t="n">
        <v>0</v>
      </c>
      <c r="L7388" t="n">
        <v>0</v>
      </c>
      <c r="M7388" t="n">
        <v>0</v>
      </c>
      <c r="N7388" t="n">
        <v>0</v>
      </c>
      <c r="O7388" t="n">
        <v>0</v>
      </c>
      <c r="P7388" t="n">
        <v>0</v>
      </c>
      <c r="Q7388" t="n">
        <v>0</v>
      </c>
      <c r="R7388" s="2" t="inlineStr"/>
    </row>
    <row r="7389" ht="15" customHeight="1">
      <c r="A7389" t="inlineStr">
        <is>
          <t>A 23415-2025</t>
        </is>
      </c>
      <c r="B7389" s="1" t="n">
        <v>45792.34643518519</v>
      </c>
      <c r="C7389" s="1" t="n">
        <v>45971</v>
      </c>
      <c r="D7389" t="inlineStr">
        <is>
          <t>VÄSTERBOTTENS LÄN</t>
        </is>
      </c>
      <c r="E7389" t="inlineStr">
        <is>
          <t>VILHELMINA</t>
        </is>
      </c>
      <c r="F7389" t="inlineStr">
        <is>
          <t>SCA</t>
        </is>
      </c>
      <c r="G7389" t="n">
        <v>36.9</v>
      </c>
      <c r="H7389" t="n">
        <v>0</v>
      </c>
      <c r="I7389" t="n">
        <v>0</v>
      </c>
      <c r="J7389" t="n">
        <v>0</v>
      </c>
      <c r="K7389" t="n">
        <v>0</v>
      </c>
      <c r="L7389" t="n">
        <v>0</v>
      </c>
      <c r="M7389" t="n">
        <v>0</v>
      </c>
      <c r="N7389" t="n">
        <v>0</v>
      </c>
      <c r="O7389" t="n">
        <v>0</v>
      </c>
      <c r="P7389" t="n">
        <v>0</v>
      </c>
      <c r="Q7389" t="n">
        <v>0</v>
      </c>
      <c r="R7389" s="2" t="inlineStr"/>
    </row>
    <row r="7390" ht="15" customHeight="1">
      <c r="A7390" t="inlineStr">
        <is>
          <t>A 5902-2024</t>
        </is>
      </c>
      <c r="B7390" s="1" t="n">
        <v>45335</v>
      </c>
      <c r="C7390" s="1" t="n">
        <v>45971</v>
      </c>
      <c r="D7390" t="inlineStr">
        <is>
          <t>VÄSTERBOTTENS LÄN</t>
        </is>
      </c>
      <c r="E7390" t="inlineStr">
        <is>
          <t>ROBERTSFORS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23474-2025</t>
        </is>
      </c>
      <c r="B7391" s="1" t="n">
        <v>45792.4493287037</v>
      </c>
      <c r="C7391" s="1" t="n">
        <v>45971</v>
      </c>
      <c r="D7391" t="inlineStr">
        <is>
          <t>VÄSTERBOTTENS LÄN</t>
        </is>
      </c>
      <c r="E7391" t="inlineStr">
        <is>
          <t>UMEÅ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31817-2024</t>
        </is>
      </c>
      <c r="B7392" s="1" t="n">
        <v>45509</v>
      </c>
      <c r="C7392" s="1" t="n">
        <v>45971</v>
      </c>
      <c r="D7392" t="inlineStr">
        <is>
          <t>VÄSTERBOTTENS LÄN</t>
        </is>
      </c>
      <c r="E7392" t="inlineStr">
        <is>
          <t>VÄNNÄS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48062-2024</t>
        </is>
      </c>
      <c r="B7393" s="1" t="n">
        <v>45589</v>
      </c>
      <c r="C7393" s="1" t="n">
        <v>45971</v>
      </c>
      <c r="D7393" t="inlineStr">
        <is>
          <t>VÄSTERBOTTENS LÄN</t>
        </is>
      </c>
      <c r="E7393" t="inlineStr">
        <is>
          <t>VILHELMINA</t>
        </is>
      </c>
      <c r="F7393" t="inlineStr">
        <is>
          <t>SCA</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5495-2024</t>
        </is>
      </c>
      <c r="B7394" s="1" t="n">
        <v>45331</v>
      </c>
      <c r="C7394" s="1" t="n">
        <v>45971</v>
      </c>
      <c r="D7394" t="inlineStr">
        <is>
          <t>VÄSTERBOTTENS LÄN</t>
        </is>
      </c>
      <c r="E7394" t="inlineStr">
        <is>
          <t>DOROTEA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41079-2025</t>
        </is>
      </c>
      <c r="B7395" s="1" t="n">
        <v>45898.42778935185</v>
      </c>
      <c r="C7395" s="1" t="n">
        <v>45971</v>
      </c>
      <c r="D7395" t="inlineStr">
        <is>
          <t>VÄSTERBOTTENS LÄN</t>
        </is>
      </c>
      <c r="E7395" t="inlineStr">
        <is>
          <t>DOROTEA</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1402-2025</t>
        </is>
      </c>
      <c r="B7396" s="1" t="n">
        <v>45667.70535879629</v>
      </c>
      <c r="C7396" s="1" t="n">
        <v>45971</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40734-2025</t>
        </is>
      </c>
      <c r="B7397" s="1" t="n">
        <v>45897.3653125</v>
      </c>
      <c r="C7397" s="1" t="n">
        <v>45971</v>
      </c>
      <c r="D7397" t="inlineStr">
        <is>
          <t>VÄSTERBOTTENS LÄN</t>
        </is>
      </c>
      <c r="E7397" t="inlineStr">
        <is>
          <t>VINDELN</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23465-2025</t>
        </is>
      </c>
      <c r="B7398" s="1" t="n">
        <v>45792.43493055556</v>
      </c>
      <c r="C7398" s="1" t="n">
        <v>45971</v>
      </c>
      <c r="D7398" t="inlineStr">
        <is>
          <t>VÄSTERBOTTENS LÄN</t>
        </is>
      </c>
      <c r="E7398" t="inlineStr">
        <is>
          <t>VÄNNÄS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41191-2025</t>
        </is>
      </c>
      <c r="B7399" s="1" t="n">
        <v>45898.56827546296</v>
      </c>
      <c r="C7399" s="1" t="n">
        <v>45971</v>
      </c>
      <c r="D7399" t="inlineStr">
        <is>
          <t>VÄSTERBOTTENS LÄN</t>
        </is>
      </c>
      <c r="E7399" t="inlineStr">
        <is>
          <t>MALÅ</t>
        </is>
      </c>
      <c r="F7399" t="inlineStr">
        <is>
          <t>Sveaskog</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23406-2025</t>
        </is>
      </c>
      <c r="B7400" s="1" t="n">
        <v>45792.34540509259</v>
      </c>
      <c r="C7400" s="1" t="n">
        <v>45971</v>
      </c>
      <c r="D7400" t="inlineStr">
        <is>
          <t>VÄSTERBOTTENS LÄN</t>
        </is>
      </c>
      <c r="E7400" t="inlineStr">
        <is>
          <t>VILHELMINA</t>
        </is>
      </c>
      <c r="F7400" t="inlineStr">
        <is>
          <t>SCA</t>
        </is>
      </c>
      <c r="G7400" t="n">
        <v>15.4</v>
      </c>
      <c r="H7400" t="n">
        <v>0</v>
      </c>
      <c r="I7400" t="n">
        <v>0</v>
      </c>
      <c r="J7400" t="n">
        <v>0</v>
      </c>
      <c r="K7400" t="n">
        <v>0</v>
      </c>
      <c r="L7400" t="n">
        <v>0</v>
      </c>
      <c r="M7400" t="n">
        <v>0</v>
      </c>
      <c r="N7400" t="n">
        <v>0</v>
      </c>
      <c r="O7400" t="n">
        <v>0</v>
      </c>
      <c r="P7400" t="n">
        <v>0</v>
      </c>
      <c r="Q7400" t="n">
        <v>0</v>
      </c>
      <c r="R7400" s="2" t="inlineStr"/>
    </row>
    <row r="7401" ht="15" customHeight="1">
      <c r="A7401" t="inlineStr">
        <is>
          <t>A 8472-2025</t>
        </is>
      </c>
      <c r="B7401" s="1" t="n">
        <v>45709</v>
      </c>
      <c r="C7401" s="1" t="n">
        <v>45971</v>
      </c>
      <c r="D7401" t="inlineStr">
        <is>
          <t>VÄSTERBOTTENS LÄN</t>
        </is>
      </c>
      <c r="E7401" t="inlineStr">
        <is>
          <t>SORSELE</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26293-2025</t>
        </is>
      </c>
      <c r="B7402" s="1" t="n">
        <v>45805</v>
      </c>
      <c r="C7402" s="1" t="n">
        <v>45971</v>
      </c>
      <c r="D7402" t="inlineStr">
        <is>
          <t>VÄSTERBOTTENS LÄN</t>
        </is>
      </c>
      <c r="E7402" t="inlineStr">
        <is>
          <t>SKELLEFTEÅ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64340-2023</t>
        </is>
      </c>
      <c r="B7403" s="1" t="n">
        <v>45280.45571759259</v>
      </c>
      <c r="C7403" s="1" t="n">
        <v>45971</v>
      </c>
      <c r="D7403" t="inlineStr">
        <is>
          <t>VÄSTERBOTTENS LÄN</t>
        </is>
      </c>
      <c r="E7403" t="inlineStr">
        <is>
          <t>SKELLEFTEÅ</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25572-2023</t>
        </is>
      </c>
      <c r="B7404" s="1" t="n">
        <v>45082</v>
      </c>
      <c r="C7404" s="1" t="n">
        <v>45971</v>
      </c>
      <c r="D7404" t="inlineStr">
        <is>
          <t>VÄSTERBOTTENS LÄN</t>
        </is>
      </c>
      <c r="E7404" t="inlineStr">
        <is>
          <t>ROBERTSFORS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40767-2025</t>
        </is>
      </c>
      <c r="B7405" s="1" t="n">
        <v>45897</v>
      </c>
      <c r="C7405" s="1" t="n">
        <v>45971</v>
      </c>
      <c r="D7405" t="inlineStr">
        <is>
          <t>VÄSTERBOTTENS LÄN</t>
        </is>
      </c>
      <c r="E7405" t="inlineStr">
        <is>
          <t>VINDELN</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40771-2025</t>
        </is>
      </c>
      <c r="B7406" s="1" t="n">
        <v>45897.40736111111</v>
      </c>
      <c r="C7406" s="1" t="n">
        <v>45971</v>
      </c>
      <c r="D7406" t="inlineStr">
        <is>
          <t>VÄSTERBOTTENS LÄN</t>
        </is>
      </c>
      <c r="E7406" t="inlineStr">
        <is>
          <t>SKELLEFTEÅ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25638-2023</t>
        </is>
      </c>
      <c r="B7407" s="1" t="n">
        <v>45084</v>
      </c>
      <c r="C7407" s="1" t="n">
        <v>45971</v>
      </c>
      <c r="D7407" t="inlineStr">
        <is>
          <t>VÄSTERBOTTENS LÄN</t>
        </is>
      </c>
      <c r="E7407" t="inlineStr">
        <is>
          <t>SKELLEFTEÅ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44372-2023</t>
        </is>
      </c>
      <c r="B7408" s="1" t="n">
        <v>45188</v>
      </c>
      <c r="C7408" s="1" t="n">
        <v>45971</v>
      </c>
      <c r="D7408" t="inlineStr">
        <is>
          <t>VÄSTERBOTTENS LÄN</t>
        </is>
      </c>
      <c r="E7408" t="inlineStr">
        <is>
          <t>ROBERTSFORS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4921-2024</t>
        </is>
      </c>
      <c r="B7409" s="1" t="n">
        <v>45329</v>
      </c>
      <c r="C7409" s="1" t="n">
        <v>45971</v>
      </c>
      <c r="D7409" t="inlineStr">
        <is>
          <t>VÄSTERBOTTENS LÄN</t>
        </is>
      </c>
      <c r="E7409" t="inlineStr">
        <is>
          <t>ÅSELE</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49683-2025</t>
        </is>
      </c>
      <c r="B7410" s="1" t="n">
        <v>45939.65457175926</v>
      </c>
      <c r="C7410" s="1" t="n">
        <v>45971</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17467-2025</t>
        </is>
      </c>
      <c r="B7411" s="1" t="n">
        <v>45757</v>
      </c>
      <c r="C7411" s="1" t="n">
        <v>45971</v>
      </c>
      <c r="D7411" t="inlineStr">
        <is>
          <t>VÄSTERBOTTENS LÄN</t>
        </is>
      </c>
      <c r="E7411" t="inlineStr">
        <is>
          <t>VILHELMINA</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40924-2025</t>
        </is>
      </c>
      <c r="B7412" s="1" t="n">
        <v>45897.63927083334</v>
      </c>
      <c r="C7412" s="1" t="n">
        <v>45971</v>
      </c>
      <c r="D7412" t="inlineStr">
        <is>
          <t>VÄSTERBOTTENS LÄN</t>
        </is>
      </c>
      <c r="E7412" t="inlineStr">
        <is>
          <t>UMEÅ</t>
        </is>
      </c>
      <c r="F7412" t="inlineStr">
        <is>
          <t>Holmen skog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146-2025</t>
        </is>
      </c>
      <c r="B7413" s="1" t="n">
        <v>45659</v>
      </c>
      <c r="C7413" s="1" t="n">
        <v>45971</v>
      </c>
      <c r="D7413" t="inlineStr">
        <is>
          <t>VÄSTERBOTTENS LÄN</t>
        </is>
      </c>
      <c r="E7413" t="inlineStr">
        <is>
          <t>VILHELMINA</t>
        </is>
      </c>
      <c r="F7413" t="inlineStr">
        <is>
          <t>SCA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59555-2022</t>
        </is>
      </c>
      <c r="B7414" s="1" t="n">
        <v>44900</v>
      </c>
      <c r="C7414" s="1" t="n">
        <v>45971</v>
      </c>
      <c r="D7414" t="inlineStr">
        <is>
          <t>VÄSTERBOTTENS LÄN</t>
        </is>
      </c>
      <c r="E7414" t="inlineStr">
        <is>
          <t>SORSELE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41031-2025</t>
        </is>
      </c>
      <c r="B7415" s="1" t="n">
        <v>45898.37825231482</v>
      </c>
      <c r="C7415" s="1" t="n">
        <v>45971</v>
      </c>
      <c r="D7415" t="inlineStr">
        <is>
          <t>VÄSTERBOTTENS LÄN</t>
        </is>
      </c>
      <c r="E7415" t="inlineStr">
        <is>
          <t>LYCKSELE</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41127-2025</t>
        </is>
      </c>
      <c r="B7416" s="1" t="n">
        <v>45898.47844907407</v>
      </c>
      <c r="C7416" s="1" t="n">
        <v>45971</v>
      </c>
      <c r="D7416" t="inlineStr">
        <is>
          <t>VÄSTERBOTTENS LÄN</t>
        </is>
      </c>
      <c r="E7416" t="inlineStr">
        <is>
          <t>STORUMAN</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46989-2023</t>
        </is>
      </c>
      <c r="B7417" s="1" t="n">
        <v>45201</v>
      </c>
      <c r="C7417" s="1" t="n">
        <v>45971</v>
      </c>
      <c r="D7417" t="inlineStr">
        <is>
          <t>VÄSTERBOTTENS LÄN</t>
        </is>
      </c>
      <c r="E7417" t="inlineStr">
        <is>
          <t>MALÅ</t>
        </is>
      </c>
      <c r="G7417" t="n">
        <v>22.9</v>
      </c>
      <c r="H7417" t="n">
        <v>0</v>
      </c>
      <c r="I7417" t="n">
        <v>0</v>
      </c>
      <c r="J7417" t="n">
        <v>0</v>
      </c>
      <c r="K7417" t="n">
        <v>0</v>
      </c>
      <c r="L7417" t="n">
        <v>0</v>
      </c>
      <c r="M7417" t="n">
        <v>0</v>
      </c>
      <c r="N7417" t="n">
        <v>0</v>
      </c>
      <c r="O7417" t="n">
        <v>0</v>
      </c>
      <c r="P7417" t="n">
        <v>0</v>
      </c>
      <c r="Q7417" t="n">
        <v>0</v>
      </c>
      <c r="R7417" s="2" t="inlineStr"/>
    </row>
    <row r="7418" ht="15" customHeight="1">
      <c r="A7418" t="inlineStr">
        <is>
          <t>A 41138-2025</t>
        </is>
      </c>
      <c r="B7418" s="1" t="n">
        <v>45898.48869212963</v>
      </c>
      <c r="C7418" s="1" t="n">
        <v>45971</v>
      </c>
      <c r="D7418" t="inlineStr">
        <is>
          <t>VÄSTERBOTTENS LÄN</t>
        </is>
      </c>
      <c r="E7418" t="inlineStr">
        <is>
          <t>STORUMAN</t>
        </is>
      </c>
      <c r="F7418" t="inlineStr">
        <is>
          <t>Sveaskog</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41142-2025</t>
        </is>
      </c>
      <c r="B7419" s="1" t="n">
        <v>45898.49275462963</v>
      </c>
      <c r="C7419" s="1" t="n">
        <v>45971</v>
      </c>
      <c r="D7419" t="inlineStr">
        <is>
          <t>VÄSTERBOTTENS LÄN</t>
        </is>
      </c>
      <c r="E7419" t="inlineStr">
        <is>
          <t>STORUMAN</t>
        </is>
      </c>
      <c r="F7419" t="inlineStr">
        <is>
          <t>Sveaskog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51387-2023</t>
        </is>
      </c>
      <c r="B7420" s="1" t="n">
        <v>45219</v>
      </c>
      <c r="C7420" s="1" t="n">
        <v>45971</v>
      </c>
      <c r="D7420" t="inlineStr">
        <is>
          <t>VÄSTERBOTTENS LÄN</t>
        </is>
      </c>
      <c r="E7420" t="inlineStr">
        <is>
          <t>MALÅ</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23241-2025</t>
        </is>
      </c>
      <c r="B7421" s="1" t="n">
        <v>45791.50141203704</v>
      </c>
      <c r="C7421" s="1" t="n">
        <v>45971</v>
      </c>
      <c r="D7421" t="inlineStr">
        <is>
          <t>VÄSTERBOTTENS LÄN</t>
        </is>
      </c>
      <c r="E7421" t="inlineStr">
        <is>
          <t>SKELLEFTEÅ</t>
        </is>
      </c>
      <c r="F7421" t="inlineStr">
        <is>
          <t>Holmen skog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40922-2025</t>
        </is>
      </c>
      <c r="B7422" s="1" t="n">
        <v>45897.63563657407</v>
      </c>
      <c r="C7422" s="1" t="n">
        <v>45971</v>
      </c>
      <c r="D7422" t="inlineStr">
        <is>
          <t>VÄSTERBOTTENS LÄN</t>
        </is>
      </c>
      <c r="E7422" t="inlineStr">
        <is>
          <t>ÅSELE</t>
        </is>
      </c>
      <c r="F7422" t="inlineStr">
        <is>
          <t>Holmen skog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8575-2025</t>
        </is>
      </c>
      <c r="B7423" s="1" t="n">
        <v>45709.66362268518</v>
      </c>
      <c r="C7423" s="1" t="n">
        <v>45971</v>
      </c>
      <c r="D7423" t="inlineStr">
        <is>
          <t>VÄSTERBOTTENS LÄN</t>
        </is>
      </c>
      <c r="E7423" t="inlineStr">
        <is>
          <t>UMEÅ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8578-2025</t>
        </is>
      </c>
      <c r="B7424" s="1" t="n">
        <v>45709</v>
      </c>
      <c r="C7424" s="1" t="n">
        <v>45971</v>
      </c>
      <c r="D7424" t="inlineStr">
        <is>
          <t>VÄSTERBOTTENS LÄN</t>
        </is>
      </c>
      <c r="E7424" t="inlineStr">
        <is>
          <t>VILHELMINA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19873-2024</t>
        </is>
      </c>
      <c r="B7425" s="1" t="n">
        <v>45433</v>
      </c>
      <c r="C7425" s="1" t="n">
        <v>45971</v>
      </c>
      <c r="D7425" t="inlineStr">
        <is>
          <t>VÄSTERBOTTENS LÄN</t>
        </is>
      </c>
      <c r="E7425" t="inlineStr">
        <is>
          <t>VILHELMINA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34820-2023</t>
        </is>
      </c>
      <c r="B7426" s="1" t="n">
        <v>45140</v>
      </c>
      <c r="C7426" s="1" t="n">
        <v>45971</v>
      </c>
      <c r="D7426" t="inlineStr">
        <is>
          <t>VÄSTERBOTTENS LÄN</t>
        </is>
      </c>
      <c r="E7426" t="inlineStr">
        <is>
          <t>DOROTEA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49769-2025</t>
        </is>
      </c>
      <c r="B7427" s="1" t="n">
        <v>45940.36510416667</v>
      </c>
      <c r="C7427" s="1" t="n">
        <v>45971</v>
      </c>
      <c r="D7427" t="inlineStr">
        <is>
          <t>VÄSTERBOTTENS LÄN</t>
        </is>
      </c>
      <c r="E7427" t="inlineStr">
        <is>
          <t>STORUMAN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13131-2022</t>
        </is>
      </c>
      <c r="B7428" s="1" t="n">
        <v>44644.38203703704</v>
      </c>
      <c r="C7428" s="1" t="n">
        <v>45971</v>
      </c>
      <c r="D7428" t="inlineStr">
        <is>
          <t>VÄSTERBOTTENS LÄN</t>
        </is>
      </c>
      <c r="E7428" t="inlineStr">
        <is>
          <t>SKELLEFTEÅ</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49820-2025</t>
        </is>
      </c>
      <c r="B7429" s="1" t="n">
        <v>45940.43907407407</v>
      </c>
      <c r="C7429" s="1" t="n">
        <v>45971</v>
      </c>
      <c r="D7429" t="inlineStr">
        <is>
          <t>VÄSTERBOTTENS LÄN</t>
        </is>
      </c>
      <c r="E7429" t="inlineStr">
        <is>
          <t>VÄNNÄS</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45111-2024</t>
        </is>
      </c>
      <c r="B7430" s="1" t="n">
        <v>45575</v>
      </c>
      <c r="C7430" s="1" t="n">
        <v>45971</v>
      </c>
      <c r="D7430" t="inlineStr">
        <is>
          <t>VÄSTERBOTTENS LÄN</t>
        </is>
      </c>
      <c r="E7430" t="inlineStr">
        <is>
          <t>SKELLEFTEÅ</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5374-2022</t>
        </is>
      </c>
      <c r="B7431" s="1" t="n">
        <v>44594.92151620371</v>
      </c>
      <c r="C7431" s="1" t="n">
        <v>45971</v>
      </c>
      <c r="D7431" t="inlineStr">
        <is>
          <t>VÄSTERBOTTENS LÄN</t>
        </is>
      </c>
      <c r="E7431" t="inlineStr">
        <is>
          <t>UMEÅ</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25308-2025</t>
        </is>
      </c>
      <c r="B7432" s="1" t="n">
        <v>45800</v>
      </c>
      <c r="C7432" s="1" t="n">
        <v>45971</v>
      </c>
      <c r="D7432" t="inlineStr">
        <is>
          <t>VÄSTERBOTTENS LÄN</t>
        </is>
      </c>
      <c r="E7432" t="inlineStr">
        <is>
          <t>VILHELMINA</t>
        </is>
      </c>
      <c r="F7432" t="inlineStr">
        <is>
          <t>SCA</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40716-2025</t>
        </is>
      </c>
      <c r="B7433" s="1" t="n">
        <v>45897.34454861111</v>
      </c>
      <c r="C7433" s="1" t="n">
        <v>45971</v>
      </c>
      <c r="D7433" t="inlineStr">
        <is>
          <t>VÄSTERBOTTENS LÄN</t>
        </is>
      </c>
      <c r="E7433" t="inlineStr">
        <is>
          <t>BJURHOLM</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28833-2024</t>
        </is>
      </c>
      <c r="B7434" s="1" t="n">
        <v>45478.6802662037</v>
      </c>
      <c r="C7434" s="1" t="n">
        <v>45971</v>
      </c>
      <c r="D7434" t="inlineStr">
        <is>
          <t>VÄSTERBOTTENS LÄN</t>
        </is>
      </c>
      <c r="E7434" t="inlineStr">
        <is>
          <t>LYCKSELE</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8644-2025</t>
        </is>
      </c>
      <c r="B7435" s="1" t="n">
        <v>45712</v>
      </c>
      <c r="C7435" s="1" t="n">
        <v>45971</v>
      </c>
      <c r="D7435" t="inlineStr">
        <is>
          <t>VÄSTERBOTTENS LÄN</t>
        </is>
      </c>
      <c r="E7435" t="inlineStr">
        <is>
          <t>SKELLEFTEÅ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47589-2025</t>
        </is>
      </c>
      <c r="B7436" s="1" t="n">
        <v>45931</v>
      </c>
      <c r="C7436" s="1" t="n">
        <v>45971</v>
      </c>
      <c r="D7436" t="inlineStr">
        <is>
          <t>VÄSTERBOTTENS LÄN</t>
        </is>
      </c>
      <c r="E7436" t="inlineStr">
        <is>
          <t>VILHELMINA</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8681-2025</t>
        </is>
      </c>
      <c r="B7437" s="1" t="n">
        <v>45712.44364583334</v>
      </c>
      <c r="C7437" s="1" t="n">
        <v>45971</v>
      </c>
      <c r="D7437" t="inlineStr">
        <is>
          <t>VÄSTERBOTTENS LÄN</t>
        </is>
      </c>
      <c r="E7437" t="inlineStr">
        <is>
          <t>ROBERTSFORS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57194-2024</t>
        </is>
      </c>
      <c r="B7438" s="1" t="n">
        <v>45629.46908564815</v>
      </c>
      <c r="C7438" s="1" t="n">
        <v>45971</v>
      </c>
      <c r="D7438" t="inlineStr">
        <is>
          <t>VÄSTERBOTTENS LÄN</t>
        </is>
      </c>
      <c r="E7438" t="inlineStr">
        <is>
          <t>VINDELN</t>
        </is>
      </c>
      <c r="F7438" t="inlineStr">
        <is>
          <t>SCA</t>
        </is>
      </c>
      <c r="G7438" t="n">
        <v>15.9</v>
      </c>
      <c r="H7438" t="n">
        <v>0</v>
      </c>
      <c r="I7438" t="n">
        <v>0</v>
      </c>
      <c r="J7438" t="n">
        <v>0</v>
      </c>
      <c r="K7438" t="n">
        <v>0</v>
      </c>
      <c r="L7438" t="n">
        <v>0</v>
      </c>
      <c r="M7438" t="n">
        <v>0</v>
      </c>
      <c r="N7438" t="n">
        <v>0</v>
      </c>
      <c r="O7438" t="n">
        <v>0</v>
      </c>
      <c r="P7438" t="n">
        <v>0</v>
      </c>
      <c r="Q7438" t="n">
        <v>0</v>
      </c>
      <c r="R7438" s="2" t="inlineStr"/>
    </row>
    <row r="7439" ht="15" customHeight="1">
      <c r="A7439" t="inlineStr">
        <is>
          <t>A 8722-2025</t>
        </is>
      </c>
      <c r="B7439" s="1" t="n">
        <v>45712.51097222222</v>
      </c>
      <c r="C7439" s="1" t="n">
        <v>45971</v>
      </c>
      <c r="D7439" t="inlineStr">
        <is>
          <t>VÄSTERBOTTENS LÄN</t>
        </is>
      </c>
      <c r="E7439" t="inlineStr">
        <is>
          <t>ÅSELE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57200-2024</t>
        </is>
      </c>
      <c r="B7440" s="1" t="n">
        <v>45629.47841435186</v>
      </c>
      <c r="C7440" s="1" t="n">
        <v>45971</v>
      </c>
      <c r="D7440" t="inlineStr">
        <is>
          <t>VÄSTERBOTTENS LÄN</t>
        </is>
      </c>
      <c r="E7440" t="inlineStr">
        <is>
          <t>MALÅ</t>
        </is>
      </c>
      <c r="F7440" t="inlineStr">
        <is>
          <t>Sveaskog</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23260-2025</t>
        </is>
      </c>
      <c r="B7441" s="1" t="n">
        <v>45791.54234953703</v>
      </c>
      <c r="C7441" s="1" t="n">
        <v>45971</v>
      </c>
      <c r="D7441" t="inlineStr">
        <is>
          <t>VÄSTERBOTTENS LÄN</t>
        </is>
      </c>
      <c r="E7441" t="inlineStr">
        <is>
          <t>ROBERTSFORS</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34333-2025</t>
        </is>
      </c>
      <c r="B7442" s="1" t="n">
        <v>45846.45019675926</v>
      </c>
      <c r="C7442" s="1" t="n">
        <v>45971</v>
      </c>
      <c r="D7442" t="inlineStr">
        <is>
          <t>VÄSTERBOTTENS LÄN</t>
        </is>
      </c>
      <c r="E7442" t="inlineStr">
        <is>
          <t>BJURHOLM</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53226-2022</t>
        </is>
      </c>
      <c r="B7443" s="1" t="n">
        <v>44876.63155092593</v>
      </c>
      <c r="C7443" s="1" t="n">
        <v>45971</v>
      </c>
      <c r="D7443" t="inlineStr">
        <is>
          <t>VÄSTERBOTTENS LÄN</t>
        </is>
      </c>
      <c r="E7443" t="inlineStr">
        <is>
          <t>LYCKSELE</t>
        </is>
      </c>
      <c r="F7443" t="inlineStr">
        <is>
          <t>Holmen skog AB</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23153-2025</t>
        </is>
      </c>
      <c r="B7444" s="1" t="n">
        <v>45791</v>
      </c>
      <c r="C7444" s="1" t="n">
        <v>45971</v>
      </c>
      <c r="D7444" t="inlineStr">
        <is>
          <t>VÄSTERBOTTENS LÄN</t>
        </is>
      </c>
      <c r="E7444" t="inlineStr">
        <is>
          <t>SKELLEFTEÅ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41743-2025</t>
        </is>
      </c>
      <c r="B7445" s="1" t="n">
        <v>45902.48045138889</v>
      </c>
      <c r="C7445" s="1" t="n">
        <v>45971</v>
      </c>
      <c r="D7445" t="inlineStr">
        <is>
          <t>VÄSTERBOTTENS LÄN</t>
        </is>
      </c>
      <c r="E7445" t="inlineStr">
        <is>
          <t>ROBERTSFORS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48202-2024</t>
        </is>
      </c>
      <c r="B7446" s="1" t="n">
        <v>45589</v>
      </c>
      <c r="C7446" s="1" t="n">
        <v>45971</v>
      </c>
      <c r="D7446" t="inlineStr">
        <is>
          <t>VÄSTERBOTTENS LÄN</t>
        </is>
      </c>
      <c r="E7446" t="inlineStr">
        <is>
          <t>SKELLEFTEÅ</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9377-2025</t>
        </is>
      </c>
      <c r="B7447" s="1" t="n">
        <v>45715</v>
      </c>
      <c r="C7447" s="1" t="n">
        <v>45971</v>
      </c>
      <c r="D7447" t="inlineStr">
        <is>
          <t>VÄSTERBOTTENS LÄN</t>
        </is>
      </c>
      <c r="E7447" t="inlineStr">
        <is>
          <t>SORSELE</t>
        </is>
      </c>
      <c r="G7447" t="n">
        <v>23.5</v>
      </c>
      <c r="H7447" t="n">
        <v>0</v>
      </c>
      <c r="I7447" t="n">
        <v>0</v>
      </c>
      <c r="J7447" t="n">
        <v>0</v>
      </c>
      <c r="K7447" t="n">
        <v>0</v>
      </c>
      <c r="L7447" t="n">
        <v>0</v>
      </c>
      <c r="M7447" t="n">
        <v>0</v>
      </c>
      <c r="N7447" t="n">
        <v>0</v>
      </c>
      <c r="O7447" t="n">
        <v>0</v>
      </c>
      <c r="P7447" t="n">
        <v>0</v>
      </c>
      <c r="Q7447" t="n">
        <v>0</v>
      </c>
      <c r="R7447" s="2" t="inlineStr"/>
    </row>
    <row r="7448" ht="15" customHeight="1">
      <c r="A7448" t="inlineStr">
        <is>
          <t>A 19349-2023</t>
        </is>
      </c>
      <c r="B7448" s="1" t="n">
        <v>45049.59215277778</v>
      </c>
      <c r="C7448" s="1" t="n">
        <v>45971</v>
      </c>
      <c r="D7448" t="inlineStr">
        <is>
          <t>VÄSTERBOTTENS LÄN</t>
        </is>
      </c>
      <c r="E7448" t="inlineStr">
        <is>
          <t>SKELLEFTEÅ</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48224-2024</t>
        </is>
      </c>
      <c r="B7449" s="1" t="n">
        <v>45590</v>
      </c>
      <c r="C7449" s="1" t="n">
        <v>45971</v>
      </c>
      <c r="D7449" t="inlineStr">
        <is>
          <t>VÄSTERBOTTENS LÄN</t>
        </is>
      </c>
      <c r="E7449" t="inlineStr">
        <is>
          <t>MALÅ</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41397-2025</t>
        </is>
      </c>
      <c r="B7450" s="1" t="n">
        <v>45899</v>
      </c>
      <c r="C7450" s="1" t="n">
        <v>45971</v>
      </c>
      <c r="D7450" t="inlineStr">
        <is>
          <t>VÄSTERBOTTENS LÄN</t>
        </is>
      </c>
      <c r="E7450" t="inlineStr">
        <is>
          <t>SORSELE</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41523-2025</t>
        </is>
      </c>
      <c r="B7451" s="1" t="n">
        <v>45901.55246527777</v>
      </c>
      <c r="C7451" s="1" t="n">
        <v>45971</v>
      </c>
      <c r="D7451" t="inlineStr">
        <is>
          <t>VÄSTERBOTTENS LÄN</t>
        </is>
      </c>
      <c r="E7451" t="inlineStr">
        <is>
          <t>ÅSELE</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41560-2025</t>
        </is>
      </c>
      <c r="B7452" s="1" t="n">
        <v>45901.59440972222</v>
      </c>
      <c r="C7452" s="1" t="n">
        <v>45971</v>
      </c>
      <c r="D7452" t="inlineStr">
        <is>
          <t>VÄSTERBOTTENS LÄN</t>
        </is>
      </c>
      <c r="E7452" t="inlineStr">
        <is>
          <t>MALÅ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27939-2024</t>
        </is>
      </c>
      <c r="B7453" s="1" t="n">
        <v>45476</v>
      </c>
      <c r="C7453" s="1" t="n">
        <v>45971</v>
      </c>
      <c r="D7453" t="inlineStr">
        <is>
          <t>VÄSTERBOTTENS LÄN</t>
        </is>
      </c>
      <c r="E7453" t="inlineStr">
        <is>
          <t>ÅSELE</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41573-2025</t>
        </is>
      </c>
      <c r="B7454" s="1" t="n">
        <v>45901.61489583334</v>
      </c>
      <c r="C7454" s="1" t="n">
        <v>45971</v>
      </c>
      <c r="D7454" t="inlineStr">
        <is>
          <t>VÄSTERBOTTENS LÄN</t>
        </is>
      </c>
      <c r="E7454" t="inlineStr">
        <is>
          <t>NORDMALING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56396-2022</t>
        </is>
      </c>
      <c r="B7455" s="1" t="n">
        <v>44890</v>
      </c>
      <c r="C7455" s="1" t="n">
        <v>45971</v>
      </c>
      <c r="D7455" t="inlineStr">
        <is>
          <t>VÄSTERBOTTENS LÄN</t>
        </is>
      </c>
      <c r="E7455" t="inlineStr">
        <is>
          <t>VILHELMINA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26925-2025</t>
        </is>
      </c>
      <c r="B7456" s="1" t="n">
        <v>45811.39081018518</v>
      </c>
      <c r="C7456" s="1" t="n">
        <v>45971</v>
      </c>
      <c r="D7456" t="inlineStr">
        <is>
          <t>VÄSTERBOTTENS LÄN</t>
        </is>
      </c>
      <c r="E7456" t="inlineStr">
        <is>
          <t>VINDELN</t>
        </is>
      </c>
      <c r="F7456" t="inlineStr">
        <is>
          <t>Sveaskog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27219-2025</t>
        </is>
      </c>
      <c r="B7457" s="1" t="n">
        <v>45812</v>
      </c>
      <c r="C7457" s="1" t="n">
        <v>45971</v>
      </c>
      <c r="D7457" t="inlineStr">
        <is>
          <t>VÄSTERBOTTENS LÄN</t>
        </is>
      </c>
      <c r="E7457" t="inlineStr">
        <is>
          <t>SKELLEFTEÅ</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50234-2025</t>
        </is>
      </c>
      <c r="B7458" s="1" t="n">
        <v>45943.71912037037</v>
      </c>
      <c r="C7458" s="1" t="n">
        <v>45971</v>
      </c>
      <c r="D7458" t="inlineStr">
        <is>
          <t>VÄSTERBOTTENS LÄN</t>
        </is>
      </c>
      <c r="E7458" t="inlineStr">
        <is>
          <t>ÅSELE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22429-2025</t>
        </is>
      </c>
      <c r="B7459" s="1" t="n">
        <v>45786</v>
      </c>
      <c r="C7459" s="1" t="n">
        <v>45971</v>
      </c>
      <c r="D7459" t="inlineStr">
        <is>
          <t>VÄSTERBOTTENS LÄN</t>
        </is>
      </c>
      <c r="E7459" t="inlineStr">
        <is>
          <t>SKELLEFTEÅ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31780-2025</t>
        </is>
      </c>
      <c r="B7460" s="1" t="n">
        <v>45834.52940972222</v>
      </c>
      <c r="C7460" s="1" t="n">
        <v>45971</v>
      </c>
      <c r="D7460" t="inlineStr">
        <is>
          <t>VÄSTERBOTTENS LÄN</t>
        </is>
      </c>
      <c r="E7460" t="inlineStr">
        <is>
          <t>SKELLEFTEÅ</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38457-2022</t>
        </is>
      </c>
      <c r="B7461" s="1" t="n">
        <v>44813</v>
      </c>
      <c r="C7461" s="1" t="n">
        <v>45971</v>
      </c>
      <c r="D7461" t="inlineStr">
        <is>
          <t>VÄSTERBOTTENS LÄN</t>
        </is>
      </c>
      <c r="E7461" t="inlineStr">
        <is>
          <t>SKELLEFTEÅ</t>
        </is>
      </c>
      <c r="F7461" t="inlineStr">
        <is>
          <t>Holmen skog AB</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49969-2025</t>
        </is>
      </c>
      <c r="B7462" s="1" t="n">
        <v>45941.81591435185</v>
      </c>
      <c r="C7462" s="1" t="n">
        <v>45971</v>
      </c>
      <c r="D7462" t="inlineStr">
        <is>
          <t>VÄSTERBOTTENS LÄN</t>
        </is>
      </c>
      <c r="E7462" t="inlineStr">
        <is>
          <t>NORSJÖ</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41388-2025</t>
        </is>
      </c>
      <c r="B7463" s="1" t="n">
        <v>45899</v>
      </c>
      <c r="C7463" s="1" t="n">
        <v>45971</v>
      </c>
      <c r="D7463" t="inlineStr">
        <is>
          <t>VÄSTERBOTTENS LÄN</t>
        </is>
      </c>
      <c r="E7463" t="inlineStr">
        <is>
          <t>MALÅ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41390-2025</t>
        </is>
      </c>
      <c r="B7464" s="1" t="n">
        <v>45899</v>
      </c>
      <c r="C7464" s="1" t="n">
        <v>45971</v>
      </c>
      <c r="D7464" t="inlineStr">
        <is>
          <t>VÄSTERBOTTENS LÄN</t>
        </is>
      </c>
      <c r="E7464" t="inlineStr">
        <is>
          <t>MALÅ</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41399-2025</t>
        </is>
      </c>
      <c r="B7465" s="1" t="n">
        <v>45899</v>
      </c>
      <c r="C7465" s="1" t="n">
        <v>45971</v>
      </c>
      <c r="D7465" t="inlineStr">
        <is>
          <t>VÄSTERBOTTENS LÄN</t>
        </is>
      </c>
      <c r="E7465" t="inlineStr">
        <is>
          <t>SORSELE</t>
        </is>
      </c>
      <c r="G7465" t="n">
        <v>19.1</v>
      </c>
      <c r="H7465" t="n">
        <v>0</v>
      </c>
      <c r="I7465" t="n">
        <v>0</v>
      </c>
      <c r="J7465" t="n">
        <v>0</v>
      </c>
      <c r="K7465" t="n">
        <v>0</v>
      </c>
      <c r="L7465" t="n">
        <v>0</v>
      </c>
      <c r="M7465" t="n">
        <v>0</v>
      </c>
      <c r="N7465" t="n">
        <v>0</v>
      </c>
      <c r="O7465" t="n">
        <v>0</v>
      </c>
      <c r="P7465" t="n">
        <v>0</v>
      </c>
      <c r="Q7465" t="n">
        <v>0</v>
      </c>
      <c r="R7465" s="2" t="inlineStr"/>
    </row>
    <row r="7466" ht="15" customHeight="1">
      <c r="A7466" t="inlineStr">
        <is>
          <t>A 60090-2020</t>
        </is>
      </c>
      <c r="B7466" s="1" t="n">
        <v>44151</v>
      </c>
      <c r="C7466" s="1" t="n">
        <v>45971</v>
      </c>
      <c r="D7466" t="inlineStr">
        <is>
          <t>VÄSTERBOTTENS LÄN</t>
        </is>
      </c>
      <c r="E7466" t="inlineStr">
        <is>
          <t>VILHELMINA</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32434-2024</t>
        </is>
      </c>
      <c r="B7467" s="1" t="n">
        <v>45512.92891203704</v>
      </c>
      <c r="C7467" s="1" t="n">
        <v>45971</v>
      </c>
      <c r="D7467" t="inlineStr">
        <is>
          <t>VÄSTERBOTTENS LÄN</t>
        </is>
      </c>
      <c r="E7467" t="inlineStr">
        <is>
          <t>ROBERTSFORS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46392-2024</t>
        </is>
      </c>
      <c r="B7468" s="1" t="n">
        <v>45582</v>
      </c>
      <c r="C7468" s="1" t="n">
        <v>45971</v>
      </c>
      <c r="D7468" t="inlineStr">
        <is>
          <t>VÄSTERBOTTENS LÄN</t>
        </is>
      </c>
      <c r="E7468" t="inlineStr">
        <is>
          <t>VILHELMINA</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23537-2025</t>
        </is>
      </c>
      <c r="B7469" s="1" t="n">
        <v>45792.54960648148</v>
      </c>
      <c r="C7469" s="1" t="n">
        <v>45971</v>
      </c>
      <c r="D7469" t="inlineStr">
        <is>
          <t>VÄSTERBOTTENS LÄN</t>
        </is>
      </c>
      <c r="E7469" t="inlineStr">
        <is>
          <t>SKELLEFTEÅ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23551-2025</t>
        </is>
      </c>
      <c r="B7470" s="1" t="n">
        <v>45792.57373842593</v>
      </c>
      <c r="C7470" s="1" t="n">
        <v>45971</v>
      </c>
      <c r="D7470" t="inlineStr">
        <is>
          <t>VÄSTERBOTTENS LÄN</t>
        </is>
      </c>
      <c r="E7470" t="inlineStr">
        <is>
          <t>LYCKSELE</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23801-2025</t>
        </is>
      </c>
      <c r="B7471" s="1" t="n">
        <v>45793.55439814815</v>
      </c>
      <c r="C7471" s="1" t="n">
        <v>45971</v>
      </c>
      <c r="D7471" t="inlineStr">
        <is>
          <t>VÄSTERBOTTENS LÄN</t>
        </is>
      </c>
      <c r="E7471" t="inlineStr">
        <is>
          <t>LYCKSELE</t>
        </is>
      </c>
      <c r="F7471" t="inlineStr">
        <is>
          <t>Holmen skog AB</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41427-2025</t>
        </is>
      </c>
      <c r="B7472" s="1" t="n">
        <v>45901.38766203704</v>
      </c>
      <c r="C7472" s="1" t="n">
        <v>45971</v>
      </c>
      <c r="D7472" t="inlineStr">
        <is>
          <t>VÄSTERBOTTENS LÄN</t>
        </is>
      </c>
      <c r="E7472" t="inlineStr">
        <is>
          <t>NORSJÖ</t>
        </is>
      </c>
      <c r="F7472" t="inlineStr">
        <is>
          <t>Holmen skog AB</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41447-2025</t>
        </is>
      </c>
      <c r="B7473" s="1" t="n">
        <v>45901.42756944444</v>
      </c>
      <c r="C7473" s="1" t="n">
        <v>45971</v>
      </c>
      <c r="D7473" t="inlineStr">
        <is>
          <t>VÄSTERBOTTENS LÄN</t>
        </is>
      </c>
      <c r="E7473" t="inlineStr">
        <is>
          <t>SORSELE</t>
        </is>
      </c>
      <c r="F7473" t="inlineStr">
        <is>
          <t>SCA</t>
        </is>
      </c>
      <c r="G7473" t="n">
        <v>12.9</v>
      </c>
      <c r="H7473" t="n">
        <v>0</v>
      </c>
      <c r="I7473" t="n">
        <v>0</v>
      </c>
      <c r="J7473" t="n">
        <v>0</v>
      </c>
      <c r="K7473" t="n">
        <v>0</v>
      </c>
      <c r="L7473" t="n">
        <v>0</v>
      </c>
      <c r="M7473" t="n">
        <v>0</v>
      </c>
      <c r="N7473" t="n">
        <v>0</v>
      </c>
      <c r="O7473" t="n">
        <v>0</v>
      </c>
      <c r="P7473" t="n">
        <v>0</v>
      </c>
      <c r="Q7473" t="n">
        <v>0</v>
      </c>
      <c r="R7473" s="2" t="inlineStr"/>
    </row>
    <row r="7474" ht="15" customHeight="1">
      <c r="A7474" t="inlineStr">
        <is>
          <t>A 41466-2025</t>
        </is>
      </c>
      <c r="B7474" s="1" t="n">
        <v>45901</v>
      </c>
      <c r="C7474" s="1" t="n">
        <v>45971</v>
      </c>
      <c r="D7474" t="inlineStr">
        <is>
          <t>VÄSTERBOTTENS LÄN</t>
        </is>
      </c>
      <c r="E7474" t="inlineStr">
        <is>
          <t>UMEÅ</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50364-2025</t>
        </is>
      </c>
      <c r="B7475" s="1" t="n">
        <v>45944.56780092593</v>
      </c>
      <c r="C7475" s="1" t="n">
        <v>45971</v>
      </c>
      <c r="D7475" t="inlineStr">
        <is>
          <t>VÄSTERBOTTENS LÄN</t>
        </is>
      </c>
      <c r="E7475" t="inlineStr">
        <is>
          <t>ÅSELE</t>
        </is>
      </c>
      <c r="F7475" t="inlineStr">
        <is>
          <t>Sveaskog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50235-2025</t>
        </is>
      </c>
      <c r="B7476" s="1" t="n">
        <v>45943.73505787037</v>
      </c>
      <c r="C7476" s="1" t="n">
        <v>45971</v>
      </c>
      <c r="D7476" t="inlineStr">
        <is>
          <t>VÄSTERBOTTENS LÄN</t>
        </is>
      </c>
      <c r="E7476" t="inlineStr">
        <is>
          <t>SKELLEFTEÅ</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44012-2023</t>
        </is>
      </c>
      <c r="B7477" s="1" t="n">
        <v>45182</v>
      </c>
      <c r="C7477" s="1" t="n">
        <v>45971</v>
      </c>
      <c r="D7477" t="inlineStr">
        <is>
          <t>VÄSTERBOTTENS LÄN</t>
        </is>
      </c>
      <c r="E7477" t="inlineStr">
        <is>
          <t>NORDMALING</t>
        </is>
      </c>
      <c r="G7477" t="n">
        <v>20.1</v>
      </c>
      <c r="H7477" t="n">
        <v>0</v>
      </c>
      <c r="I7477" t="n">
        <v>0</v>
      </c>
      <c r="J7477" t="n">
        <v>0</v>
      </c>
      <c r="K7477" t="n">
        <v>0</v>
      </c>
      <c r="L7477" t="n">
        <v>0</v>
      </c>
      <c r="M7477" t="n">
        <v>0</v>
      </c>
      <c r="N7477" t="n">
        <v>0</v>
      </c>
      <c r="O7477" t="n">
        <v>0</v>
      </c>
      <c r="P7477" t="n">
        <v>0</v>
      </c>
      <c r="Q7477" t="n">
        <v>0</v>
      </c>
      <c r="R7477" s="2" t="inlineStr"/>
    </row>
    <row r="7478" ht="15" customHeight="1">
      <c r="A7478" t="inlineStr">
        <is>
          <t>A 44025-2023</t>
        </is>
      </c>
      <c r="B7478" s="1" t="n">
        <v>45182</v>
      </c>
      <c r="C7478" s="1" t="n">
        <v>45971</v>
      </c>
      <c r="D7478" t="inlineStr">
        <is>
          <t>VÄSTERBOTTENS LÄN</t>
        </is>
      </c>
      <c r="E7478" t="inlineStr">
        <is>
          <t>SKELLEFTEÅ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37210-2021</t>
        </is>
      </c>
      <c r="B7479" s="1" t="n">
        <v>44396</v>
      </c>
      <c r="C7479" s="1" t="n">
        <v>45971</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8855-2025</t>
        </is>
      </c>
      <c r="B7480" s="1" t="n">
        <v>45713</v>
      </c>
      <c r="C7480" s="1" t="n">
        <v>45971</v>
      </c>
      <c r="D7480" t="inlineStr">
        <is>
          <t>VÄSTERBOTTENS LÄN</t>
        </is>
      </c>
      <c r="E7480" t="inlineStr">
        <is>
          <t>ÅSELE</t>
        </is>
      </c>
      <c r="G7480" t="n">
        <v>23.5</v>
      </c>
      <c r="H7480" t="n">
        <v>0</v>
      </c>
      <c r="I7480" t="n">
        <v>0</v>
      </c>
      <c r="J7480" t="n">
        <v>0</v>
      </c>
      <c r="K7480" t="n">
        <v>0</v>
      </c>
      <c r="L7480" t="n">
        <v>0</v>
      </c>
      <c r="M7480" t="n">
        <v>0</v>
      </c>
      <c r="N7480" t="n">
        <v>0</v>
      </c>
      <c r="O7480" t="n">
        <v>0</v>
      </c>
      <c r="P7480" t="n">
        <v>0</v>
      </c>
      <c r="Q7480" t="n">
        <v>0</v>
      </c>
      <c r="R7480" s="2" t="inlineStr"/>
    </row>
    <row r="7481" ht="15" customHeight="1">
      <c r="A7481" t="inlineStr">
        <is>
          <t>A 17982-2025</t>
        </is>
      </c>
      <c r="B7481" s="1" t="n">
        <v>45761.38211805555</v>
      </c>
      <c r="C7481" s="1" t="n">
        <v>45971</v>
      </c>
      <c r="D7481" t="inlineStr">
        <is>
          <t>VÄSTERBOTTENS LÄN</t>
        </is>
      </c>
      <c r="E7481" t="inlineStr">
        <is>
          <t>LYCKSELE</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2965-2025</t>
        </is>
      </c>
      <c r="B7482" s="1" t="n">
        <v>45678.45821759259</v>
      </c>
      <c r="C7482" s="1" t="n">
        <v>45971</v>
      </c>
      <c r="D7482" t="inlineStr">
        <is>
          <t>VÄSTERBOTTENS LÄN</t>
        </is>
      </c>
      <c r="E7482" t="inlineStr">
        <is>
          <t>NORSJÖ</t>
        </is>
      </c>
      <c r="G7482" t="n">
        <v>19.6</v>
      </c>
      <c r="H7482" t="n">
        <v>0</v>
      </c>
      <c r="I7482" t="n">
        <v>0</v>
      </c>
      <c r="J7482" t="n">
        <v>0</v>
      </c>
      <c r="K7482" t="n">
        <v>0</v>
      </c>
      <c r="L7482" t="n">
        <v>0</v>
      </c>
      <c r="M7482" t="n">
        <v>0</v>
      </c>
      <c r="N7482" t="n">
        <v>0</v>
      </c>
      <c r="O7482" t="n">
        <v>0</v>
      </c>
      <c r="P7482" t="n">
        <v>0</v>
      </c>
      <c r="Q7482" t="n">
        <v>0</v>
      </c>
      <c r="R7482" s="2" t="inlineStr"/>
    </row>
    <row r="7483" ht="15" customHeight="1">
      <c r="A7483" t="inlineStr">
        <is>
          <t>A 23678-2025</t>
        </is>
      </c>
      <c r="B7483" s="1" t="n">
        <v>45793.32435185185</v>
      </c>
      <c r="C7483" s="1" t="n">
        <v>45971</v>
      </c>
      <c r="D7483" t="inlineStr">
        <is>
          <t>VÄSTERBOTTENS LÄN</t>
        </is>
      </c>
      <c r="E7483" t="inlineStr">
        <is>
          <t>SKELLEFTEÅ</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23696-2025</t>
        </is>
      </c>
      <c r="B7484" s="1" t="n">
        <v>45793</v>
      </c>
      <c r="C7484" s="1" t="n">
        <v>45971</v>
      </c>
      <c r="D7484" t="inlineStr">
        <is>
          <t>VÄSTERBOTTENS LÄN</t>
        </is>
      </c>
      <c r="E7484" t="inlineStr">
        <is>
          <t>SKELLEFTEÅ</t>
        </is>
      </c>
      <c r="F7484" t="inlineStr">
        <is>
          <t>Sveaskog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46666-2025</t>
        </is>
      </c>
      <c r="B7485" s="1" t="n">
        <v>45926</v>
      </c>
      <c r="C7485" s="1" t="n">
        <v>45971</v>
      </c>
      <c r="D7485" t="inlineStr">
        <is>
          <t>VÄSTERBOTTENS LÄN</t>
        </is>
      </c>
      <c r="E7485" t="inlineStr">
        <is>
          <t>SORSELE</t>
        </is>
      </c>
      <c r="F7485" t="inlineStr">
        <is>
          <t>Sveaskog</t>
        </is>
      </c>
      <c r="G7485" t="n">
        <v>35.6</v>
      </c>
      <c r="H7485" t="n">
        <v>0</v>
      </c>
      <c r="I7485" t="n">
        <v>0</v>
      </c>
      <c r="J7485" t="n">
        <v>0</v>
      </c>
      <c r="K7485" t="n">
        <v>0</v>
      </c>
      <c r="L7485" t="n">
        <v>0</v>
      </c>
      <c r="M7485" t="n">
        <v>0</v>
      </c>
      <c r="N7485" t="n">
        <v>0</v>
      </c>
      <c r="O7485" t="n">
        <v>0</v>
      </c>
      <c r="P7485" t="n">
        <v>0</v>
      </c>
      <c r="Q7485" t="n">
        <v>0</v>
      </c>
      <c r="R7485" s="2" t="inlineStr"/>
    </row>
    <row r="7486" ht="15" customHeight="1">
      <c r="A7486" t="inlineStr">
        <is>
          <t>A 20825-2025</t>
        </is>
      </c>
      <c r="B7486" s="1" t="n">
        <v>45776</v>
      </c>
      <c r="C7486" s="1" t="n">
        <v>45971</v>
      </c>
      <c r="D7486" t="inlineStr">
        <is>
          <t>VÄSTERBOTTENS LÄN</t>
        </is>
      </c>
      <c r="E7486" t="inlineStr">
        <is>
          <t>SKELLEFTEÅ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22796-2024</t>
        </is>
      </c>
      <c r="B7487" s="1" t="n">
        <v>45448</v>
      </c>
      <c r="C7487" s="1" t="n">
        <v>45971</v>
      </c>
      <c r="D7487" t="inlineStr">
        <is>
          <t>VÄSTERBOTTENS LÄN</t>
        </is>
      </c>
      <c r="E7487" t="inlineStr">
        <is>
          <t>SKELLEFTEÅ</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10548-2022</t>
        </is>
      </c>
      <c r="B7488" s="1" t="n">
        <v>44623</v>
      </c>
      <c r="C7488" s="1" t="n">
        <v>45971</v>
      </c>
      <c r="D7488" t="inlineStr">
        <is>
          <t>VÄSTERBOTTENS LÄN</t>
        </is>
      </c>
      <c r="E7488" t="inlineStr">
        <is>
          <t>VILHELMINA</t>
        </is>
      </c>
      <c r="F7488" t="inlineStr">
        <is>
          <t>SCA</t>
        </is>
      </c>
      <c r="G7488" t="n">
        <v>11.5</v>
      </c>
      <c r="H7488" t="n">
        <v>0</v>
      </c>
      <c r="I7488" t="n">
        <v>0</v>
      </c>
      <c r="J7488" t="n">
        <v>0</v>
      </c>
      <c r="K7488" t="n">
        <v>0</v>
      </c>
      <c r="L7488" t="n">
        <v>0</v>
      </c>
      <c r="M7488" t="n">
        <v>0</v>
      </c>
      <c r="N7488" t="n">
        <v>0</v>
      </c>
      <c r="O7488" t="n">
        <v>0</v>
      </c>
      <c r="P7488" t="n">
        <v>0</v>
      </c>
      <c r="Q7488" t="n">
        <v>0</v>
      </c>
      <c r="R7488" s="2" t="inlineStr"/>
    </row>
    <row r="7489" ht="15" customHeight="1">
      <c r="A7489" t="inlineStr">
        <is>
          <t>A 51394-2022</t>
        </is>
      </c>
      <c r="B7489" s="1" t="n">
        <v>44866</v>
      </c>
      <c r="C7489" s="1" t="n">
        <v>45971</v>
      </c>
      <c r="D7489" t="inlineStr">
        <is>
          <t>VÄSTERBOTTENS LÄN</t>
        </is>
      </c>
      <c r="E7489" t="inlineStr">
        <is>
          <t>SORSELE</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41365-2025</t>
        </is>
      </c>
      <c r="B7490" s="1" t="n">
        <v>45900.49813657408</v>
      </c>
      <c r="C7490" s="1" t="n">
        <v>45971</v>
      </c>
      <c r="D7490" t="inlineStr">
        <is>
          <t>VÄSTERBOTTENS LÄN</t>
        </is>
      </c>
      <c r="E7490" t="inlineStr">
        <is>
          <t>NORDMALING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30711-2025</t>
        </is>
      </c>
      <c r="B7491" s="1" t="n">
        <v>45831.55188657407</v>
      </c>
      <c r="C7491" s="1" t="n">
        <v>45971</v>
      </c>
      <c r="D7491" t="inlineStr">
        <is>
          <t>VÄSTERBOTTENS LÄN</t>
        </is>
      </c>
      <c r="E7491" t="inlineStr">
        <is>
          <t>SKELLEFTEÅ</t>
        </is>
      </c>
      <c r="F7491" t="inlineStr">
        <is>
          <t>Sveaskog</t>
        </is>
      </c>
      <c r="G7491" t="n">
        <v>21.5</v>
      </c>
      <c r="H7491" t="n">
        <v>0</v>
      </c>
      <c r="I7491" t="n">
        <v>0</v>
      </c>
      <c r="J7491" t="n">
        <v>0</v>
      </c>
      <c r="K7491" t="n">
        <v>0</v>
      </c>
      <c r="L7491" t="n">
        <v>0</v>
      </c>
      <c r="M7491" t="n">
        <v>0</v>
      </c>
      <c r="N7491" t="n">
        <v>0</v>
      </c>
      <c r="O7491" t="n">
        <v>0</v>
      </c>
      <c r="P7491" t="n">
        <v>0</v>
      </c>
      <c r="Q7491" t="n">
        <v>0</v>
      </c>
      <c r="R7491" s="2" t="inlineStr"/>
    </row>
    <row r="7492" ht="15" customHeight="1">
      <c r="A7492" t="inlineStr">
        <is>
          <t>A 50296-2025</t>
        </is>
      </c>
      <c r="B7492" s="1" t="n">
        <v>45944.40949074074</v>
      </c>
      <c r="C7492" s="1" t="n">
        <v>45971</v>
      </c>
      <c r="D7492" t="inlineStr">
        <is>
          <t>VÄSTERBOTTENS LÄN</t>
        </is>
      </c>
      <c r="E7492" t="inlineStr">
        <is>
          <t>STORUMAN</t>
        </is>
      </c>
      <c r="F7492" t="inlineStr">
        <is>
          <t>Holmen skog AB</t>
        </is>
      </c>
      <c r="G7492" t="n">
        <v>14.8</v>
      </c>
      <c r="H7492" t="n">
        <v>0</v>
      </c>
      <c r="I7492" t="n">
        <v>0</v>
      </c>
      <c r="J7492" t="n">
        <v>0</v>
      </c>
      <c r="K7492" t="n">
        <v>0</v>
      </c>
      <c r="L7492" t="n">
        <v>0</v>
      </c>
      <c r="M7492" t="n">
        <v>0</v>
      </c>
      <c r="N7492" t="n">
        <v>0</v>
      </c>
      <c r="O7492" t="n">
        <v>0</v>
      </c>
      <c r="P7492" t="n">
        <v>0</v>
      </c>
      <c r="Q7492" t="n">
        <v>0</v>
      </c>
      <c r="R7492" s="2" t="inlineStr"/>
    </row>
    <row r="7493" ht="15" customHeight="1">
      <c r="A7493" t="inlineStr">
        <is>
          <t>A 50298-2025</t>
        </is>
      </c>
      <c r="B7493" s="1" t="n">
        <v>45944.41163194444</v>
      </c>
      <c r="C7493" s="1" t="n">
        <v>45971</v>
      </c>
      <c r="D7493" t="inlineStr">
        <is>
          <t>VÄSTERBOTTENS LÄN</t>
        </is>
      </c>
      <c r="E7493" t="inlineStr">
        <is>
          <t>ÅSELE</t>
        </is>
      </c>
      <c r="F7493" t="inlineStr">
        <is>
          <t>Sveaskog</t>
        </is>
      </c>
      <c r="G7493" t="n">
        <v>21.6</v>
      </c>
      <c r="H7493" t="n">
        <v>0</v>
      </c>
      <c r="I7493" t="n">
        <v>0</v>
      </c>
      <c r="J7493" t="n">
        <v>0</v>
      </c>
      <c r="K7493" t="n">
        <v>0</v>
      </c>
      <c r="L7493" t="n">
        <v>0</v>
      </c>
      <c r="M7493" t="n">
        <v>0</v>
      </c>
      <c r="N7493" t="n">
        <v>0</v>
      </c>
      <c r="O7493" t="n">
        <v>0</v>
      </c>
      <c r="P7493" t="n">
        <v>0</v>
      </c>
      <c r="Q7493" t="n">
        <v>0</v>
      </c>
      <c r="R7493" s="2" t="inlineStr"/>
    </row>
    <row r="7494" ht="15" customHeight="1">
      <c r="A7494" t="inlineStr">
        <is>
          <t>A 50306-2025</t>
        </is>
      </c>
      <c r="B7494" s="1" t="n">
        <v>45944.42739583334</v>
      </c>
      <c r="C7494" s="1" t="n">
        <v>45971</v>
      </c>
      <c r="D7494" t="inlineStr">
        <is>
          <t>VÄSTERBOTTENS LÄN</t>
        </is>
      </c>
      <c r="E7494" t="inlineStr">
        <is>
          <t>VINDELN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50346-2025</t>
        </is>
      </c>
      <c r="B7495" s="1" t="n">
        <v>45944.5444212963</v>
      </c>
      <c r="C7495" s="1" t="n">
        <v>45971</v>
      </c>
      <c r="D7495" t="inlineStr">
        <is>
          <t>VÄSTERBOTTENS LÄN</t>
        </is>
      </c>
      <c r="E7495" t="inlineStr">
        <is>
          <t>VINDELN</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50360-2025</t>
        </is>
      </c>
      <c r="B7496" s="1" t="n">
        <v>45944.56261574074</v>
      </c>
      <c r="C7496" s="1" t="n">
        <v>45971</v>
      </c>
      <c r="D7496" t="inlineStr">
        <is>
          <t>VÄSTERBOTTENS LÄN</t>
        </is>
      </c>
      <c r="E7496" t="inlineStr">
        <is>
          <t>DOROTEA</t>
        </is>
      </c>
      <c r="F7496" t="inlineStr">
        <is>
          <t>Sveaskog</t>
        </is>
      </c>
      <c r="G7496" t="n">
        <v>17.7</v>
      </c>
      <c r="H7496" t="n">
        <v>0</v>
      </c>
      <c r="I7496" t="n">
        <v>0</v>
      </c>
      <c r="J7496" t="n">
        <v>0</v>
      </c>
      <c r="K7496" t="n">
        <v>0</v>
      </c>
      <c r="L7496" t="n">
        <v>0</v>
      </c>
      <c r="M7496" t="n">
        <v>0</v>
      </c>
      <c r="N7496" t="n">
        <v>0</v>
      </c>
      <c r="O7496" t="n">
        <v>0</v>
      </c>
      <c r="P7496" t="n">
        <v>0</v>
      </c>
      <c r="Q7496" t="n">
        <v>0</v>
      </c>
      <c r="R7496" s="2" t="inlineStr"/>
    </row>
    <row r="7497" ht="15" customHeight="1">
      <c r="A7497" t="inlineStr">
        <is>
          <t>A 27990-2024</t>
        </is>
      </c>
      <c r="B7497" s="1" t="n">
        <v>45476.42824074074</v>
      </c>
      <c r="C7497" s="1" t="n">
        <v>45971</v>
      </c>
      <c r="D7497" t="inlineStr">
        <is>
          <t>VÄSTERBOTTENS LÄN</t>
        </is>
      </c>
      <c r="E7497" t="inlineStr">
        <is>
          <t>SKELLEFTEÅ</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26646-2024</t>
        </is>
      </c>
      <c r="B7498" s="1" t="n">
        <v>45469</v>
      </c>
      <c r="C7498" s="1" t="n">
        <v>45971</v>
      </c>
      <c r="D7498" t="inlineStr">
        <is>
          <t>VÄSTERBOTTENS LÄN</t>
        </is>
      </c>
      <c r="E7498" t="inlineStr">
        <is>
          <t>BJURHOLM</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41674-2025</t>
        </is>
      </c>
      <c r="B7499" s="1" t="n">
        <v>45902.36511574074</v>
      </c>
      <c r="C7499" s="1" t="n">
        <v>45971</v>
      </c>
      <c r="D7499" t="inlineStr">
        <is>
          <t>VÄSTERBOTTENS LÄN</t>
        </is>
      </c>
      <c r="E7499" t="inlineStr">
        <is>
          <t>NORSJÖ</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41677-2025</t>
        </is>
      </c>
      <c r="B7500" s="1" t="n">
        <v>45902.37362268518</v>
      </c>
      <c r="C7500" s="1" t="n">
        <v>45971</v>
      </c>
      <c r="D7500" t="inlineStr">
        <is>
          <t>VÄSTERBOTTENS LÄN</t>
        </is>
      </c>
      <c r="E7500" t="inlineStr">
        <is>
          <t>SKELLEFTEÅ</t>
        </is>
      </c>
      <c r="F7500" t="inlineStr">
        <is>
          <t>Holmen skog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41701-2025</t>
        </is>
      </c>
      <c r="B7501" s="1" t="n">
        <v>45902.41085648148</v>
      </c>
      <c r="C7501" s="1" t="n">
        <v>45971</v>
      </c>
      <c r="D7501" t="inlineStr">
        <is>
          <t>VÄSTERBOTTENS LÄN</t>
        </is>
      </c>
      <c r="E7501" t="inlineStr">
        <is>
          <t>SKELLEFTEÅ</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41721-2025</t>
        </is>
      </c>
      <c r="B7502" s="1" t="n">
        <v>45902.44825231482</v>
      </c>
      <c r="C7502" s="1" t="n">
        <v>45971</v>
      </c>
      <c r="D7502" t="inlineStr">
        <is>
          <t>VÄSTERBOTTENS LÄN</t>
        </is>
      </c>
      <c r="E7502" t="inlineStr">
        <is>
          <t>SKELLEFTEÅ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29641-2024</t>
        </is>
      </c>
      <c r="B7503" s="1" t="n">
        <v>45484.71327546296</v>
      </c>
      <c r="C7503" s="1" t="n">
        <v>45971</v>
      </c>
      <c r="D7503" t="inlineStr">
        <is>
          <t>VÄSTERBOTTENS LÄN</t>
        </is>
      </c>
      <c r="E7503" t="inlineStr">
        <is>
          <t>BJURHOLM</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48997-2021</t>
        </is>
      </c>
      <c r="B7504" s="1" t="n">
        <v>44453.44574074074</v>
      </c>
      <c r="C7504" s="1" t="n">
        <v>45971</v>
      </c>
      <c r="D7504" t="inlineStr">
        <is>
          <t>VÄSTERBOTTENS LÄN</t>
        </is>
      </c>
      <c r="E7504" t="inlineStr">
        <is>
          <t>LYCKSELE</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14357-2022</t>
        </is>
      </c>
      <c r="B7505" s="1" t="n">
        <v>44652</v>
      </c>
      <c r="C7505" s="1" t="n">
        <v>45971</v>
      </c>
      <c r="D7505" t="inlineStr">
        <is>
          <t>VÄSTERBOTTENS LÄN</t>
        </is>
      </c>
      <c r="E7505" t="inlineStr">
        <is>
          <t>VINDELN</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24068-2025</t>
        </is>
      </c>
      <c r="B7506" s="1" t="n">
        <v>45796.53878472222</v>
      </c>
      <c r="C7506" s="1" t="n">
        <v>45971</v>
      </c>
      <c r="D7506" t="inlineStr">
        <is>
          <t>VÄSTERBOTTENS LÄN</t>
        </is>
      </c>
      <c r="E7506" t="inlineStr">
        <is>
          <t>SKELLEFTEÅ</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23881-2025</t>
        </is>
      </c>
      <c r="B7507" s="1" t="n">
        <v>45793</v>
      </c>
      <c r="C7507" s="1" t="n">
        <v>45971</v>
      </c>
      <c r="D7507" t="inlineStr">
        <is>
          <t>VÄSTERBOTTENS LÄN</t>
        </is>
      </c>
      <c r="E7507" t="inlineStr">
        <is>
          <t>SKELLEFTEÅ</t>
        </is>
      </c>
      <c r="F7507" t="inlineStr">
        <is>
          <t>Sveaskog</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41720-2025</t>
        </is>
      </c>
      <c r="B7508" s="1" t="n">
        <v>45902.4481712963</v>
      </c>
      <c r="C7508" s="1" t="n">
        <v>45971</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41749-2025</t>
        </is>
      </c>
      <c r="B7509" s="1" t="n">
        <v>45902.49125</v>
      </c>
      <c r="C7509" s="1" t="n">
        <v>45971</v>
      </c>
      <c r="D7509" t="inlineStr">
        <is>
          <t>VÄSTERBOTTENS LÄN</t>
        </is>
      </c>
      <c r="E7509" t="inlineStr">
        <is>
          <t>VINDELN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41751-2025</t>
        </is>
      </c>
      <c r="B7510" s="1" t="n">
        <v>45902</v>
      </c>
      <c r="C7510" s="1" t="n">
        <v>45971</v>
      </c>
      <c r="D7510" t="inlineStr">
        <is>
          <t>VÄSTERBOTTENS LÄN</t>
        </is>
      </c>
      <c r="E7510" t="inlineStr">
        <is>
          <t>UMEÅ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50354-2025</t>
        </is>
      </c>
      <c r="B7511" s="1" t="n">
        <v>45944.55519675926</v>
      </c>
      <c r="C7511" s="1" t="n">
        <v>45971</v>
      </c>
      <c r="D7511" t="inlineStr">
        <is>
          <t>VÄSTERBOTTENS LÄN</t>
        </is>
      </c>
      <c r="E7511" t="inlineStr">
        <is>
          <t>ÅSELE</t>
        </is>
      </c>
      <c r="F7511" t="inlineStr">
        <is>
          <t>Sveaskog</t>
        </is>
      </c>
      <c r="G7511" t="n">
        <v>13.1</v>
      </c>
      <c r="H7511" t="n">
        <v>0</v>
      </c>
      <c r="I7511" t="n">
        <v>0</v>
      </c>
      <c r="J7511" t="n">
        <v>0</v>
      </c>
      <c r="K7511" t="n">
        <v>0</v>
      </c>
      <c r="L7511" t="n">
        <v>0</v>
      </c>
      <c r="M7511" t="n">
        <v>0</v>
      </c>
      <c r="N7511" t="n">
        <v>0</v>
      </c>
      <c r="O7511" t="n">
        <v>0</v>
      </c>
      <c r="P7511" t="n">
        <v>0</v>
      </c>
      <c r="Q7511" t="n">
        <v>0</v>
      </c>
      <c r="R7511" s="2" t="inlineStr"/>
    </row>
    <row r="7512" ht="15" customHeight="1">
      <c r="A7512" t="inlineStr">
        <is>
          <t>A 50379-2025</t>
        </is>
      </c>
      <c r="B7512" s="1" t="n">
        <v>45944.59688657407</v>
      </c>
      <c r="C7512" s="1" t="n">
        <v>45971</v>
      </c>
      <c r="D7512" t="inlineStr">
        <is>
          <t>VÄSTERBOTTENS LÄN</t>
        </is>
      </c>
      <c r="E7512" t="inlineStr">
        <is>
          <t>UMEÅ</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50381-2025</t>
        </is>
      </c>
      <c r="B7513" s="1" t="n">
        <v>45944.59734953703</v>
      </c>
      <c r="C7513" s="1" t="n">
        <v>45971</v>
      </c>
      <c r="D7513" t="inlineStr">
        <is>
          <t>VÄSTERBOTTENS LÄN</t>
        </is>
      </c>
      <c r="E7513" t="inlineStr">
        <is>
          <t>SKELLEFTEÅ</t>
        </is>
      </c>
      <c r="F7513" t="inlineStr">
        <is>
          <t>Holmen skog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50174-2025</t>
        </is>
      </c>
      <c r="B7514" s="1" t="n">
        <v>45943.6072337963</v>
      </c>
      <c r="C7514" s="1" t="n">
        <v>45971</v>
      </c>
      <c r="D7514" t="inlineStr">
        <is>
          <t>VÄSTERBOTTENS LÄN</t>
        </is>
      </c>
      <c r="E7514" t="inlineStr">
        <is>
          <t>VINDELN</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50438-2025</t>
        </is>
      </c>
      <c r="B7515" s="1" t="n">
        <v>45944.75725694445</v>
      </c>
      <c r="C7515" s="1" t="n">
        <v>45971</v>
      </c>
      <c r="D7515" t="inlineStr">
        <is>
          <t>VÄSTERBOTTENS LÄN</t>
        </is>
      </c>
      <c r="E7515" t="inlineStr">
        <is>
          <t>ÅSELE</t>
        </is>
      </c>
      <c r="F7515" t="inlineStr">
        <is>
          <t>Holmen skog AB</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50442-2025</t>
        </is>
      </c>
      <c r="B7516" s="1" t="n">
        <v>45944.86627314815</v>
      </c>
      <c r="C7516" s="1" t="n">
        <v>45971</v>
      </c>
      <c r="D7516" t="inlineStr">
        <is>
          <t>VÄSTERBOTTENS LÄN</t>
        </is>
      </c>
      <c r="E7516" t="inlineStr">
        <is>
          <t>UMEÅ</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50443-2025</t>
        </is>
      </c>
      <c r="B7517" s="1" t="n">
        <v>45944.86888888889</v>
      </c>
      <c r="C7517" s="1" t="n">
        <v>45971</v>
      </c>
      <c r="D7517" t="inlineStr">
        <is>
          <t>VÄSTERBOTTENS LÄN</t>
        </is>
      </c>
      <c r="E7517" t="inlineStr">
        <is>
          <t>UMEÅ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42075-2025</t>
        </is>
      </c>
      <c r="B7518" s="1" t="n">
        <v>45902</v>
      </c>
      <c r="C7518" s="1" t="n">
        <v>45971</v>
      </c>
      <c r="D7518" t="inlineStr">
        <is>
          <t>VÄSTERBOTTENS LÄN</t>
        </is>
      </c>
      <c r="E7518" t="inlineStr">
        <is>
          <t>LYCKSELE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47874-2025</t>
        </is>
      </c>
      <c r="B7519" s="1" t="n">
        <v>45932</v>
      </c>
      <c r="C7519" s="1" t="n">
        <v>45971</v>
      </c>
      <c r="D7519" t="inlineStr">
        <is>
          <t>VÄSTERBOTTENS LÄN</t>
        </is>
      </c>
      <c r="E7519" t="inlineStr">
        <is>
          <t>SKELLEFTEÅ</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24165-2025</t>
        </is>
      </c>
      <c r="B7520" s="1" t="n">
        <v>45796.67317129629</v>
      </c>
      <c r="C7520" s="1" t="n">
        <v>45971</v>
      </c>
      <c r="D7520" t="inlineStr">
        <is>
          <t>VÄSTERBOTTENS LÄN</t>
        </is>
      </c>
      <c r="E7520" t="inlineStr">
        <is>
          <t>VINDELN</t>
        </is>
      </c>
      <c r="F7520" t="inlineStr">
        <is>
          <t>Holmen skog AB</t>
        </is>
      </c>
      <c r="G7520" t="n">
        <v>17.6</v>
      </c>
      <c r="H7520" t="n">
        <v>0</v>
      </c>
      <c r="I7520" t="n">
        <v>0</v>
      </c>
      <c r="J7520" t="n">
        <v>0</v>
      </c>
      <c r="K7520" t="n">
        <v>0</v>
      </c>
      <c r="L7520" t="n">
        <v>0</v>
      </c>
      <c r="M7520" t="n">
        <v>0</v>
      </c>
      <c r="N7520" t="n">
        <v>0</v>
      </c>
      <c r="O7520" t="n">
        <v>0</v>
      </c>
      <c r="P7520" t="n">
        <v>0</v>
      </c>
      <c r="Q7520" t="n">
        <v>0</v>
      </c>
      <c r="R7520" s="2" t="inlineStr"/>
    </row>
    <row r="7521" ht="15" customHeight="1">
      <c r="A7521" t="inlineStr">
        <is>
          <t>A 41386-2025</t>
        </is>
      </c>
      <c r="B7521" s="1" t="n">
        <v>45899</v>
      </c>
      <c r="C7521" s="1" t="n">
        <v>45971</v>
      </c>
      <c r="D7521" t="inlineStr">
        <is>
          <t>VÄSTERBOTTENS LÄN</t>
        </is>
      </c>
      <c r="E7521" t="inlineStr">
        <is>
          <t>MALÅ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41438-2025</t>
        </is>
      </c>
      <c r="B7522" s="1" t="n">
        <v>45901.40425925926</v>
      </c>
      <c r="C7522" s="1" t="n">
        <v>45971</v>
      </c>
      <c r="D7522" t="inlineStr">
        <is>
          <t>VÄSTERBOTTENS LÄN</t>
        </is>
      </c>
      <c r="E7522" t="inlineStr">
        <is>
          <t>NORSJÖ</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41446-2025</t>
        </is>
      </c>
      <c r="B7523" s="1" t="n">
        <v>45901.42340277778</v>
      </c>
      <c r="C7523" s="1" t="n">
        <v>45971</v>
      </c>
      <c r="D7523" t="inlineStr">
        <is>
          <t>VÄSTERBOTTENS LÄN</t>
        </is>
      </c>
      <c r="E7523" t="inlineStr">
        <is>
          <t>VINDELN</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32236-2024</t>
        </is>
      </c>
      <c r="B7524" s="1" t="n">
        <v>45511.92907407408</v>
      </c>
      <c r="C7524" s="1" t="n">
        <v>45971</v>
      </c>
      <c r="D7524" t="inlineStr">
        <is>
          <t>VÄSTERBOTTENS LÄN</t>
        </is>
      </c>
      <c r="E7524" t="inlineStr">
        <is>
          <t>NORSJÖ</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1812-2025</t>
        </is>
      </c>
      <c r="B7525" s="1" t="n">
        <v>45671.49204861111</v>
      </c>
      <c r="C7525" s="1" t="n">
        <v>45971</v>
      </c>
      <c r="D7525" t="inlineStr">
        <is>
          <t>VÄSTERBOTTENS LÄN</t>
        </is>
      </c>
      <c r="E7525" t="inlineStr">
        <is>
          <t>VINDELN</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2350-2025</t>
        </is>
      </c>
      <c r="B7526" s="1" t="n">
        <v>45673.67822916667</v>
      </c>
      <c r="C7526" s="1" t="n">
        <v>45971</v>
      </c>
      <c r="D7526" t="inlineStr">
        <is>
          <t>VÄSTERBOTTENS LÄN</t>
        </is>
      </c>
      <c r="E7526" t="inlineStr">
        <is>
          <t>DOROTEA</t>
        </is>
      </c>
      <c r="F7526" t="inlineStr">
        <is>
          <t>SCA</t>
        </is>
      </c>
      <c r="G7526" t="n">
        <v>15.8</v>
      </c>
      <c r="H7526" t="n">
        <v>0</v>
      </c>
      <c r="I7526" t="n">
        <v>0</v>
      </c>
      <c r="J7526" t="n">
        <v>0</v>
      </c>
      <c r="K7526" t="n">
        <v>0</v>
      </c>
      <c r="L7526" t="n">
        <v>0</v>
      </c>
      <c r="M7526" t="n">
        <v>0</v>
      </c>
      <c r="N7526" t="n">
        <v>0</v>
      </c>
      <c r="O7526" t="n">
        <v>0</v>
      </c>
      <c r="P7526" t="n">
        <v>0</v>
      </c>
      <c r="Q7526" t="n">
        <v>0</v>
      </c>
      <c r="R7526" s="2" t="inlineStr"/>
    </row>
    <row r="7527" ht="15" customHeight="1">
      <c r="A7527" t="inlineStr">
        <is>
          <t>A 3042-2025</t>
        </is>
      </c>
      <c r="B7527" s="1" t="n">
        <v>45678</v>
      </c>
      <c r="C7527" s="1" t="n">
        <v>45971</v>
      </c>
      <c r="D7527" t="inlineStr">
        <is>
          <t>VÄSTERBOTTENS LÄN</t>
        </is>
      </c>
      <c r="E7527" t="inlineStr">
        <is>
          <t>ROBERTSFORS</t>
        </is>
      </c>
      <c r="F7527" t="inlineStr">
        <is>
          <t>Holmen skog AB</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41459-2025</t>
        </is>
      </c>
      <c r="B7528" s="1" t="n">
        <v>45901</v>
      </c>
      <c r="C7528" s="1" t="n">
        <v>45971</v>
      </c>
      <c r="D7528" t="inlineStr">
        <is>
          <t>VÄSTERBOTTENS LÄN</t>
        </is>
      </c>
      <c r="E7528" t="inlineStr">
        <is>
          <t>VINDELN</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41460-2025</t>
        </is>
      </c>
      <c r="B7529" s="1" t="n">
        <v>45901.44833333333</v>
      </c>
      <c r="C7529" s="1" t="n">
        <v>45971</v>
      </c>
      <c r="D7529" t="inlineStr">
        <is>
          <t>VÄSTERBOTTENS LÄN</t>
        </is>
      </c>
      <c r="E7529" t="inlineStr">
        <is>
          <t>MALÅ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50027-2025</t>
        </is>
      </c>
      <c r="B7530" s="1" t="n">
        <v>45943.38288194445</v>
      </c>
      <c r="C7530" s="1" t="n">
        <v>45971</v>
      </c>
      <c r="D7530" t="inlineStr">
        <is>
          <t>VÄSTERBOTTENS LÄN</t>
        </is>
      </c>
      <c r="E7530" t="inlineStr">
        <is>
          <t>BJURHOLM</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50039-2025</t>
        </is>
      </c>
      <c r="B7531" s="1" t="n">
        <v>45943.40211805556</v>
      </c>
      <c r="C7531" s="1" t="n">
        <v>45971</v>
      </c>
      <c r="D7531" t="inlineStr">
        <is>
          <t>VÄSTERBOTTENS LÄN</t>
        </is>
      </c>
      <c r="E7531" t="inlineStr">
        <is>
          <t>SKELLEFTEÅ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50396-2025</t>
        </is>
      </c>
      <c r="B7532" s="1" t="n">
        <v>45944.61931712963</v>
      </c>
      <c r="C7532" s="1" t="n">
        <v>45971</v>
      </c>
      <c r="D7532" t="inlineStr">
        <is>
          <t>VÄSTERBOTTENS LÄN</t>
        </is>
      </c>
      <c r="E7532" t="inlineStr">
        <is>
          <t>NORDMALING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41554-2025</t>
        </is>
      </c>
      <c r="B7533" s="1" t="n">
        <v>45901.59134259259</v>
      </c>
      <c r="C7533" s="1" t="n">
        <v>45971</v>
      </c>
      <c r="D7533" t="inlineStr">
        <is>
          <t>VÄSTERBOTTENS LÄN</t>
        </is>
      </c>
      <c r="E7533" t="inlineStr">
        <is>
          <t>SKELLEFTEÅ</t>
        </is>
      </c>
      <c r="F7533" t="inlineStr">
        <is>
          <t>Holmen skog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41558-2025</t>
        </is>
      </c>
      <c r="B7534" s="1" t="n">
        <v>45901.59408564815</v>
      </c>
      <c r="C7534" s="1" t="n">
        <v>45971</v>
      </c>
      <c r="D7534" t="inlineStr">
        <is>
          <t>VÄSTERBOTTENS LÄN</t>
        </is>
      </c>
      <c r="E7534" t="inlineStr">
        <is>
          <t>MALÅ</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41574-2025</t>
        </is>
      </c>
      <c r="B7535" s="1" t="n">
        <v>45901</v>
      </c>
      <c r="C7535" s="1" t="n">
        <v>45971</v>
      </c>
      <c r="D7535" t="inlineStr">
        <is>
          <t>VÄSTERBOTTENS LÄN</t>
        </is>
      </c>
      <c r="E7535" t="inlineStr">
        <is>
          <t>SKELLEFTEÅ</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41580-2025</t>
        </is>
      </c>
      <c r="B7536" s="1" t="n">
        <v>45901.62168981481</v>
      </c>
      <c r="C7536" s="1" t="n">
        <v>45971</v>
      </c>
      <c r="D7536" t="inlineStr">
        <is>
          <t>VÄSTERBOTTENS LÄN</t>
        </is>
      </c>
      <c r="E7536" t="inlineStr">
        <is>
          <t>UMEÅ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38588-2024</t>
        </is>
      </c>
      <c r="B7537" s="1" t="n">
        <v>45546.65261574074</v>
      </c>
      <c r="C7537" s="1" t="n">
        <v>45971</v>
      </c>
      <c r="D7537" t="inlineStr">
        <is>
          <t>VÄSTERBOTTENS LÄN</t>
        </is>
      </c>
      <c r="E7537" t="inlineStr">
        <is>
          <t>SKELLEFTEÅ</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49980-2025</t>
        </is>
      </c>
      <c r="B7538" s="1" t="n">
        <v>45942.62741898148</v>
      </c>
      <c r="C7538" s="1" t="n">
        <v>45971</v>
      </c>
      <c r="D7538" t="inlineStr">
        <is>
          <t>VÄSTERBOTTENS LÄN</t>
        </is>
      </c>
      <c r="E7538" t="inlineStr">
        <is>
          <t>LYCKSELE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49981-2025</t>
        </is>
      </c>
      <c r="B7539" s="1" t="n">
        <v>45942.64034722222</v>
      </c>
      <c r="C7539" s="1" t="n">
        <v>45971</v>
      </c>
      <c r="D7539" t="inlineStr">
        <is>
          <t>VÄSTERBOTTENS LÄN</t>
        </is>
      </c>
      <c r="E7539" t="inlineStr">
        <is>
          <t>LYCKSELE</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50028-2025</t>
        </is>
      </c>
      <c r="B7540" s="1" t="n">
        <v>45943.38590277778</v>
      </c>
      <c r="C7540" s="1" t="n">
        <v>45971</v>
      </c>
      <c r="D7540" t="inlineStr">
        <is>
          <t>VÄSTERBOTTENS LÄN</t>
        </is>
      </c>
      <c r="E7540" t="inlineStr">
        <is>
          <t>NORSJÖ</t>
        </is>
      </c>
      <c r="G7540" t="n">
        <v>10.7</v>
      </c>
      <c r="H7540" t="n">
        <v>0</v>
      </c>
      <c r="I7540" t="n">
        <v>0</v>
      </c>
      <c r="J7540" t="n">
        <v>0</v>
      </c>
      <c r="K7540" t="n">
        <v>0</v>
      </c>
      <c r="L7540" t="n">
        <v>0</v>
      </c>
      <c r="M7540" t="n">
        <v>0</v>
      </c>
      <c r="N7540" t="n">
        <v>0</v>
      </c>
      <c r="O7540" t="n">
        <v>0</v>
      </c>
      <c r="P7540" t="n">
        <v>0</v>
      </c>
      <c r="Q7540" t="n">
        <v>0</v>
      </c>
      <c r="R7540" s="2" t="inlineStr"/>
    </row>
    <row r="7541" ht="15" customHeight="1">
      <c r="A7541" t="inlineStr">
        <is>
          <t>A 50036-2025</t>
        </is>
      </c>
      <c r="B7541" s="1" t="n">
        <v>45943.39673611111</v>
      </c>
      <c r="C7541" s="1" t="n">
        <v>45971</v>
      </c>
      <c r="D7541" t="inlineStr">
        <is>
          <t>VÄSTERBOTTENS LÄN</t>
        </is>
      </c>
      <c r="E7541" t="inlineStr">
        <is>
          <t>SKELLEFTEÅ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50041-2025</t>
        </is>
      </c>
      <c r="B7542" s="1" t="n">
        <v>45943.40491898148</v>
      </c>
      <c r="C7542" s="1" t="n">
        <v>45971</v>
      </c>
      <c r="D7542" t="inlineStr">
        <is>
          <t>VÄSTERBOTTENS LÄN</t>
        </is>
      </c>
      <c r="E7542" t="inlineStr">
        <is>
          <t>BJURHOLM</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43973-2024</t>
        </is>
      </c>
      <c r="B7543" s="1" t="n">
        <v>45572.49059027778</v>
      </c>
      <c r="C7543" s="1" t="n">
        <v>45971</v>
      </c>
      <c r="D7543" t="inlineStr">
        <is>
          <t>VÄSTERBOTTENS LÄN</t>
        </is>
      </c>
      <c r="E7543" t="inlineStr">
        <is>
          <t>UMEÅ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50159-2025</t>
        </is>
      </c>
      <c r="B7544" s="1" t="n">
        <v>45943.58391203704</v>
      </c>
      <c r="C7544" s="1" t="n">
        <v>45971</v>
      </c>
      <c r="D7544" t="inlineStr">
        <is>
          <t>VÄSTERBOTTENS LÄN</t>
        </is>
      </c>
      <c r="E7544" t="inlineStr">
        <is>
          <t>UMEÅ</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41704-2025</t>
        </is>
      </c>
      <c r="B7545" s="1" t="n">
        <v>45902</v>
      </c>
      <c r="C7545" s="1" t="n">
        <v>45971</v>
      </c>
      <c r="D7545" t="inlineStr">
        <is>
          <t>VÄSTERBOTTENS LÄN</t>
        </is>
      </c>
      <c r="E7545" t="inlineStr">
        <is>
          <t>VILHELMINA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23824-2025</t>
        </is>
      </c>
      <c r="B7546" s="1" t="n">
        <v>45793.59431712963</v>
      </c>
      <c r="C7546" s="1" t="n">
        <v>45971</v>
      </c>
      <c r="D7546" t="inlineStr">
        <is>
          <t>VÄSTERBOTTENS LÄN</t>
        </is>
      </c>
      <c r="E7546" t="inlineStr">
        <is>
          <t>ÅSELE</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43714-2024</t>
        </is>
      </c>
      <c r="B7547" s="1" t="n">
        <v>45569</v>
      </c>
      <c r="C7547" s="1" t="n">
        <v>45971</v>
      </c>
      <c r="D7547" t="inlineStr">
        <is>
          <t>VÄSTERBOTTENS LÄN</t>
        </is>
      </c>
      <c r="E7547" t="inlineStr">
        <is>
          <t>SKELLEFTEÅ</t>
        </is>
      </c>
      <c r="G7547" t="n">
        <v>12.2</v>
      </c>
      <c r="H7547" t="n">
        <v>0</v>
      </c>
      <c r="I7547" t="n">
        <v>0</v>
      </c>
      <c r="J7547" t="n">
        <v>0</v>
      </c>
      <c r="K7547" t="n">
        <v>0</v>
      </c>
      <c r="L7547" t="n">
        <v>0</v>
      </c>
      <c r="M7547" t="n">
        <v>0</v>
      </c>
      <c r="N7547" t="n">
        <v>0</v>
      </c>
      <c r="O7547" t="n">
        <v>0</v>
      </c>
      <c r="P7547" t="n">
        <v>0</v>
      </c>
      <c r="Q7547" t="n">
        <v>0</v>
      </c>
      <c r="R7547" s="2" t="inlineStr"/>
    </row>
    <row r="7548" ht="15" customHeight="1">
      <c r="A7548" t="inlineStr">
        <is>
          <t>A 23676-2025</t>
        </is>
      </c>
      <c r="B7548" s="1" t="n">
        <v>45793.31434027778</v>
      </c>
      <c r="C7548" s="1" t="n">
        <v>45971</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60226-2022</t>
        </is>
      </c>
      <c r="B7549" s="1" t="n">
        <v>44910</v>
      </c>
      <c r="C7549" s="1" t="n">
        <v>45971</v>
      </c>
      <c r="D7549" t="inlineStr">
        <is>
          <t>VÄSTERBOTTENS LÄN</t>
        </is>
      </c>
      <c r="E7549" t="inlineStr">
        <is>
          <t>LYCKSELE</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23803-2025</t>
        </is>
      </c>
      <c r="B7550" s="1" t="n">
        <v>45793.55854166667</v>
      </c>
      <c r="C7550" s="1" t="n">
        <v>45971</v>
      </c>
      <c r="D7550" t="inlineStr">
        <is>
          <t>VÄSTERBOTTENS LÄN</t>
        </is>
      </c>
      <c r="E7550" t="inlineStr">
        <is>
          <t>ÅSELE</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11109-2022</t>
        </is>
      </c>
      <c r="B7551" s="1" t="n">
        <v>44628.92515046296</v>
      </c>
      <c r="C7551" s="1" t="n">
        <v>45971</v>
      </c>
      <c r="D7551" t="inlineStr">
        <is>
          <t>VÄSTERBOTTENS LÄN</t>
        </is>
      </c>
      <c r="E7551" t="inlineStr">
        <is>
          <t>UMEÅ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4138-2024</t>
        </is>
      </c>
      <c r="B7552" s="1" t="n">
        <v>45323</v>
      </c>
      <c r="C7552" s="1" t="n">
        <v>45971</v>
      </c>
      <c r="D7552" t="inlineStr">
        <is>
          <t>VÄSTERBOTTENS LÄN</t>
        </is>
      </c>
      <c r="E7552" t="inlineStr">
        <is>
          <t>SKELLEFTEÅ</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16883-2023</t>
        </is>
      </c>
      <c r="B7553" s="1" t="n">
        <v>45029</v>
      </c>
      <c r="C7553" s="1" t="n">
        <v>45971</v>
      </c>
      <c r="D7553" t="inlineStr">
        <is>
          <t>VÄSTERBOTTENS LÄN</t>
        </is>
      </c>
      <c r="E7553" t="inlineStr">
        <is>
          <t>SORSELE</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23300-2023</t>
        </is>
      </c>
      <c r="B7554" s="1" t="n">
        <v>45075</v>
      </c>
      <c r="C7554" s="1" t="n">
        <v>45971</v>
      </c>
      <c r="D7554" t="inlineStr">
        <is>
          <t>VÄSTERBOTTENS LÄN</t>
        </is>
      </c>
      <c r="E7554" t="inlineStr">
        <is>
          <t>DOROTEA</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23826-2025</t>
        </is>
      </c>
      <c r="B7555" s="1" t="n">
        <v>45793.59461805555</v>
      </c>
      <c r="C7555" s="1" t="n">
        <v>45971</v>
      </c>
      <c r="D7555" t="inlineStr">
        <is>
          <t>VÄSTERBOTTENS LÄN</t>
        </is>
      </c>
      <c r="E7555" t="inlineStr">
        <is>
          <t>VILHELMINA</t>
        </is>
      </c>
      <c r="F7555" t="inlineStr">
        <is>
          <t>SCA</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24129-2025</t>
        </is>
      </c>
      <c r="B7556" s="1" t="n">
        <v>45796</v>
      </c>
      <c r="C7556" s="1" t="n">
        <v>45971</v>
      </c>
      <c r="D7556" t="inlineStr">
        <is>
          <t>VÄSTERBOTTENS LÄN</t>
        </is>
      </c>
      <c r="E7556" t="inlineStr">
        <is>
          <t>LYCKSELE</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33623-2023</t>
        </is>
      </c>
      <c r="B7557" s="1" t="n">
        <v>45132.38693287037</v>
      </c>
      <c r="C7557" s="1" t="n">
        <v>45971</v>
      </c>
      <c r="D7557" t="inlineStr">
        <is>
          <t>VÄSTERBOTTENS LÄN</t>
        </is>
      </c>
      <c r="E7557" t="inlineStr">
        <is>
          <t>NORSJÖ</t>
        </is>
      </c>
      <c r="F7557" t="inlineStr">
        <is>
          <t>Holmen skog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52531-2024</t>
        </is>
      </c>
      <c r="B7558" s="1" t="n">
        <v>45609.61578703704</v>
      </c>
      <c r="C7558" s="1" t="n">
        <v>45971</v>
      </c>
      <c r="D7558" t="inlineStr">
        <is>
          <t>VÄSTERBOTTENS LÄN</t>
        </is>
      </c>
      <c r="E7558" t="inlineStr">
        <is>
          <t>VÄNNÄS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52533-2024</t>
        </is>
      </c>
      <c r="B7559" s="1" t="n">
        <v>45609.61697916667</v>
      </c>
      <c r="C7559" s="1" t="n">
        <v>45971</v>
      </c>
      <c r="D7559" t="inlineStr">
        <is>
          <t>VÄSTERBOTTENS LÄN</t>
        </is>
      </c>
      <c r="E7559" t="inlineStr">
        <is>
          <t>VÄNNÄS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41962-2023</t>
        </is>
      </c>
      <c r="B7560" s="1" t="n">
        <v>45177</v>
      </c>
      <c r="C7560" s="1" t="n">
        <v>45971</v>
      </c>
      <c r="D7560" t="inlineStr">
        <is>
          <t>VÄSTERBOTTENS LÄN</t>
        </is>
      </c>
      <c r="E7560" t="inlineStr">
        <is>
          <t>ROBERTSFORS</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41697-2025</t>
        </is>
      </c>
      <c r="B7561" s="1" t="n">
        <v>45902.4074537037</v>
      </c>
      <c r="C7561" s="1" t="n">
        <v>45971</v>
      </c>
      <c r="D7561" t="inlineStr">
        <is>
          <t>VÄSTERBOTTENS LÄN</t>
        </is>
      </c>
      <c r="E7561" t="inlineStr">
        <is>
          <t>SKELLEFTEÅ</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50357-2025</t>
        </is>
      </c>
      <c r="B7562" s="1" t="n">
        <v>45944.55862268519</v>
      </c>
      <c r="C7562" s="1" t="n">
        <v>45971</v>
      </c>
      <c r="D7562" t="inlineStr">
        <is>
          <t>VÄSTERBOTTENS LÄN</t>
        </is>
      </c>
      <c r="E7562" t="inlineStr">
        <is>
          <t>ÅSELE</t>
        </is>
      </c>
      <c r="F7562" t="inlineStr">
        <is>
          <t>Sveaskog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52650-2024</t>
        </is>
      </c>
      <c r="B7563" s="1" t="n">
        <v>45610.34976851852</v>
      </c>
      <c r="C7563" s="1" t="n">
        <v>45971</v>
      </c>
      <c r="D7563" t="inlineStr">
        <is>
          <t>VÄSTERBOTTENS LÄN</t>
        </is>
      </c>
      <c r="E7563" t="inlineStr">
        <is>
          <t>ROBERTSFORS</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20949-2023</t>
        </is>
      </c>
      <c r="B7564" s="1" t="n">
        <v>45056</v>
      </c>
      <c r="C7564" s="1" t="n">
        <v>45971</v>
      </c>
      <c r="D7564" t="inlineStr">
        <is>
          <t>VÄSTERBOTTENS LÄN</t>
        </is>
      </c>
      <c r="E7564" t="inlineStr">
        <is>
          <t>BJURHOLM</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24063-2025</t>
        </is>
      </c>
      <c r="B7565" s="1" t="n">
        <v>45796.53043981481</v>
      </c>
      <c r="C7565" s="1" t="n">
        <v>45971</v>
      </c>
      <c r="D7565" t="inlineStr">
        <is>
          <t>VÄSTERBOTTENS LÄN</t>
        </is>
      </c>
      <c r="E7565" t="inlineStr">
        <is>
          <t>LYCKSELE</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24065-2025</t>
        </is>
      </c>
      <c r="B7566" s="1" t="n">
        <v>45796.5358449074</v>
      </c>
      <c r="C7566" s="1" t="n">
        <v>45971</v>
      </c>
      <c r="D7566" t="inlineStr">
        <is>
          <t>VÄSTERBOTTENS LÄN</t>
        </is>
      </c>
      <c r="E7566" t="inlineStr">
        <is>
          <t>SKELLEFTEÅ</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2749-2023</t>
        </is>
      </c>
      <c r="B7567" s="1" t="n">
        <v>44943</v>
      </c>
      <c r="C7567" s="1" t="n">
        <v>45971</v>
      </c>
      <c r="D7567" t="inlineStr">
        <is>
          <t>VÄSTERBOTTENS LÄN</t>
        </is>
      </c>
      <c r="E7567" t="inlineStr">
        <is>
          <t>NORSJÖ</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35760-2023</t>
        </is>
      </c>
      <c r="B7568" s="1" t="n">
        <v>45147</v>
      </c>
      <c r="C7568" s="1" t="n">
        <v>45971</v>
      </c>
      <c r="D7568" t="inlineStr">
        <is>
          <t>VÄSTERBOTTENS LÄN</t>
        </is>
      </c>
      <c r="E7568" t="inlineStr">
        <is>
          <t>VILHELMINA</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20617-2024</t>
        </is>
      </c>
      <c r="B7569" s="1" t="n">
        <v>45436</v>
      </c>
      <c r="C7569" s="1" t="n">
        <v>45971</v>
      </c>
      <c r="D7569" t="inlineStr">
        <is>
          <t>VÄSTERBOTTENS LÄN</t>
        </is>
      </c>
      <c r="E7569" t="inlineStr">
        <is>
          <t>ÅSELE</t>
        </is>
      </c>
      <c r="F7569" t="inlineStr">
        <is>
          <t>Holmen skog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23943-2025</t>
        </is>
      </c>
      <c r="B7570" s="1" t="n">
        <v>45794</v>
      </c>
      <c r="C7570" s="1" t="n">
        <v>45971</v>
      </c>
      <c r="D7570" t="inlineStr">
        <is>
          <t>VÄSTERBOTTENS LÄN</t>
        </is>
      </c>
      <c r="E7570" t="inlineStr">
        <is>
          <t>SORSELE</t>
        </is>
      </c>
      <c r="G7570" t="n">
        <v>11.9</v>
      </c>
      <c r="H7570" t="n">
        <v>0</v>
      </c>
      <c r="I7570" t="n">
        <v>0</v>
      </c>
      <c r="J7570" t="n">
        <v>0</v>
      </c>
      <c r="K7570" t="n">
        <v>0</v>
      </c>
      <c r="L7570" t="n">
        <v>0</v>
      </c>
      <c r="M7570" t="n">
        <v>0</v>
      </c>
      <c r="N7570" t="n">
        <v>0</v>
      </c>
      <c r="O7570" t="n">
        <v>0</v>
      </c>
      <c r="P7570" t="n">
        <v>0</v>
      </c>
      <c r="Q7570" t="n">
        <v>0</v>
      </c>
      <c r="R7570" s="2" t="inlineStr"/>
    </row>
    <row r="7571" ht="15" customHeight="1">
      <c r="A7571" t="inlineStr">
        <is>
          <t>A 17658-2023</t>
        </is>
      </c>
      <c r="B7571" s="1" t="n">
        <v>45036.89533564815</v>
      </c>
      <c r="C7571" s="1" t="n">
        <v>45971</v>
      </c>
      <c r="D7571" t="inlineStr">
        <is>
          <t>VÄSTERBOTTENS LÄN</t>
        </is>
      </c>
      <c r="E7571" t="inlineStr">
        <is>
          <t>DOROTEA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17672-2023</t>
        </is>
      </c>
      <c r="B7572" s="1" t="n">
        <v>45036</v>
      </c>
      <c r="C7572" s="1" t="n">
        <v>45971</v>
      </c>
      <c r="D7572" t="inlineStr">
        <is>
          <t>VÄSTERBOTTENS LÄN</t>
        </is>
      </c>
      <c r="E7572" t="inlineStr">
        <is>
          <t>ÅSELE</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24064-2025</t>
        </is>
      </c>
      <c r="B7573" s="1" t="n">
        <v>45796.53480324074</v>
      </c>
      <c r="C7573" s="1" t="n">
        <v>45971</v>
      </c>
      <c r="D7573" t="inlineStr">
        <is>
          <t>VÄSTERBOTTENS LÄN</t>
        </is>
      </c>
      <c r="E7573" t="inlineStr">
        <is>
          <t>SKELLEFTEÅ</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24067-2025</t>
        </is>
      </c>
      <c r="B7574" s="1" t="n">
        <v>45796.53820601852</v>
      </c>
      <c r="C7574" s="1" t="n">
        <v>45971</v>
      </c>
      <c r="D7574" t="inlineStr">
        <is>
          <t>VÄSTERBOTTENS LÄN</t>
        </is>
      </c>
      <c r="E7574" t="inlineStr">
        <is>
          <t>SKELLEFTEÅ</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45503-2021</t>
        </is>
      </c>
      <c r="B7575" s="1" t="n">
        <v>44440</v>
      </c>
      <c r="C7575" s="1" t="n">
        <v>45971</v>
      </c>
      <c r="D7575" t="inlineStr">
        <is>
          <t>VÄSTERBOTTENS LÄN</t>
        </is>
      </c>
      <c r="E7575" t="inlineStr">
        <is>
          <t>LYCKSELE</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23847-2025</t>
        </is>
      </c>
      <c r="B7576" s="1" t="n">
        <v>45793.62730324074</v>
      </c>
      <c r="C7576" s="1" t="n">
        <v>45971</v>
      </c>
      <c r="D7576" t="inlineStr">
        <is>
          <t>VÄSTERBOTTENS LÄN</t>
        </is>
      </c>
      <c r="E7576" t="inlineStr">
        <is>
          <t>SKELLEFTEÅ</t>
        </is>
      </c>
      <c r="F7576" t="inlineStr">
        <is>
          <t>Holmen skog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59553-2024</t>
        </is>
      </c>
      <c r="B7577" s="1" t="n">
        <v>45638.63533564815</v>
      </c>
      <c r="C7577" s="1" t="n">
        <v>45971</v>
      </c>
      <c r="D7577" t="inlineStr">
        <is>
          <t>VÄSTERBOTTENS LÄN</t>
        </is>
      </c>
      <c r="E7577" t="inlineStr">
        <is>
          <t>BJURHOLM</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17698-2023</t>
        </is>
      </c>
      <c r="B7578" s="1" t="n">
        <v>45035</v>
      </c>
      <c r="C7578" s="1" t="n">
        <v>45971</v>
      </c>
      <c r="D7578" t="inlineStr">
        <is>
          <t>VÄSTERBOTTENS LÄN</t>
        </is>
      </c>
      <c r="E7578" t="inlineStr">
        <is>
          <t>ÅSELE</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23886-2025</t>
        </is>
      </c>
      <c r="B7579" s="1" t="n">
        <v>45793</v>
      </c>
      <c r="C7579" s="1" t="n">
        <v>45971</v>
      </c>
      <c r="D7579" t="inlineStr">
        <is>
          <t>VÄSTERBOTTENS LÄN</t>
        </is>
      </c>
      <c r="E7579" t="inlineStr">
        <is>
          <t>SKELLEFTEÅ</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23935-2025</t>
        </is>
      </c>
      <c r="B7580" s="1" t="n">
        <v>45795.8047337963</v>
      </c>
      <c r="C7580" s="1" t="n">
        <v>45971</v>
      </c>
      <c r="D7580" t="inlineStr">
        <is>
          <t>VÄSTERBOTTENS LÄN</t>
        </is>
      </c>
      <c r="E7580" t="inlineStr">
        <is>
          <t>SORSELE</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10693-2024</t>
        </is>
      </c>
      <c r="B7581" s="1" t="n">
        <v>45369</v>
      </c>
      <c r="C7581" s="1" t="n">
        <v>45971</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50046-2025</t>
        </is>
      </c>
      <c r="B7582" s="1" t="n">
        <v>45943.40912037037</v>
      </c>
      <c r="C7582" s="1" t="n">
        <v>45971</v>
      </c>
      <c r="D7582" t="inlineStr">
        <is>
          <t>VÄSTERBOTTENS LÄN</t>
        </is>
      </c>
      <c r="E7582" t="inlineStr">
        <is>
          <t>BJURHOLM</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32813-2024</t>
        </is>
      </c>
      <c r="B7583" s="1" t="n">
        <v>45516.57533564815</v>
      </c>
      <c r="C7583" s="1" t="n">
        <v>45971</v>
      </c>
      <c r="D7583" t="inlineStr">
        <is>
          <t>VÄSTERBOTTENS LÄN</t>
        </is>
      </c>
      <c r="E7583" t="inlineStr">
        <is>
          <t>UMEÅ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59443-2024</t>
        </is>
      </c>
      <c r="B7584" s="1" t="n">
        <v>45638.44944444444</v>
      </c>
      <c r="C7584" s="1" t="n">
        <v>45971</v>
      </c>
      <c r="D7584" t="inlineStr">
        <is>
          <t>VÄSTERBOTTENS LÄN</t>
        </is>
      </c>
      <c r="E7584" t="inlineStr">
        <is>
          <t>SKELLEFTEÅ</t>
        </is>
      </c>
      <c r="F7584" t="inlineStr">
        <is>
          <t>Sveaskog</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41326-2025</t>
        </is>
      </c>
      <c r="B7585" s="1" t="n">
        <v>45899.28303240741</v>
      </c>
      <c r="C7585" s="1" t="n">
        <v>45971</v>
      </c>
      <c r="D7585" t="inlineStr">
        <is>
          <t>VÄSTERBOTTENS LÄN</t>
        </is>
      </c>
      <c r="E7585" t="inlineStr">
        <is>
          <t>SKELLEFTEÅ</t>
        </is>
      </c>
      <c r="F7585" t="inlineStr">
        <is>
          <t>Holmen skog AB</t>
        </is>
      </c>
      <c r="G7585" t="n">
        <v>21.6</v>
      </c>
      <c r="H7585" t="n">
        <v>0</v>
      </c>
      <c r="I7585" t="n">
        <v>0</v>
      </c>
      <c r="J7585" t="n">
        <v>0</v>
      </c>
      <c r="K7585" t="n">
        <v>0</v>
      </c>
      <c r="L7585" t="n">
        <v>0</v>
      </c>
      <c r="M7585" t="n">
        <v>0</v>
      </c>
      <c r="N7585" t="n">
        <v>0</v>
      </c>
      <c r="O7585" t="n">
        <v>0</v>
      </c>
      <c r="P7585" t="n">
        <v>0</v>
      </c>
      <c r="Q7585" t="n">
        <v>0</v>
      </c>
      <c r="R7585" s="2" t="inlineStr"/>
    </row>
    <row r="7586" ht="15" customHeight="1">
      <c r="A7586" t="inlineStr">
        <is>
          <t>A 39470-2024</t>
        </is>
      </c>
      <c r="B7586" s="1" t="n">
        <v>45551</v>
      </c>
      <c r="C7586" s="1" t="n">
        <v>45971</v>
      </c>
      <c r="D7586" t="inlineStr">
        <is>
          <t>VÄSTERBOTTENS LÄN</t>
        </is>
      </c>
      <c r="E7586" t="inlineStr">
        <is>
          <t>DOROTEA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50278-2025</t>
        </is>
      </c>
      <c r="B7587" s="1" t="n">
        <v>45944.3794212963</v>
      </c>
      <c r="C7587" s="1" t="n">
        <v>45971</v>
      </c>
      <c r="D7587" t="inlineStr">
        <is>
          <t>VÄSTERBOTTENS LÄN</t>
        </is>
      </c>
      <c r="E7587" t="inlineStr">
        <is>
          <t>ÅSELE</t>
        </is>
      </c>
      <c r="F7587" t="inlineStr">
        <is>
          <t>Sveaskog</t>
        </is>
      </c>
      <c r="G7587" t="n">
        <v>18.8</v>
      </c>
      <c r="H7587" t="n">
        <v>0</v>
      </c>
      <c r="I7587" t="n">
        <v>0</v>
      </c>
      <c r="J7587" t="n">
        <v>0</v>
      </c>
      <c r="K7587" t="n">
        <v>0</v>
      </c>
      <c r="L7587" t="n">
        <v>0</v>
      </c>
      <c r="M7587" t="n">
        <v>0</v>
      </c>
      <c r="N7587" t="n">
        <v>0</v>
      </c>
      <c r="O7587" t="n">
        <v>0</v>
      </c>
      <c r="P7587" t="n">
        <v>0</v>
      </c>
      <c r="Q7587" t="n">
        <v>0</v>
      </c>
      <c r="R7587" s="2" t="inlineStr"/>
    </row>
    <row r="7588" ht="15" customHeight="1">
      <c r="A7588" t="inlineStr">
        <is>
          <t>A 73419-2021</t>
        </is>
      </c>
      <c r="B7588" s="1" t="n">
        <v>44551</v>
      </c>
      <c r="C7588" s="1" t="n">
        <v>45971</v>
      </c>
      <c r="D7588" t="inlineStr">
        <is>
          <t>VÄSTERBOTTENS LÄN</t>
        </is>
      </c>
      <c r="E7588" t="inlineStr">
        <is>
          <t>ÅSELE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50301-2025</t>
        </is>
      </c>
      <c r="B7589" s="1" t="n">
        <v>45944.41266203704</v>
      </c>
      <c r="C7589" s="1" t="n">
        <v>45971</v>
      </c>
      <c r="D7589" t="inlineStr">
        <is>
          <t>VÄSTERBOTTENS LÄN</t>
        </is>
      </c>
      <c r="E7589" t="inlineStr">
        <is>
          <t>ÅSELE</t>
        </is>
      </c>
      <c r="F7589" t="inlineStr">
        <is>
          <t>Sveaskog</t>
        </is>
      </c>
      <c r="G7589" t="n">
        <v>21.8</v>
      </c>
      <c r="H7589" t="n">
        <v>0</v>
      </c>
      <c r="I7589" t="n">
        <v>0</v>
      </c>
      <c r="J7589" t="n">
        <v>0</v>
      </c>
      <c r="K7589" t="n">
        <v>0</v>
      </c>
      <c r="L7589" t="n">
        <v>0</v>
      </c>
      <c r="M7589" t="n">
        <v>0</v>
      </c>
      <c r="N7589" t="n">
        <v>0</v>
      </c>
      <c r="O7589" t="n">
        <v>0</v>
      </c>
      <c r="P7589" t="n">
        <v>0</v>
      </c>
      <c r="Q7589" t="n">
        <v>0</v>
      </c>
      <c r="R7589" s="2" t="inlineStr"/>
    </row>
    <row r="7590" ht="15" customHeight="1">
      <c r="A7590" t="inlineStr">
        <is>
          <t>A 41461-2025</t>
        </is>
      </c>
      <c r="B7590" s="1" t="n">
        <v>45901.44844907407</v>
      </c>
      <c r="C7590" s="1" t="n">
        <v>45971</v>
      </c>
      <c r="D7590" t="inlineStr">
        <is>
          <t>VÄSTERBOTTENS LÄN</t>
        </is>
      </c>
      <c r="E7590" t="inlineStr">
        <is>
          <t>MALÅ</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72894-2021</t>
        </is>
      </c>
      <c r="B7591" s="1" t="n">
        <v>44546</v>
      </c>
      <c r="C7591" s="1" t="n">
        <v>45971</v>
      </c>
      <c r="D7591" t="inlineStr">
        <is>
          <t>VÄSTERBOTTENS LÄN</t>
        </is>
      </c>
      <c r="E7591" t="inlineStr">
        <is>
          <t>SORSELE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3616-2022</t>
        </is>
      </c>
      <c r="B7592" s="1" t="n">
        <v>44586</v>
      </c>
      <c r="C7592" s="1" t="n">
        <v>45971</v>
      </c>
      <c r="D7592" t="inlineStr">
        <is>
          <t>VÄSTERBOTTENS LÄN</t>
        </is>
      </c>
      <c r="E7592" t="inlineStr">
        <is>
          <t>SKELLEFTEÅ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60179-2024</t>
        </is>
      </c>
      <c r="B7593" s="1" t="n">
        <v>45642.63862268518</v>
      </c>
      <c r="C7593" s="1" t="n">
        <v>45971</v>
      </c>
      <c r="D7593" t="inlineStr">
        <is>
          <t>VÄSTERBOTTENS LÄN</t>
        </is>
      </c>
      <c r="E7593" t="inlineStr">
        <is>
          <t>UMEÅ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37946-2024</t>
        </is>
      </c>
      <c r="B7594" s="1" t="n">
        <v>45544.50325231482</v>
      </c>
      <c r="C7594" s="1" t="n">
        <v>45971</v>
      </c>
      <c r="D7594" t="inlineStr">
        <is>
          <t>VÄSTERBOTTENS LÄN</t>
        </is>
      </c>
      <c r="E7594" t="inlineStr">
        <is>
          <t>SKELLEFTEÅ</t>
        </is>
      </c>
      <c r="F7594" t="inlineStr">
        <is>
          <t>Holmen skog AB</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48762-2024</t>
        </is>
      </c>
      <c r="B7595" s="1" t="n">
        <v>45593</v>
      </c>
      <c r="C7595" s="1" t="n">
        <v>45971</v>
      </c>
      <c r="D7595" t="inlineStr">
        <is>
          <t>VÄSTERBOTTENS LÄN</t>
        </is>
      </c>
      <c r="E7595" t="inlineStr">
        <is>
          <t>STORUMAN</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23961-2025</t>
        </is>
      </c>
      <c r="B7596" s="1" t="n">
        <v>45794</v>
      </c>
      <c r="C7596" s="1" t="n">
        <v>45971</v>
      </c>
      <c r="D7596" t="inlineStr">
        <is>
          <t>VÄSTERBOTTENS LÄN</t>
        </is>
      </c>
      <c r="E7596" t="inlineStr">
        <is>
          <t>ROBERTSFORS</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23989-2025</t>
        </is>
      </c>
      <c r="B7597" s="1" t="n">
        <v>45796.40104166666</v>
      </c>
      <c r="C7597" s="1" t="n">
        <v>45971</v>
      </c>
      <c r="D7597" t="inlineStr">
        <is>
          <t>VÄSTERBOTTENS LÄN</t>
        </is>
      </c>
      <c r="E7597" t="inlineStr">
        <is>
          <t>ROBERTSFORS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50317-2025</t>
        </is>
      </c>
      <c r="B7598" s="1" t="n">
        <v>45944.44858796296</v>
      </c>
      <c r="C7598" s="1" t="n">
        <v>45971</v>
      </c>
      <c r="D7598" t="inlineStr">
        <is>
          <t>VÄSTERBOTTENS LÄN</t>
        </is>
      </c>
      <c r="E7598" t="inlineStr">
        <is>
          <t>VINDELN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50336-2025</t>
        </is>
      </c>
      <c r="B7599" s="1" t="n">
        <v>45944</v>
      </c>
      <c r="C7599" s="1" t="n">
        <v>45971</v>
      </c>
      <c r="D7599" t="inlineStr">
        <is>
          <t>VÄSTERBOTTENS LÄN</t>
        </is>
      </c>
      <c r="E7599" t="inlineStr">
        <is>
          <t>SKELLEFTEÅ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16330-2023</t>
        </is>
      </c>
      <c r="B7600" s="1" t="n">
        <v>45028</v>
      </c>
      <c r="C7600" s="1" t="n">
        <v>45971</v>
      </c>
      <c r="D7600" t="inlineStr">
        <is>
          <t>VÄSTERBOTTENS LÄN</t>
        </is>
      </c>
      <c r="E7600" t="inlineStr">
        <is>
          <t>UMEÅ</t>
        </is>
      </c>
      <c r="F7600" t="inlineStr">
        <is>
          <t>Holmen skog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28573-2025</t>
        </is>
      </c>
      <c r="B7601" s="1" t="n">
        <v>45819</v>
      </c>
      <c r="C7601" s="1" t="n">
        <v>45971</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24958-2025</t>
        </is>
      </c>
      <c r="B7602" s="1" t="n">
        <v>45799</v>
      </c>
      <c r="C7602" s="1" t="n">
        <v>45971</v>
      </c>
      <c r="D7602" t="inlineStr">
        <is>
          <t>VÄSTERBOTTENS LÄN</t>
        </is>
      </c>
      <c r="E7602" t="inlineStr">
        <is>
          <t>ÅSELE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51466-2024</t>
        </is>
      </c>
      <c r="B7603" s="1" t="n">
        <v>45604</v>
      </c>
      <c r="C7603" s="1" t="n">
        <v>45971</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51352-2024</t>
        </is>
      </c>
      <c r="B7604" s="1" t="n">
        <v>45604.36130787037</v>
      </c>
      <c r="C7604" s="1" t="n">
        <v>45971</v>
      </c>
      <c r="D7604" t="inlineStr">
        <is>
          <t>VÄSTERBOTTENS LÄN</t>
        </is>
      </c>
      <c r="E7604" t="inlineStr">
        <is>
          <t>NORSJÖ</t>
        </is>
      </c>
      <c r="F7604" t="inlineStr">
        <is>
          <t>Holmen skog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50365-2025</t>
        </is>
      </c>
      <c r="B7605" s="1" t="n">
        <v>45944.5691087963</v>
      </c>
      <c r="C7605" s="1" t="n">
        <v>45971</v>
      </c>
      <c r="D7605" t="inlineStr">
        <is>
          <t>VÄSTERBOTTENS LÄN</t>
        </is>
      </c>
      <c r="E7605" t="inlineStr">
        <is>
          <t>UMEÅ</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18792-2024</t>
        </is>
      </c>
      <c r="B7606" s="1" t="n">
        <v>45426</v>
      </c>
      <c r="C7606" s="1" t="n">
        <v>45971</v>
      </c>
      <c r="D7606" t="inlineStr">
        <is>
          <t>VÄSTERBOTTENS LÄN</t>
        </is>
      </c>
      <c r="E7606" t="inlineStr">
        <is>
          <t>ÅSELE</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33113-2024</t>
        </is>
      </c>
      <c r="B7607" s="1" t="n">
        <v>45517</v>
      </c>
      <c r="C7607" s="1" t="n">
        <v>45971</v>
      </c>
      <c r="D7607" t="inlineStr">
        <is>
          <t>VÄSTERBOTTENS LÄN</t>
        </is>
      </c>
      <c r="E7607" t="inlineStr">
        <is>
          <t>DOROTEA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50368-2025</t>
        </is>
      </c>
      <c r="B7608" s="1" t="n">
        <v>45944.57844907408</v>
      </c>
      <c r="C7608" s="1" t="n">
        <v>45971</v>
      </c>
      <c r="D7608" t="inlineStr">
        <is>
          <t>VÄSTERBOTTENS LÄN</t>
        </is>
      </c>
      <c r="E7608" t="inlineStr">
        <is>
          <t>ÅSELE</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50386-2025</t>
        </is>
      </c>
      <c r="B7609" s="1" t="n">
        <v>45944.61359953704</v>
      </c>
      <c r="C7609" s="1" t="n">
        <v>45971</v>
      </c>
      <c r="D7609" t="inlineStr">
        <is>
          <t>VÄSTERBOTTENS LÄN</t>
        </is>
      </c>
      <c r="E7609" t="inlineStr">
        <is>
          <t>NORDMALING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49971-2025</t>
        </is>
      </c>
      <c r="B7610" s="1" t="n">
        <v>45941.83613425926</v>
      </c>
      <c r="C7610" s="1" t="n">
        <v>45971</v>
      </c>
      <c r="D7610" t="inlineStr">
        <is>
          <t>VÄSTERBOTTENS LÄN</t>
        </is>
      </c>
      <c r="E7610" t="inlineStr">
        <is>
          <t>SKELLEFTEÅ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23679-2025</t>
        </is>
      </c>
      <c r="B7611" s="1" t="n">
        <v>45793.32454861111</v>
      </c>
      <c r="C7611" s="1" t="n">
        <v>45971</v>
      </c>
      <c r="D7611" t="inlineStr">
        <is>
          <t>VÄSTERBOTTENS LÄN</t>
        </is>
      </c>
      <c r="E7611" t="inlineStr">
        <is>
          <t>LYCKSELE</t>
        </is>
      </c>
      <c r="F7611" t="inlineStr">
        <is>
          <t>Sveaskog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10871-2025</t>
        </is>
      </c>
      <c r="B7612" s="1" t="n">
        <v>45722</v>
      </c>
      <c r="C7612" s="1" t="n">
        <v>45971</v>
      </c>
      <c r="D7612" t="inlineStr">
        <is>
          <t>VÄSTERBOTTENS LÄN</t>
        </is>
      </c>
      <c r="E7612" t="inlineStr">
        <is>
          <t>MALÅ</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12141-2025</t>
        </is>
      </c>
      <c r="B7613" s="1" t="n">
        <v>45729.40373842593</v>
      </c>
      <c r="C7613" s="1" t="n">
        <v>45971</v>
      </c>
      <c r="D7613" t="inlineStr">
        <is>
          <t>VÄSTERBOTTENS LÄN</t>
        </is>
      </c>
      <c r="E7613" t="inlineStr">
        <is>
          <t>UMEÅ</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46849-2023</t>
        </is>
      </c>
      <c r="B7614" s="1" t="n">
        <v>45199.87405092592</v>
      </c>
      <c r="C7614" s="1" t="n">
        <v>45971</v>
      </c>
      <c r="D7614" t="inlineStr">
        <is>
          <t>VÄSTERBOTTENS LÄN</t>
        </is>
      </c>
      <c r="E7614" t="inlineStr">
        <is>
          <t>UMEÅ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23750-2025</t>
        </is>
      </c>
      <c r="B7615" s="1" t="n">
        <v>45793.44913194444</v>
      </c>
      <c r="C7615" s="1" t="n">
        <v>45971</v>
      </c>
      <c r="D7615" t="inlineStr">
        <is>
          <t>VÄSTERBOTTENS LÄN</t>
        </is>
      </c>
      <c r="E7615" t="inlineStr">
        <is>
          <t>VINDELN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23753-2025</t>
        </is>
      </c>
      <c r="B7616" s="1" t="n">
        <v>45793</v>
      </c>
      <c r="C7616" s="1" t="n">
        <v>45971</v>
      </c>
      <c r="D7616" t="inlineStr">
        <is>
          <t>VÄSTERBOTTENS LÄN</t>
        </is>
      </c>
      <c r="E7616" t="inlineStr">
        <is>
          <t>VINDELN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58939-2024</t>
        </is>
      </c>
      <c r="B7617" s="1" t="n">
        <v>45636.53543981481</v>
      </c>
      <c r="C7617" s="1" t="n">
        <v>45971</v>
      </c>
      <c r="D7617" t="inlineStr">
        <is>
          <t>VÄSTERBOTTENS LÄN</t>
        </is>
      </c>
      <c r="E7617" t="inlineStr">
        <is>
          <t>SKELLEFTEÅ</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43095-2023</t>
        </is>
      </c>
      <c r="B7618" s="1" t="n">
        <v>45182</v>
      </c>
      <c r="C7618" s="1" t="n">
        <v>45971</v>
      </c>
      <c r="D7618" t="inlineStr">
        <is>
          <t>VÄSTERBOTTENS LÄN</t>
        </is>
      </c>
      <c r="E7618" t="inlineStr">
        <is>
          <t>ROBERTSFORS</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44924-2023</t>
        </is>
      </c>
      <c r="B7619" s="1" t="n">
        <v>45187</v>
      </c>
      <c r="C7619" s="1" t="n">
        <v>45971</v>
      </c>
      <c r="D7619" t="inlineStr">
        <is>
          <t>VÄSTERBOTTENS LÄN</t>
        </is>
      </c>
      <c r="E7619" t="inlineStr">
        <is>
          <t>NORDMALING</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23744-2025</t>
        </is>
      </c>
      <c r="B7620" s="1" t="n">
        <v>45793.44201388889</v>
      </c>
      <c r="C7620" s="1" t="n">
        <v>45971</v>
      </c>
      <c r="D7620" t="inlineStr">
        <is>
          <t>VÄSTERBOTTENS LÄN</t>
        </is>
      </c>
      <c r="E7620" t="inlineStr">
        <is>
          <t>VINDELN</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23764-2025</t>
        </is>
      </c>
      <c r="B7621" s="1" t="n">
        <v>45793</v>
      </c>
      <c r="C7621" s="1" t="n">
        <v>45971</v>
      </c>
      <c r="D7621" t="inlineStr">
        <is>
          <t>VÄSTERBOTTENS LÄN</t>
        </is>
      </c>
      <c r="E7621" t="inlineStr">
        <is>
          <t>VILHELMINA</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50060-2025</t>
        </is>
      </c>
      <c r="B7622" s="1" t="n">
        <v>45943.4414699074</v>
      </c>
      <c r="C7622" s="1" t="n">
        <v>45971</v>
      </c>
      <c r="D7622" t="inlineStr">
        <is>
          <t>VÄSTERBOTTENS LÄN</t>
        </is>
      </c>
      <c r="E7622" t="inlineStr">
        <is>
          <t>SKELLEFTEÅ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41507-2025</t>
        </is>
      </c>
      <c r="B7623" s="1" t="n">
        <v>45901.52850694444</v>
      </c>
      <c r="C7623" s="1" t="n">
        <v>45971</v>
      </c>
      <c r="D7623" t="inlineStr">
        <is>
          <t>VÄSTERBOTTENS LÄN</t>
        </is>
      </c>
      <c r="E7623" t="inlineStr">
        <is>
          <t>SKELLEFTEÅ</t>
        </is>
      </c>
      <c r="F7623" t="inlineStr">
        <is>
          <t>Holmen skog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5828-2022</t>
        </is>
      </c>
      <c r="B7624" s="1" t="n">
        <v>44596</v>
      </c>
      <c r="C7624" s="1" t="n">
        <v>45971</v>
      </c>
      <c r="D7624" t="inlineStr">
        <is>
          <t>VÄSTERBOTTENS LÄN</t>
        </is>
      </c>
      <c r="E7624" t="inlineStr">
        <is>
          <t>SKELLEFTEÅ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3631-2024</t>
        </is>
      </c>
      <c r="B7625" s="1" t="n">
        <v>45320.95365740741</v>
      </c>
      <c r="C7625" s="1" t="n">
        <v>45971</v>
      </c>
      <c r="D7625" t="inlineStr">
        <is>
          <t>VÄSTERBOTTENS LÄN</t>
        </is>
      </c>
      <c r="E7625" t="inlineStr">
        <is>
          <t>VINDELN</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43043-2024</t>
        </is>
      </c>
      <c r="B7626" s="1" t="n">
        <v>45567</v>
      </c>
      <c r="C7626" s="1" t="n">
        <v>45971</v>
      </c>
      <c r="D7626" t="inlineStr">
        <is>
          <t>VÄSTERBOTTENS LÄN</t>
        </is>
      </c>
      <c r="E7626" t="inlineStr">
        <is>
          <t>BJURHOLM</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23952-2025</t>
        </is>
      </c>
      <c r="B7627" s="1" t="n">
        <v>45794</v>
      </c>
      <c r="C7627" s="1" t="n">
        <v>45971</v>
      </c>
      <c r="D7627" t="inlineStr">
        <is>
          <t>VÄSTERBOTTENS LÄN</t>
        </is>
      </c>
      <c r="E7627" t="inlineStr">
        <is>
          <t>SORSELE</t>
        </is>
      </c>
      <c r="G7627" t="n">
        <v>20.7</v>
      </c>
      <c r="H7627" t="n">
        <v>0</v>
      </c>
      <c r="I7627" t="n">
        <v>0</v>
      </c>
      <c r="J7627" t="n">
        <v>0</v>
      </c>
      <c r="K7627" t="n">
        <v>0</v>
      </c>
      <c r="L7627" t="n">
        <v>0</v>
      </c>
      <c r="M7627" t="n">
        <v>0</v>
      </c>
      <c r="N7627" t="n">
        <v>0</v>
      </c>
      <c r="O7627" t="n">
        <v>0</v>
      </c>
      <c r="P7627" t="n">
        <v>0</v>
      </c>
      <c r="Q7627" t="n">
        <v>0</v>
      </c>
      <c r="R7627" s="2" t="inlineStr"/>
    </row>
    <row r="7628" ht="15" customHeight="1">
      <c r="A7628" t="inlineStr">
        <is>
          <t>A 41534-2025</t>
        </is>
      </c>
      <c r="B7628" s="1" t="n">
        <v>45901.56</v>
      </c>
      <c r="C7628" s="1" t="n">
        <v>45971</v>
      </c>
      <c r="D7628" t="inlineStr">
        <is>
          <t>VÄSTERBOTTENS LÄN</t>
        </is>
      </c>
      <c r="E7628" t="inlineStr">
        <is>
          <t>SKELLEFTEÅ</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50282-2025</t>
        </is>
      </c>
      <c r="B7629" s="1" t="n">
        <v>45944.3862037037</v>
      </c>
      <c r="C7629" s="1" t="n">
        <v>45971</v>
      </c>
      <c r="D7629" t="inlineStr">
        <is>
          <t>VÄSTERBOTTENS LÄN</t>
        </is>
      </c>
      <c r="E7629" t="inlineStr">
        <is>
          <t>VILHELMINA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36676-2023</t>
        </is>
      </c>
      <c r="B7630" s="1" t="n">
        <v>45152</v>
      </c>
      <c r="C7630" s="1" t="n">
        <v>45971</v>
      </c>
      <c r="D7630" t="inlineStr">
        <is>
          <t>VÄSTERBOTTENS LÄN</t>
        </is>
      </c>
      <c r="E7630" t="inlineStr">
        <is>
          <t>MALÅ</t>
        </is>
      </c>
      <c r="G7630" t="n">
        <v>16.6</v>
      </c>
      <c r="H7630" t="n">
        <v>0</v>
      </c>
      <c r="I7630" t="n">
        <v>0</v>
      </c>
      <c r="J7630" t="n">
        <v>0</v>
      </c>
      <c r="K7630" t="n">
        <v>0</v>
      </c>
      <c r="L7630" t="n">
        <v>0</v>
      </c>
      <c r="M7630" t="n">
        <v>0</v>
      </c>
      <c r="N7630" t="n">
        <v>0</v>
      </c>
      <c r="O7630" t="n">
        <v>0</v>
      </c>
      <c r="P7630" t="n">
        <v>0</v>
      </c>
      <c r="Q7630" t="n">
        <v>0</v>
      </c>
      <c r="R7630" s="2" t="inlineStr"/>
    </row>
    <row r="7631" ht="15" customHeight="1">
      <c r="A7631" t="inlineStr">
        <is>
          <t>A 41525-2025</t>
        </is>
      </c>
      <c r="B7631" s="1" t="n">
        <v>45901.55268518518</v>
      </c>
      <c r="C7631" s="1" t="n">
        <v>45971</v>
      </c>
      <c r="D7631" t="inlineStr">
        <is>
          <t>VÄSTERBOTTENS LÄN</t>
        </is>
      </c>
      <c r="E7631" t="inlineStr">
        <is>
          <t>ÅSELE</t>
        </is>
      </c>
      <c r="F7631" t="inlineStr">
        <is>
          <t>SCA</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41532-2025</t>
        </is>
      </c>
      <c r="B7632" s="1" t="n">
        <v>45901.55744212963</v>
      </c>
      <c r="C7632" s="1" t="n">
        <v>45971</v>
      </c>
      <c r="D7632" t="inlineStr">
        <is>
          <t>VÄSTERBOTTENS LÄN</t>
        </is>
      </c>
      <c r="E7632" t="inlineStr">
        <is>
          <t>SKELLEFTEÅ</t>
        </is>
      </c>
      <c r="F7632" t="inlineStr">
        <is>
          <t>Holmen skog AB</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48327-2023</t>
        </is>
      </c>
      <c r="B7633" s="1" t="n">
        <v>45201</v>
      </c>
      <c r="C7633" s="1" t="n">
        <v>45971</v>
      </c>
      <c r="D7633" t="inlineStr">
        <is>
          <t>VÄSTERBOTTENS LÄN</t>
        </is>
      </c>
      <c r="E7633" t="inlineStr">
        <is>
          <t>MALÅ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39047-2023</t>
        </is>
      </c>
      <c r="B7634" s="1" t="n">
        <v>45163.92709490741</v>
      </c>
      <c r="C7634" s="1" t="n">
        <v>45971</v>
      </c>
      <c r="D7634" t="inlineStr">
        <is>
          <t>VÄSTERBOTTENS LÄN</t>
        </is>
      </c>
      <c r="E7634" t="inlineStr">
        <is>
          <t>LYCKSELE</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40134-2024</t>
        </is>
      </c>
      <c r="B7635" s="1" t="n">
        <v>45554.47363425926</v>
      </c>
      <c r="C7635" s="1" t="n">
        <v>45971</v>
      </c>
      <c r="D7635" t="inlineStr">
        <is>
          <t>VÄSTERBOTTENS LÄN</t>
        </is>
      </c>
      <c r="E7635" t="inlineStr">
        <is>
          <t>VINDELN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23827-2025</t>
        </is>
      </c>
      <c r="B7636" s="1" t="n">
        <v>45793.59476851852</v>
      </c>
      <c r="C7636" s="1" t="n">
        <v>45971</v>
      </c>
      <c r="D7636" t="inlineStr">
        <is>
          <t>VÄSTERBOTTENS LÄN</t>
        </is>
      </c>
      <c r="E7636" t="inlineStr">
        <is>
          <t>LYCKSELE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33319-2024</t>
        </is>
      </c>
      <c r="B7637" s="1" t="n">
        <v>45518</v>
      </c>
      <c r="C7637" s="1" t="n">
        <v>45971</v>
      </c>
      <c r="D7637" t="inlineStr">
        <is>
          <t>VÄSTERBOTTENS LÄN</t>
        </is>
      </c>
      <c r="E7637" t="inlineStr">
        <is>
          <t>VILHELMINA</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23903-2025</t>
        </is>
      </c>
      <c r="B7638" s="1" t="n">
        <v>45794</v>
      </c>
      <c r="C7638" s="1" t="n">
        <v>45971</v>
      </c>
      <c r="D7638" t="inlineStr">
        <is>
          <t>VÄSTERBOTTENS LÄN</t>
        </is>
      </c>
      <c r="E7638" t="inlineStr">
        <is>
          <t>VINDELN</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50322-2025</t>
        </is>
      </c>
      <c r="B7639" s="1" t="n">
        <v>45944.45733796297</v>
      </c>
      <c r="C7639" s="1" t="n">
        <v>45971</v>
      </c>
      <c r="D7639" t="inlineStr">
        <is>
          <t>VÄSTERBOTTENS LÄN</t>
        </is>
      </c>
      <c r="E7639" t="inlineStr">
        <is>
          <t>ÅSELE</t>
        </is>
      </c>
      <c r="F7639" t="inlineStr">
        <is>
          <t>Sveaskog</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61678-2022</t>
        </is>
      </c>
      <c r="B7640" s="1" t="n">
        <v>44917</v>
      </c>
      <c r="C7640" s="1" t="n">
        <v>45971</v>
      </c>
      <c r="D7640" t="inlineStr">
        <is>
          <t>VÄSTERBOTTENS LÄN</t>
        </is>
      </c>
      <c r="E7640" t="inlineStr">
        <is>
          <t>SORSELE</t>
        </is>
      </c>
      <c r="F7640" t="inlineStr">
        <is>
          <t>Sveaskog</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41604-2025</t>
        </is>
      </c>
      <c r="B7641" s="1" t="n">
        <v>45901.66380787037</v>
      </c>
      <c r="C7641" s="1" t="n">
        <v>45971</v>
      </c>
      <c r="D7641" t="inlineStr">
        <is>
          <t>VÄSTERBOTTENS LÄN</t>
        </is>
      </c>
      <c r="E7641" t="inlineStr">
        <is>
          <t>LYCKSELE</t>
        </is>
      </c>
      <c r="G7641" t="n">
        <v>16.6</v>
      </c>
      <c r="H7641" t="n">
        <v>0</v>
      </c>
      <c r="I7641" t="n">
        <v>0</v>
      </c>
      <c r="J7641" t="n">
        <v>0</v>
      </c>
      <c r="K7641" t="n">
        <v>0</v>
      </c>
      <c r="L7641" t="n">
        <v>0</v>
      </c>
      <c r="M7641" t="n">
        <v>0</v>
      </c>
      <c r="N7641" t="n">
        <v>0</v>
      </c>
      <c r="O7641" t="n">
        <v>0</v>
      </c>
      <c r="P7641" t="n">
        <v>0</v>
      </c>
      <c r="Q7641" t="n">
        <v>0</v>
      </c>
      <c r="R7641" s="2" t="inlineStr"/>
    </row>
    <row r="7642" ht="15" customHeight="1">
      <c r="A7642" t="inlineStr">
        <is>
          <t>A 23979-2025</t>
        </is>
      </c>
      <c r="B7642" s="1" t="n">
        <v>45796.38870370371</v>
      </c>
      <c r="C7642" s="1" t="n">
        <v>45971</v>
      </c>
      <c r="D7642" t="inlineStr">
        <is>
          <t>VÄSTERBOTTENS LÄN</t>
        </is>
      </c>
      <c r="E7642" t="inlineStr">
        <is>
          <t>ROBERTSFORS</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39731-2023</t>
        </is>
      </c>
      <c r="B7643" s="1" t="n">
        <v>45167</v>
      </c>
      <c r="C7643" s="1" t="n">
        <v>45971</v>
      </c>
      <c r="D7643" t="inlineStr">
        <is>
          <t>VÄSTERBOTTENS LÄN</t>
        </is>
      </c>
      <c r="E7643" t="inlineStr">
        <is>
          <t>ÅSELE</t>
        </is>
      </c>
      <c r="F7643" t="inlineStr">
        <is>
          <t>Sveaskog</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50367-2025</t>
        </is>
      </c>
      <c r="B7644" s="1" t="n">
        <v>45944.57620370371</v>
      </c>
      <c r="C7644" s="1" t="n">
        <v>45971</v>
      </c>
      <c r="D7644" t="inlineStr">
        <is>
          <t>VÄSTERBOTTENS LÄN</t>
        </is>
      </c>
      <c r="E7644" t="inlineStr">
        <is>
          <t>LYCKSELE</t>
        </is>
      </c>
      <c r="F7644" t="inlineStr">
        <is>
          <t>Holmen skog AB</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50369-2025</t>
        </is>
      </c>
      <c r="B7645" s="1" t="n">
        <v>45944.58130787037</v>
      </c>
      <c r="C7645" s="1" t="n">
        <v>45971</v>
      </c>
      <c r="D7645" t="inlineStr">
        <is>
          <t>VÄSTERBOTTENS LÄN</t>
        </is>
      </c>
      <c r="E7645" t="inlineStr">
        <is>
          <t>SKELLEFTEÅ</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23737-2025</t>
        </is>
      </c>
      <c r="B7646" s="1" t="n">
        <v>45793.42809027778</v>
      </c>
      <c r="C7646" s="1" t="n">
        <v>45971</v>
      </c>
      <c r="D7646" t="inlineStr">
        <is>
          <t>VÄSTERBOTTENS LÄN</t>
        </is>
      </c>
      <c r="E7646" t="inlineStr">
        <is>
          <t>ÅSELE</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32312-2025</t>
        </is>
      </c>
      <c r="B7647" s="1" t="n">
        <v>45835.83712962963</v>
      </c>
      <c r="C7647" s="1" t="n">
        <v>45971</v>
      </c>
      <c r="D7647" t="inlineStr">
        <is>
          <t>VÄSTERBOTTENS LÄN</t>
        </is>
      </c>
      <c r="E7647" t="inlineStr">
        <is>
          <t>NORDMALING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18081-2022</t>
        </is>
      </c>
      <c r="B7648" s="1" t="n">
        <v>44684</v>
      </c>
      <c r="C7648" s="1" t="n">
        <v>45971</v>
      </c>
      <c r="D7648" t="inlineStr">
        <is>
          <t>VÄSTERBOTTENS LÄN</t>
        </is>
      </c>
      <c r="E7648" t="inlineStr">
        <is>
          <t>SKELLEFTEÅ</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32510-2024</t>
        </is>
      </c>
      <c r="B7649" s="1" t="n">
        <v>45513.45313657408</v>
      </c>
      <c r="C7649" s="1" t="n">
        <v>45971</v>
      </c>
      <c r="D7649" t="inlineStr">
        <is>
          <t>VÄSTERBOTTENS LÄN</t>
        </is>
      </c>
      <c r="E7649" t="inlineStr">
        <is>
          <t>VINDELN</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31240-2022</t>
        </is>
      </c>
      <c r="B7650" s="1" t="n">
        <v>44771</v>
      </c>
      <c r="C7650" s="1" t="n">
        <v>45971</v>
      </c>
      <c r="D7650" t="inlineStr">
        <is>
          <t>VÄSTERBOTTENS LÄN</t>
        </is>
      </c>
      <c r="E7650" t="inlineStr">
        <is>
          <t>VINDELN</t>
        </is>
      </c>
      <c r="F7650" t="inlineStr">
        <is>
          <t>Holmen skog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41364-2025</t>
        </is>
      </c>
      <c r="B7651" s="1" t="n">
        <v>45900.49313657408</v>
      </c>
      <c r="C7651" s="1" t="n">
        <v>45971</v>
      </c>
      <c r="D7651" t="inlineStr">
        <is>
          <t>VÄSTERBOTTENS LÄN</t>
        </is>
      </c>
      <c r="E7651" t="inlineStr">
        <is>
          <t>NORDMALING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24346-2024</t>
        </is>
      </c>
      <c r="B7652" s="1" t="n">
        <v>45457</v>
      </c>
      <c r="C7652" s="1" t="n">
        <v>45971</v>
      </c>
      <c r="D7652" t="inlineStr">
        <is>
          <t>VÄSTERBOTTENS LÄN</t>
        </is>
      </c>
      <c r="E7652" t="inlineStr">
        <is>
          <t>LYCKSELE</t>
        </is>
      </c>
      <c r="F7652" t="inlineStr">
        <is>
          <t>Holmen skog AB</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12800-2024</t>
        </is>
      </c>
      <c r="B7653" s="1" t="n">
        <v>45384</v>
      </c>
      <c r="C7653" s="1" t="n">
        <v>45971</v>
      </c>
      <c r="D7653" t="inlineStr">
        <is>
          <t>VÄSTERBOTTENS LÄN</t>
        </is>
      </c>
      <c r="E7653" t="inlineStr">
        <is>
          <t>NORSJÖ</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37057-2023</t>
        </is>
      </c>
      <c r="B7654" s="1" t="n">
        <v>45155</v>
      </c>
      <c r="C7654" s="1" t="n">
        <v>45971</v>
      </c>
      <c r="D7654" t="inlineStr">
        <is>
          <t>VÄSTERBOTTENS LÄN</t>
        </is>
      </c>
      <c r="E7654" t="inlineStr">
        <is>
          <t>NORSJÖ</t>
        </is>
      </c>
      <c r="F7654" t="inlineStr">
        <is>
          <t>Kommuner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57109-2024</t>
        </is>
      </c>
      <c r="B7655" s="1" t="n">
        <v>45629.36469907407</v>
      </c>
      <c r="C7655" s="1" t="n">
        <v>45971</v>
      </c>
      <c r="D7655" t="inlineStr">
        <is>
          <t>VÄSTERBOTTENS LÄN</t>
        </is>
      </c>
      <c r="E7655" t="inlineStr">
        <is>
          <t>LYCKSELE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24066-2025</t>
        </is>
      </c>
      <c r="B7656" s="1" t="n">
        <v>45796.53686342593</v>
      </c>
      <c r="C7656" s="1" t="n">
        <v>45971</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24070-2025</t>
        </is>
      </c>
      <c r="B7657" s="1" t="n">
        <v>45796.54060185186</v>
      </c>
      <c r="C7657" s="1" t="n">
        <v>45971</v>
      </c>
      <c r="D7657" t="inlineStr">
        <is>
          <t>VÄSTERBOTTENS LÄN</t>
        </is>
      </c>
      <c r="E7657" t="inlineStr">
        <is>
          <t>SKELLEFTEÅ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23971-2025</t>
        </is>
      </c>
      <c r="B7658" s="1" t="n">
        <v>45796.38513888889</v>
      </c>
      <c r="C7658" s="1" t="n">
        <v>45971</v>
      </c>
      <c r="D7658" t="inlineStr">
        <is>
          <t>VÄSTERBOTTENS LÄN</t>
        </is>
      </c>
      <c r="E7658" t="inlineStr">
        <is>
          <t>NORSJÖ</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16175-2025</t>
        </is>
      </c>
      <c r="B7659" s="1" t="n">
        <v>45750.5587962963</v>
      </c>
      <c r="C7659" s="1" t="n">
        <v>45971</v>
      </c>
      <c r="D7659" t="inlineStr">
        <is>
          <t>VÄSTERBOTTENS LÄN</t>
        </is>
      </c>
      <c r="E7659" t="inlineStr">
        <is>
          <t>ÅSELE</t>
        </is>
      </c>
      <c r="G7659" t="n">
        <v>15.4</v>
      </c>
      <c r="H7659" t="n">
        <v>0</v>
      </c>
      <c r="I7659" t="n">
        <v>0</v>
      </c>
      <c r="J7659" t="n">
        <v>0</v>
      </c>
      <c r="K7659" t="n">
        <v>0</v>
      </c>
      <c r="L7659" t="n">
        <v>0</v>
      </c>
      <c r="M7659" t="n">
        <v>0</v>
      </c>
      <c r="N7659" t="n">
        <v>0</v>
      </c>
      <c r="O7659" t="n">
        <v>0</v>
      </c>
      <c r="P7659" t="n">
        <v>0</v>
      </c>
      <c r="Q7659" t="n">
        <v>0</v>
      </c>
      <c r="R7659" s="2" t="inlineStr"/>
    </row>
    <row r="7660" ht="15" customHeight="1">
      <c r="A7660" t="inlineStr">
        <is>
          <t>A 50323-2025</t>
        </is>
      </c>
      <c r="B7660" s="1" t="n">
        <v>45944.45759259259</v>
      </c>
      <c r="C7660" s="1" t="n">
        <v>45971</v>
      </c>
      <c r="D7660" t="inlineStr">
        <is>
          <t>VÄSTERBOTTENS LÄN</t>
        </is>
      </c>
      <c r="E7660" t="inlineStr">
        <is>
          <t>ÅSELE</t>
        </is>
      </c>
      <c r="F7660" t="inlineStr">
        <is>
          <t>Sveaskog</t>
        </is>
      </c>
      <c r="G7660" t="n">
        <v>9.199999999999999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50288-2025</t>
        </is>
      </c>
      <c r="B7661" s="1" t="n">
        <v>45944.39729166667</v>
      </c>
      <c r="C7661" s="1" t="n">
        <v>45971</v>
      </c>
      <c r="D7661" t="inlineStr">
        <is>
          <t>VÄSTERBOTTENS LÄN</t>
        </is>
      </c>
      <c r="E7661" t="inlineStr">
        <is>
          <t>ÅSELE</t>
        </is>
      </c>
      <c r="F7661" t="inlineStr">
        <is>
          <t>Sveaskog</t>
        </is>
      </c>
      <c r="G7661" t="n">
        <v>25.2</v>
      </c>
      <c r="H7661" t="n">
        <v>0</v>
      </c>
      <c r="I7661" t="n">
        <v>0</v>
      </c>
      <c r="J7661" t="n">
        <v>0</v>
      </c>
      <c r="K7661" t="n">
        <v>0</v>
      </c>
      <c r="L7661" t="n">
        <v>0</v>
      </c>
      <c r="M7661" t="n">
        <v>0</v>
      </c>
      <c r="N7661" t="n">
        <v>0</v>
      </c>
      <c r="O7661" t="n">
        <v>0</v>
      </c>
      <c r="P7661" t="n">
        <v>0</v>
      </c>
      <c r="Q7661" t="n">
        <v>0</v>
      </c>
      <c r="R7661" s="2" t="inlineStr"/>
    </row>
    <row r="7662" ht="15" customHeight="1">
      <c r="A7662" t="inlineStr">
        <is>
          <t>A 60503-2024</t>
        </is>
      </c>
      <c r="B7662" s="1" t="n">
        <v>45643</v>
      </c>
      <c r="C7662" s="1" t="n">
        <v>45971</v>
      </c>
      <c r="D7662" t="inlineStr">
        <is>
          <t>VÄSTERBOTTENS LÄN</t>
        </is>
      </c>
      <c r="E7662" t="inlineStr">
        <is>
          <t>MALÅ</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23749-2025</t>
        </is>
      </c>
      <c r="B7663" s="1" t="n">
        <v>45793.44805555556</v>
      </c>
      <c r="C7663" s="1" t="n">
        <v>45971</v>
      </c>
      <c r="D7663" t="inlineStr">
        <is>
          <t>VÄSTERBOTTENS LÄN</t>
        </is>
      </c>
      <c r="E7663" t="inlineStr">
        <is>
          <t>VINDELN</t>
        </is>
      </c>
      <c r="G7663" t="n">
        <v>2</v>
      </c>
      <c r="H7663" t="n">
        <v>0</v>
      </c>
      <c r="I7663" t="n">
        <v>0</v>
      </c>
      <c r="J7663" t="n">
        <v>0</v>
      </c>
      <c r="K7663" t="n">
        <v>0</v>
      </c>
      <c r="L7663" t="n">
        <v>0</v>
      </c>
      <c r="M7663" t="n">
        <v>0</v>
      </c>
      <c r="N7663" t="n">
        <v>0</v>
      </c>
      <c r="O7663" t="n">
        <v>0</v>
      </c>
      <c r="P7663" t="n">
        <v>0</v>
      </c>
      <c r="Q7663" t="n">
        <v>0</v>
      </c>
      <c r="R7663" s="2" t="inlineStr"/>
      <c r="U7663">
        <f>HYPERLINK("https://klasma.github.io/Logging_2404/knärot/A 23749-2025 karta knärot.png", "A 23749-2025")</f>
        <v/>
      </c>
      <c r="V7663">
        <f>HYPERLINK("https://klasma.github.io/Logging_2404/klagomål/A 23749-2025 FSC-klagomål.docx", "A 23749-2025")</f>
        <v/>
      </c>
      <c r="W7663">
        <f>HYPERLINK("https://klasma.github.io/Logging_2404/klagomålsmail/A 23749-2025 FSC-klagomål mail.docx", "A 23749-2025")</f>
        <v/>
      </c>
      <c r="X7663">
        <f>HYPERLINK("https://klasma.github.io/Logging_2404/tillsyn/A 23749-2025 tillsynsbegäran.docx", "A 23749-2025")</f>
        <v/>
      </c>
      <c r="Y7663">
        <f>HYPERLINK("https://klasma.github.io/Logging_2404/tillsynsmail/A 23749-2025 tillsynsbegäran mail.docx", "A 23749-2025")</f>
        <v/>
      </c>
    </row>
    <row r="7664" ht="15" customHeight="1">
      <c r="A7664" t="inlineStr">
        <is>
          <t>A 50299-2025</t>
        </is>
      </c>
      <c r="B7664" s="1" t="n">
        <v>45944.41221064814</v>
      </c>
      <c r="C7664" s="1" t="n">
        <v>45971</v>
      </c>
      <c r="D7664" t="inlineStr">
        <is>
          <t>VÄSTERBOTTENS LÄN</t>
        </is>
      </c>
      <c r="E7664" t="inlineStr">
        <is>
          <t>SKELLEFTEÅ</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41465-2025</t>
        </is>
      </c>
      <c r="B7665" s="1" t="n">
        <v>45899</v>
      </c>
      <c r="C7665" s="1" t="n">
        <v>45971</v>
      </c>
      <c r="D7665" t="inlineStr">
        <is>
          <t>VÄSTERBOTTENS LÄN</t>
        </is>
      </c>
      <c r="E7665" t="inlineStr">
        <is>
          <t>SORSELE</t>
        </is>
      </c>
      <c r="G7665" t="n">
        <v>9.199999999999999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41475-2025</t>
        </is>
      </c>
      <c r="B7666" s="1" t="n">
        <v>45901.46976851852</v>
      </c>
      <c r="C7666" s="1" t="n">
        <v>45971</v>
      </c>
      <c r="D7666" t="inlineStr">
        <is>
          <t>VÄSTERBOTTENS LÄN</t>
        </is>
      </c>
      <c r="E7666" t="inlineStr">
        <is>
          <t>MALÅ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40943-2025</t>
        </is>
      </c>
      <c r="B7667" s="1" t="n">
        <v>45897</v>
      </c>
      <c r="C7667" s="1" t="n">
        <v>45971</v>
      </c>
      <c r="D7667" t="inlineStr">
        <is>
          <t>VÄSTERBOTTENS LÄN</t>
        </is>
      </c>
      <c r="E7667" t="inlineStr">
        <is>
          <t>MALÅ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23995-2025</t>
        </is>
      </c>
      <c r="B7668" s="1" t="n">
        <v>45796.41136574074</v>
      </c>
      <c r="C7668" s="1" t="n">
        <v>45971</v>
      </c>
      <c r="D7668" t="inlineStr">
        <is>
          <t>VÄSTERBOTTENS LÄN</t>
        </is>
      </c>
      <c r="E7668" t="inlineStr">
        <is>
          <t>VINDELN</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35990-2023</t>
        </is>
      </c>
      <c r="B7669" s="1" t="n">
        <v>45148.96259259259</v>
      </c>
      <c r="C7669" s="1" t="n">
        <v>45971</v>
      </c>
      <c r="D7669" t="inlineStr">
        <is>
          <t>VÄSTERBOTTENS LÄN</t>
        </is>
      </c>
      <c r="E7669" t="inlineStr">
        <is>
          <t>DOROTEA</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25344-2024</t>
        </is>
      </c>
      <c r="B7670" s="1" t="n">
        <v>45462.92693287037</v>
      </c>
      <c r="C7670" s="1" t="n">
        <v>45971</v>
      </c>
      <c r="D7670" t="inlineStr">
        <is>
          <t>VÄSTERBOTTENS LÄN</t>
        </is>
      </c>
      <c r="E7670" t="inlineStr">
        <is>
          <t>NORDMALING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25349-2024</t>
        </is>
      </c>
      <c r="B7671" s="1" t="n">
        <v>45462</v>
      </c>
      <c r="C7671" s="1" t="n">
        <v>45971</v>
      </c>
      <c r="D7671" t="inlineStr">
        <is>
          <t>VÄSTERBOTTENS LÄN</t>
        </is>
      </c>
      <c r="E7671" t="inlineStr">
        <is>
          <t>NORDMALING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23798-2025</t>
        </is>
      </c>
      <c r="B7672" s="1" t="n">
        <v>45793.55248842593</v>
      </c>
      <c r="C7672" s="1" t="n">
        <v>45971</v>
      </c>
      <c r="D7672" t="inlineStr">
        <is>
          <t>VÄSTERBOTTENS LÄN</t>
        </is>
      </c>
      <c r="E7672" t="inlineStr">
        <is>
          <t>LYCKSELE</t>
        </is>
      </c>
      <c r="F7672" t="inlineStr">
        <is>
          <t>SCA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41820-2025</t>
        </is>
      </c>
      <c r="B7673" s="1" t="n">
        <v>45902.66180555556</v>
      </c>
      <c r="C7673" s="1" t="n">
        <v>45971</v>
      </c>
      <c r="D7673" t="inlineStr">
        <is>
          <t>VÄSTERBOTTENS LÄN</t>
        </is>
      </c>
      <c r="E7673" t="inlineStr">
        <is>
          <t>NORDMALING</t>
        </is>
      </c>
      <c r="F7673" t="inlineStr">
        <is>
          <t>Holmen skog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10063-2025</t>
        </is>
      </c>
      <c r="B7674" s="1" t="n">
        <v>45719</v>
      </c>
      <c r="C7674" s="1" t="n">
        <v>45971</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49731-2024</t>
        </is>
      </c>
      <c r="B7675" s="1" t="n">
        <v>45596</v>
      </c>
      <c r="C7675" s="1" t="n">
        <v>45971</v>
      </c>
      <c r="D7675" t="inlineStr">
        <is>
          <t>VÄSTERBOTTENS LÄN</t>
        </is>
      </c>
      <c r="E7675" t="inlineStr">
        <is>
          <t>SKELLEFTEÅ</t>
        </is>
      </c>
      <c r="F7675" t="inlineStr">
        <is>
          <t>Sveaskog</t>
        </is>
      </c>
      <c r="G7675" t="n">
        <v>15.4</v>
      </c>
      <c r="H7675" t="n">
        <v>0</v>
      </c>
      <c r="I7675" t="n">
        <v>0</v>
      </c>
      <c r="J7675" t="n">
        <v>0</v>
      </c>
      <c r="K7675" t="n">
        <v>0</v>
      </c>
      <c r="L7675" t="n">
        <v>0</v>
      </c>
      <c r="M7675" t="n">
        <v>0</v>
      </c>
      <c r="N7675" t="n">
        <v>0</v>
      </c>
      <c r="O7675" t="n">
        <v>0</v>
      </c>
      <c r="P7675" t="n">
        <v>0</v>
      </c>
      <c r="Q7675" t="n">
        <v>0</v>
      </c>
      <c r="R7675" s="2" t="inlineStr"/>
    </row>
    <row r="7676" ht="15" customHeight="1">
      <c r="A7676" t="inlineStr">
        <is>
          <t>A 58278-2024</t>
        </is>
      </c>
      <c r="B7676" s="1" t="n">
        <v>45632.57494212963</v>
      </c>
      <c r="C7676" s="1" t="n">
        <v>45971</v>
      </c>
      <c r="D7676" t="inlineStr">
        <is>
          <t>VÄSTERBOTTENS LÄN</t>
        </is>
      </c>
      <c r="E7676" t="inlineStr">
        <is>
          <t>UMEÅ</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8940-2025</t>
        </is>
      </c>
      <c r="B7677" s="1" t="n">
        <v>45713.44855324074</v>
      </c>
      <c r="C7677" s="1" t="n">
        <v>45971</v>
      </c>
      <c r="D7677" t="inlineStr">
        <is>
          <t>VÄSTERBOTTENS LÄN</t>
        </is>
      </c>
      <c r="E7677" t="inlineStr">
        <is>
          <t>VÄNNÄS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50239-2025</t>
        </is>
      </c>
      <c r="B7678" s="1" t="n">
        <v>45943.79672453704</v>
      </c>
      <c r="C7678" s="1" t="n">
        <v>45971</v>
      </c>
      <c r="D7678" t="inlineStr">
        <is>
          <t>VÄSTERBOTTENS LÄN</t>
        </is>
      </c>
      <c r="E7678" t="inlineStr">
        <is>
          <t>ÅSELE</t>
        </is>
      </c>
      <c r="F7678" t="inlineStr">
        <is>
          <t>Holmen skog AB</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73833-2021</t>
        </is>
      </c>
      <c r="B7679" s="1" t="n">
        <v>44552.92071759259</v>
      </c>
      <c r="C7679" s="1" t="n">
        <v>45971</v>
      </c>
      <c r="D7679" t="inlineStr">
        <is>
          <t>VÄSTERBOTTENS LÄN</t>
        </is>
      </c>
      <c r="E7679" t="inlineStr">
        <is>
          <t>SKELLEFTEÅ</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53380-2024</t>
        </is>
      </c>
      <c r="B7680" s="1" t="n">
        <v>45614</v>
      </c>
      <c r="C7680" s="1" t="n">
        <v>45971</v>
      </c>
      <c r="D7680" t="inlineStr">
        <is>
          <t>VÄSTERBOTTENS LÄN</t>
        </is>
      </c>
      <c r="E7680" t="inlineStr">
        <is>
          <t>DOROTEA</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23929-2025</t>
        </is>
      </c>
      <c r="B7681" s="1" t="n">
        <v>45795.49415509259</v>
      </c>
      <c r="C7681" s="1" t="n">
        <v>45971</v>
      </c>
      <c r="D7681" t="inlineStr">
        <is>
          <t>VÄSTERBOTTENS LÄN</t>
        </is>
      </c>
      <c r="E7681" t="inlineStr">
        <is>
          <t>SORSELE</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50021-2025</t>
        </is>
      </c>
      <c r="B7682" s="1" t="n">
        <v>45943.37326388889</v>
      </c>
      <c r="C7682" s="1" t="n">
        <v>45971</v>
      </c>
      <c r="D7682" t="inlineStr">
        <is>
          <t>VÄSTERBOTTENS LÄN</t>
        </is>
      </c>
      <c r="E7682" t="inlineStr">
        <is>
          <t>LYCKSELE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361-2024</t>
        </is>
      </c>
      <c r="B7683" s="1" t="n">
        <v>45295</v>
      </c>
      <c r="C7683" s="1" t="n">
        <v>45971</v>
      </c>
      <c r="D7683" t="inlineStr">
        <is>
          <t>VÄSTERBOTTENS LÄN</t>
        </is>
      </c>
      <c r="E7683" t="inlineStr">
        <is>
          <t>DOROTEA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24171-2025</t>
        </is>
      </c>
      <c r="B7684" s="1" t="n">
        <v>45796.68282407407</v>
      </c>
      <c r="C7684" s="1" t="n">
        <v>45971</v>
      </c>
      <c r="D7684" t="inlineStr">
        <is>
          <t>VÄSTERBOTTENS LÄN</t>
        </is>
      </c>
      <c r="E7684" t="inlineStr">
        <is>
          <t>NORSJÖ</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45788-2024</t>
        </is>
      </c>
      <c r="B7685" s="1" t="n">
        <v>45579</v>
      </c>
      <c r="C7685" s="1" t="n">
        <v>45971</v>
      </c>
      <c r="D7685" t="inlineStr">
        <is>
          <t>VÄSTERBOTTENS LÄN</t>
        </is>
      </c>
      <c r="E7685" t="inlineStr">
        <is>
          <t>SKELLEFTEÅ</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743-2025</t>
        </is>
      </c>
      <c r="B7686" s="1" t="n">
        <v>45665.4312037037</v>
      </c>
      <c r="C7686" s="1" t="n">
        <v>45971</v>
      </c>
      <c r="D7686" t="inlineStr">
        <is>
          <t>VÄSTERBOTTENS LÄN</t>
        </is>
      </c>
      <c r="E7686" t="inlineStr">
        <is>
          <t>ÅSELE</t>
        </is>
      </c>
      <c r="F7686" t="inlineStr">
        <is>
          <t>Naturvårdsverket</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15386-2024</t>
        </is>
      </c>
      <c r="B7687" s="1" t="n">
        <v>45400</v>
      </c>
      <c r="C7687" s="1" t="n">
        <v>45971</v>
      </c>
      <c r="D7687" t="inlineStr">
        <is>
          <t>VÄSTERBOTTENS LÄN</t>
        </is>
      </c>
      <c r="E7687" t="inlineStr">
        <is>
          <t>STORUMAN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752-2025</t>
        </is>
      </c>
      <c r="B7688" s="1" t="n">
        <v>45665</v>
      </c>
      <c r="C7688" s="1" t="n">
        <v>45971</v>
      </c>
      <c r="D7688" t="inlineStr">
        <is>
          <t>VÄSTERBOTTENS LÄN</t>
        </is>
      </c>
      <c r="E7688" t="inlineStr">
        <is>
          <t>VINDELN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23686-2025</t>
        </is>
      </c>
      <c r="B7689" s="1" t="n">
        <v>45793</v>
      </c>
      <c r="C7689" s="1" t="n">
        <v>45971</v>
      </c>
      <c r="D7689" t="inlineStr">
        <is>
          <t>VÄSTERBOTTENS LÄN</t>
        </is>
      </c>
      <c r="E7689" t="inlineStr">
        <is>
          <t>VILHELMINA</t>
        </is>
      </c>
      <c r="F7689" t="inlineStr">
        <is>
          <t>SCA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23315-2024</t>
        </is>
      </c>
      <c r="B7690" s="1" t="n">
        <v>45453</v>
      </c>
      <c r="C7690" s="1" t="n">
        <v>45971</v>
      </c>
      <c r="D7690" t="inlineStr">
        <is>
          <t>VÄSTERBOTTENS LÄN</t>
        </is>
      </c>
      <c r="E7690" t="inlineStr">
        <is>
          <t>LYCKSELE</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40442-2023</t>
        </is>
      </c>
      <c r="B7691" s="1" t="n">
        <v>45170.27015046297</v>
      </c>
      <c r="C7691" s="1" t="n">
        <v>45971</v>
      </c>
      <c r="D7691" t="inlineStr">
        <is>
          <t>VÄSTERBOTTENS LÄN</t>
        </is>
      </c>
      <c r="E7691" t="inlineStr">
        <is>
          <t>SKELLEFTEÅ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53350-2024</t>
        </is>
      </c>
      <c r="B7692" s="1" t="n">
        <v>45614.44863425926</v>
      </c>
      <c r="C7692" s="1" t="n">
        <v>45971</v>
      </c>
      <c r="D7692" t="inlineStr">
        <is>
          <t>VÄSTERBOTTENS LÄN</t>
        </is>
      </c>
      <c r="E7692" t="inlineStr">
        <is>
          <t>VINDELN</t>
        </is>
      </c>
      <c r="F7692" t="inlineStr">
        <is>
          <t>SCA</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53357-2024</t>
        </is>
      </c>
      <c r="B7693" s="1" t="n">
        <v>45614</v>
      </c>
      <c r="C7693" s="1" t="n">
        <v>45971</v>
      </c>
      <c r="D7693" t="inlineStr">
        <is>
          <t>VÄSTERBOTTENS LÄN</t>
        </is>
      </c>
      <c r="E7693" t="inlineStr">
        <is>
          <t>DOROTEA</t>
        </is>
      </c>
      <c r="G7693" t="n">
        <v>26.5</v>
      </c>
      <c r="H7693" t="n">
        <v>0</v>
      </c>
      <c r="I7693" t="n">
        <v>0</v>
      </c>
      <c r="J7693" t="n">
        <v>0</v>
      </c>
      <c r="K7693" t="n">
        <v>0</v>
      </c>
      <c r="L7693" t="n">
        <v>0</v>
      </c>
      <c r="M7693" t="n">
        <v>0</v>
      </c>
      <c r="N7693" t="n">
        <v>0</v>
      </c>
      <c r="O7693" t="n">
        <v>0</v>
      </c>
      <c r="P7693" t="n">
        <v>0</v>
      </c>
      <c r="Q7693" t="n">
        <v>0</v>
      </c>
      <c r="R7693" s="2" t="inlineStr"/>
    </row>
    <row r="7694" ht="15" customHeight="1">
      <c r="A7694" t="inlineStr">
        <is>
          <t>A 24045-2025</t>
        </is>
      </c>
      <c r="B7694" s="1" t="n">
        <v>45796.49280092592</v>
      </c>
      <c r="C7694" s="1" t="n">
        <v>45971</v>
      </c>
      <c r="D7694" t="inlineStr">
        <is>
          <t>VÄSTERBOTTENS LÄN</t>
        </is>
      </c>
      <c r="E7694" t="inlineStr">
        <is>
          <t>NORDMALING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24061-2025</t>
        </is>
      </c>
      <c r="B7695" s="1" t="n">
        <v>45796.52805555556</v>
      </c>
      <c r="C7695" s="1" t="n">
        <v>45971</v>
      </c>
      <c r="D7695" t="inlineStr">
        <is>
          <t>VÄSTERBOTTENS LÄN</t>
        </is>
      </c>
      <c r="E7695" t="inlineStr">
        <is>
          <t>SKELLEFTEÅ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12118-2024</t>
        </is>
      </c>
      <c r="B7696" s="1" t="n">
        <v>45376</v>
      </c>
      <c r="C7696" s="1" t="n">
        <v>45971</v>
      </c>
      <c r="D7696" t="inlineStr">
        <is>
          <t>VÄSTERBOTTENS LÄN</t>
        </is>
      </c>
      <c r="E7696" t="inlineStr">
        <is>
          <t>VILHELMINA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14823-2024</t>
        </is>
      </c>
      <c r="B7697" s="1" t="n">
        <v>45397</v>
      </c>
      <c r="C7697" s="1" t="n">
        <v>45971</v>
      </c>
      <c r="D7697" t="inlineStr">
        <is>
          <t>VÄSTERBOTTENS LÄN</t>
        </is>
      </c>
      <c r="E7697" t="inlineStr">
        <is>
          <t>STORUMAN</t>
        </is>
      </c>
      <c r="G7697" t="n">
        <v>18.2</v>
      </c>
      <c r="H7697" t="n">
        <v>0</v>
      </c>
      <c r="I7697" t="n">
        <v>0</v>
      </c>
      <c r="J7697" t="n">
        <v>0</v>
      </c>
      <c r="K7697" t="n">
        <v>0</v>
      </c>
      <c r="L7697" t="n">
        <v>0</v>
      </c>
      <c r="M7697" t="n">
        <v>0</v>
      </c>
      <c r="N7697" t="n">
        <v>0</v>
      </c>
      <c r="O7697" t="n">
        <v>0</v>
      </c>
      <c r="P7697" t="n">
        <v>0</v>
      </c>
      <c r="Q7697" t="n">
        <v>0</v>
      </c>
      <c r="R7697" s="2" t="inlineStr"/>
    </row>
    <row r="7698" ht="15" customHeight="1">
      <c r="A7698" t="inlineStr">
        <is>
          <t>A 37937-2023</t>
        </is>
      </c>
      <c r="B7698" s="1" t="n">
        <v>45159</v>
      </c>
      <c r="C7698" s="1" t="n">
        <v>45971</v>
      </c>
      <c r="D7698" t="inlineStr">
        <is>
          <t>VÄSTERBOTTENS LÄN</t>
        </is>
      </c>
      <c r="E7698" t="inlineStr">
        <is>
          <t>VILHELMINA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25182-2025</t>
        </is>
      </c>
      <c r="B7699" s="1" t="n">
        <v>45800.44905092593</v>
      </c>
      <c r="C7699" s="1" t="n">
        <v>45971</v>
      </c>
      <c r="D7699" t="inlineStr">
        <is>
          <t>VÄSTERBOTTENS LÄN</t>
        </is>
      </c>
      <c r="E7699" t="inlineStr">
        <is>
          <t>SKELLEFTEÅ</t>
        </is>
      </c>
      <c r="G7699" t="n">
        <v>19.3</v>
      </c>
      <c r="H7699" t="n">
        <v>0</v>
      </c>
      <c r="I7699" t="n">
        <v>0</v>
      </c>
      <c r="J7699" t="n">
        <v>0</v>
      </c>
      <c r="K7699" t="n">
        <v>0</v>
      </c>
      <c r="L7699" t="n">
        <v>0</v>
      </c>
      <c r="M7699" t="n">
        <v>0</v>
      </c>
      <c r="N7699" t="n">
        <v>0</v>
      </c>
      <c r="O7699" t="n">
        <v>0</v>
      </c>
      <c r="P7699" t="n">
        <v>0</v>
      </c>
      <c r="Q7699" t="n">
        <v>0</v>
      </c>
      <c r="R7699" s="2" t="inlineStr"/>
    </row>
    <row r="7700" ht="15" customHeight="1">
      <c r="A7700" t="inlineStr">
        <is>
          <t>A 21041-2024</t>
        </is>
      </c>
      <c r="B7700" s="1" t="n">
        <v>45439.666875</v>
      </c>
      <c r="C7700" s="1" t="n">
        <v>45971</v>
      </c>
      <c r="D7700" t="inlineStr">
        <is>
          <t>VÄSTERBOTTENS LÄN</t>
        </is>
      </c>
      <c r="E7700" t="inlineStr">
        <is>
          <t>VÄNNÄS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21077-2024</t>
        </is>
      </c>
      <c r="B7701" s="1" t="n">
        <v>45439.92695601852</v>
      </c>
      <c r="C7701" s="1" t="n">
        <v>45971</v>
      </c>
      <c r="D7701" t="inlineStr">
        <is>
          <t>VÄSTERBOTTENS LÄN</t>
        </is>
      </c>
      <c r="E7701" t="inlineStr">
        <is>
          <t>SKELLEFTEÅ</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21084-2024</t>
        </is>
      </c>
      <c r="B7702" s="1" t="n">
        <v>45439</v>
      </c>
      <c r="C7702" s="1" t="n">
        <v>45971</v>
      </c>
      <c r="D7702" t="inlineStr">
        <is>
          <t>VÄSTERBOTTENS LÄN</t>
        </is>
      </c>
      <c r="E7702" t="inlineStr">
        <is>
          <t>UMEÅ</t>
        </is>
      </c>
      <c r="F7702" t="inlineStr">
        <is>
          <t>Kommuner</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40347-2024</t>
        </is>
      </c>
      <c r="B7703" s="1" t="n">
        <v>45555.35193287037</v>
      </c>
      <c r="C7703" s="1" t="n">
        <v>45971</v>
      </c>
      <c r="D7703" t="inlineStr">
        <is>
          <t>VÄSTERBOTTENS LÄN</t>
        </is>
      </c>
      <c r="E7703" t="inlineStr">
        <is>
          <t>SKELLEFTEÅ</t>
        </is>
      </c>
      <c r="F7703" t="inlineStr">
        <is>
          <t>Kommuner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31848-2024</t>
        </is>
      </c>
      <c r="B7704" s="1" t="n">
        <v>45509.67273148148</v>
      </c>
      <c r="C7704" s="1" t="n">
        <v>45971</v>
      </c>
      <c r="D7704" t="inlineStr">
        <is>
          <t>VÄSTERBOTTENS LÄN</t>
        </is>
      </c>
      <c r="E7704" t="inlineStr">
        <is>
          <t>LYCKSELE</t>
        </is>
      </c>
      <c r="F7704" t="inlineStr">
        <is>
          <t>Holmen skog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38583-2022</t>
        </is>
      </c>
      <c r="B7705" s="1" t="n">
        <v>44813.48686342593</v>
      </c>
      <c r="C7705" s="1" t="n">
        <v>45971</v>
      </c>
      <c r="D7705" t="inlineStr">
        <is>
          <t>VÄSTERBOTTENS LÄN</t>
        </is>
      </c>
      <c r="E7705" t="inlineStr">
        <is>
          <t>VINDELN</t>
        </is>
      </c>
      <c r="F7705" t="inlineStr">
        <is>
          <t>Holmen skog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17460-2024</t>
        </is>
      </c>
      <c r="B7706" s="1" t="n">
        <v>45415</v>
      </c>
      <c r="C7706" s="1" t="n">
        <v>45971</v>
      </c>
      <c r="D7706" t="inlineStr">
        <is>
          <t>VÄSTERBOTTENS LÄN</t>
        </is>
      </c>
      <c r="E7706" t="inlineStr">
        <is>
          <t>LYCKSELE</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43496-2024</t>
        </is>
      </c>
      <c r="B7707" s="1" t="n">
        <v>45568.93936342592</v>
      </c>
      <c r="C7707" s="1" t="n">
        <v>45971</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32734-2024</t>
        </is>
      </c>
      <c r="B7708" s="1" t="n">
        <v>45516.43074074074</v>
      </c>
      <c r="C7708" s="1" t="n">
        <v>45971</v>
      </c>
      <c r="D7708" t="inlineStr">
        <is>
          <t>VÄSTERBOTTENS LÄN</t>
        </is>
      </c>
      <c r="E7708" t="inlineStr">
        <is>
          <t>VINDELN</t>
        </is>
      </c>
      <c r="F7708" t="inlineStr">
        <is>
          <t>Holmen skog AB</t>
        </is>
      </c>
      <c r="G7708" t="n">
        <v>17.1</v>
      </c>
      <c r="H7708" t="n">
        <v>0</v>
      </c>
      <c r="I7708" t="n">
        <v>0</v>
      </c>
      <c r="J7708" t="n">
        <v>0</v>
      </c>
      <c r="K7708" t="n">
        <v>0</v>
      </c>
      <c r="L7708" t="n">
        <v>0</v>
      </c>
      <c r="M7708" t="n">
        <v>0</v>
      </c>
      <c r="N7708" t="n">
        <v>0</v>
      </c>
      <c r="O7708" t="n">
        <v>0</v>
      </c>
      <c r="P7708" t="n">
        <v>0</v>
      </c>
      <c r="Q7708" t="n">
        <v>0</v>
      </c>
      <c r="R7708" s="2" t="inlineStr"/>
    </row>
    <row r="7709" ht="15" customHeight="1">
      <c r="A7709" t="inlineStr">
        <is>
          <t>A 23776-2025</t>
        </is>
      </c>
      <c r="B7709" s="1" t="n">
        <v>45793.50012731482</v>
      </c>
      <c r="C7709" s="1" t="n">
        <v>45971</v>
      </c>
      <c r="D7709" t="inlineStr">
        <is>
          <t>VÄSTERBOTTENS LÄN</t>
        </is>
      </c>
      <c r="E7709" t="inlineStr">
        <is>
          <t>VÄNNÄS</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30050-2024</t>
        </is>
      </c>
      <c r="B7710" s="1" t="n">
        <v>45488</v>
      </c>
      <c r="C7710" s="1" t="n">
        <v>45971</v>
      </c>
      <c r="D7710" t="inlineStr">
        <is>
          <t>VÄSTERBOTTENS LÄN</t>
        </is>
      </c>
      <c r="E7710" t="inlineStr">
        <is>
          <t>UMEÅ</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63525-2023</t>
        </is>
      </c>
      <c r="B7711" s="1" t="n">
        <v>45274</v>
      </c>
      <c r="C7711" s="1" t="n">
        <v>45971</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24152-2025</t>
        </is>
      </c>
      <c r="B7712" s="1" t="n">
        <v>45796.65622685185</v>
      </c>
      <c r="C7712" s="1" t="n">
        <v>45971</v>
      </c>
      <c r="D7712" t="inlineStr">
        <is>
          <t>VÄSTERBOTTENS LÄN</t>
        </is>
      </c>
      <c r="E7712" t="inlineStr">
        <is>
          <t>SORSELE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41099-2024</t>
        </is>
      </c>
      <c r="B7713" s="1" t="n">
        <v>45559.43377314815</v>
      </c>
      <c r="C7713" s="1" t="n">
        <v>45971</v>
      </c>
      <c r="D7713" t="inlineStr">
        <is>
          <t>VÄSTERBOTTENS LÄN</t>
        </is>
      </c>
      <c r="E7713" t="inlineStr">
        <is>
          <t>VINDELN</t>
        </is>
      </c>
      <c r="F7713" t="inlineStr">
        <is>
          <t>Sveaskog</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59689-2024</t>
        </is>
      </c>
      <c r="B7714" s="1" t="n">
        <v>45639.40660879629</v>
      </c>
      <c r="C7714" s="1" t="n">
        <v>45971</v>
      </c>
      <c r="D7714" t="inlineStr">
        <is>
          <t>VÄSTERBOTTENS LÄN</t>
        </is>
      </c>
      <c r="E7714" t="inlineStr">
        <is>
          <t>SKELLEFTEÅ</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41118-2024</t>
        </is>
      </c>
      <c r="B7715" s="1" t="n">
        <v>45559.45327546296</v>
      </c>
      <c r="C7715" s="1" t="n">
        <v>45971</v>
      </c>
      <c r="D7715" t="inlineStr">
        <is>
          <t>VÄSTERBOTTENS LÄN</t>
        </is>
      </c>
      <c r="E7715" t="inlineStr">
        <is>
          <t>SKELLEFTEÅ</t>
        </is>
      </c>
      <c r="F7715" t="inlineStr">
        <is>
          <t>Holmen skog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36215-2023</t>
        </is>
      </c>
      <c r="B7716" s="1" t="n">
        <v>45149.95266203704</v>
      </c>
      <c r="C7716" s="1" t="n">
        <v>45971</v>
      </c>
      <c r="D7716" t="inlineStr">
        <is>
          <t>VÄSTERBOTTENS LÄN</t>
        </is>
      </c>
      <c r="E7716" t="inlineStr">
        <is>
          <t>VILHELMINA</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50326-2025</t>
        </is>
      </c>
      <c r="B7717" s="1" t="n">
        <v>45944.46233796296</v>
      </c>
      <c r="C7717" s="1" t="n">
        <v>45971</v>
      </c>
      <c r="D7717" t="inlineStr">
        <is>
          <t>VÄSTERBOTTENS LÄN</t>
        </is>
      </c>
      <c r="E7717" t="inlineStr">
        <is>
          <t>SKELLEFTEÅ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56332-2023</t>
        </is>
      </c>
      <c r="B7718" s="1" t="n">
        <v>45243.34</v>
      </c>
      <c r="C7718" s="1" t="n">
        <v>45971</v>
      </c>
      <c r="D7718" t="inlineStr">
        <is>
          <t>VÄSTERBOTTENS LÄN</t>
        </is>
      </c>
      <c r="E7718" t="inlineStr">
        <is>
          <t>UMEÅ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41537-2023</t>
        </is>
      </c>
      <c r="B7719" s="1" t="n">
        <v>45172</v>
      </c>
      <c r="C7719" s="1" t="n">
        <v>45971</v>
      </c>
      <c r="D7719" t="inlineStr">
        <is>
          <t>VÄSTERBOTTENS LÄN</t>
        </is>
      </c>
      <c r="E7719" t="inlineStr">
        <is>
          <t>NORSJÖ</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42171-2023</t>
        </is>
      </c>
      <c r="B7720" s="1" t="n">
        <v>45178.40459490741</v>
      </c>
      <c r="C7720" s="1" t="n">
        <v>45971</v>
      </c>
      <c r="D7720" t="inlineStr">
        <is>
          <t>VÄSTERBOTTENS LÄN</t>
        </is>
      </c>
      <c r="E7720" t="inlineStr">
        <is>
          <t>STORUMAN</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49557-2024</t>
        </is>
      </c>
      <c r="B7721" s="1" t="n">
        <v>45596.46950231482</v>
      </c>
      <c r="C7721" s="1" t="n">
        <v>45971</v>
      </c>
      <c r="D7721" t="inlineStr">
        <is>
          <t>VÄSTERBOTTENS LÄN</t>
        </is>
      </c>
      <c r="E7721" t="inlineStr">
        <is>
          <t>VINDELN</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56784-2024</t>
        </is>
      </c>
      <c r="B7722" s="1" t="n">
        <v>45628</v>
      </c>
      <c r="C7722" s="1" t="n">
        <v>45971</v>
      </c>
      <c r="D7722" t="inlineStr">
        <is>
          <t>VÄSTERBOTTENS LÄN</t>
        </is>
      </c>
      <c r="E7722" t="inlineStr">
        <is>
          <t>VINDELN</t>
        </is>
      </c>
      <c r="F7722" t="inlineStr">
        <is>
          <t>Holmen skog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31669-2025</t>
        </is>
      </c>
      <c r="B7723" s="1" t="n">
        <v>45834.36547453704</v>
      </c>
      <c r="C7723" s="1" t="n">
        <v>45971</v>
      </c>
      <c r="D7723" t="inlineStr">
        <is>
          <t>VÄSTERBOTTENS LÄN</t>
        </is>
      </c>
      <c r="E7723" t="inlineStr">
        <is>
          <t>SKELLEFTEÅ</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50071-2025</t>
        </is>
      </c>
      <c r="B7724" s="1" t="n">
        <v>45943.45949074074</v>
      </c>
      <c r="C7724" s="1" t="n">
        <v>45971</v>
      </c>
      <c r="D7724" t="inlineStr">
        <is>
          <t>VÄSTERBOTTENS LÄN</t>
        </is>
      </c>
      <c r="E7724" t="inlineStr">
        <is>
          <t>STORUMAN</t>
        </is>
      </c>
      <c r="F7724" t="inlineStr">
        <is>
          <t>Sveaskog</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50083-2025</t>
        </is>
      </c>
      <c r="B7725" s="1" t="n">
        <v>45943.47158564815</v>
      </c>
      <c r="C7725" s="1" t="n">
        <v>45971</v>
      </c>
      <c r="D7725" t="inlineStr">
        <is>
          <t>VÄSTERBOTTENS LÄN</t>
        </is>
      </c>
      <c r="E7725" t="inlineStr">
        <is>
          <t>STORUMAN</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50087-2025</t>
        </is>
      </c>
      <c r="B7726" s="1" t="n">
        <v>45943.47863425926</v>
      </c>
      <c r="C7726" s="1" t="n">
        <v>45971</v>
      </c>
      <c r="D7726" t="inlineStr">
        <is>
          <t>VÄSTERBOTTENS LÄN</t>
        </is>
      </c>
      <c r="E7726" t="inlineStr">
        <is>
          <t>STORUMAN</t>
        </is>
      </c>
      <c r="F7726" t="inlineStr">
        <is>
          <t>Sveaskog</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24676-2025</t>
        </is>
      </c>
      <c r="B7727" s="1" t="n">
        <v>45798.65332175926</v>
      </c>
      <c r="C7727" s="1" t="n">
        <v>45971</v>
      </c>
      <c r="D7727" t="inlineStr">
        <is>
          <t>VÄSTERBOTTENS LÄN</t>
        </is>
      </c>
      <c r="E7727" t="inlineStr">
        <is>
          <t>NORSJÖ</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24679-2025</t>
        </is>
      </c>
      <c r="B7728" s="1" t="n">
        <v>45798</v>
      </c>
      <c r="C7728" s="1" t="n">
        <v>45971</v>
      </c>
      <c r="D7728" t="inlineStr">
        <is>
          <t>VÄSTERBOTTENS LÄN</t>
        </is>
      </c>
      <c r="E7728" t="inlineStr">
        <is>
          <t>LYCKSELE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32226-2024</t>
        </is>
      </c>
      <c r="B7729" s="1" t="n">
        <v>45511.92831018518</v>
      </c>
      <c r="C7729" s="1" t="n">
        <v>45971</v>
      </c>
      <c r="D7729" t="inlineStr">
        <is>
          <t>VÄSTERBOTTENS LÄN</t>
        </is>
      </c>
      <c r="E7729" t="inlineStr">
        <is>
          <t>NORSJÖ</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48970-2024</t>
        </is>
      </c>
      <c r="B7730" s="1" t="n">
        <v>45594.4621412037</v>
      </c>
      <c r="C7730" s="1" t="n">
        <v>45971</v>
      </c>
      <c r="D7730" t="inlineStr">
        <is>
          <t>VÄSTERBOTTENS LÄN</t>
        </is>
      </c>
      <c r="E7730" t="inlineStr">
        <is>
          <t>SORSELE</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40274-2023</t>
        </is>
      </c>
      <c r="B7731" s="1" t="n">
        <v>45169.55936342593</v>
      </c>
      <c r="C7731" s="1" t="n">
        <v>45971</v>
      </c>
      <c r="D7731" t="inlineStr">
        <is>
          <t>VÄSTERBOTTENS LÄN</t>
        </is>
      </c>
      <c r="E7731" t="inlineStr">
        <is>
          <t>SKELLEFTEÅ</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29722-2024</t>
        </is>
      </c>
      <c r="B7732" s="1" t="n">
        <v>45485</v>
      </c>
      <c r="C7732" s="1" t="n">
        <v>45971</v>
      </c>
      <c r="D7732" t="inlineStr">
        <is>
          <t>VÄSTERBOTTENS LÄN</t>
        </is>
      </c>
      <c r="E7732" t="inlineStr">
        <is>
          <t>VILHELMINA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31355-2025</t>
        </is>
      </c>
      <c r="B7733" s="1" t="n">
        <v>45833.43050925926</v>
      </c>
      <c r="C7733" s="1" t="n">
        <v>45971</v>
      </c>
      <c r="D7733" t="inlineStr">
        <is>
          <t>VÄSTERBOTTENS LÄN</t>
        </is>
      </c>
      <c r="E7733" t="inlineStr">
        <is>
          <t>SKELLEFTEÅ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24511-2025</t>
        </is>
      </c>
      <c r="B7734" s="1" t="n">
        <v>45798.40518518518</v>
      </c>
      <c r="C7734" s="1" t="n">
        <v>45971</v>
      </c>
      <c r="D7734" t="inlineStr">
        <is>
          <t>VÄSTERBOTTENS LÄN</t>
        </is>
      </c>
      <c r="E7734" t="inlineStr">
        <is>
          <t>LYCKSELE</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59716-2024</t>
        </is>
      </c>
      <c r="B7735" s="1" t="n">
        <v>45639.45857638889</v>
      </c>
      <c r="C7735" s="1" t="n">
        <v>45971</v>
      </c>
      <c r="D7735" t="inlineStr">
        <is>
          <t>VÄSTERBOTTENS LÄN</t>
        </is>
      </c>
      <c r="E7735" t="inlineStr">
        <is>
          <t>VÄNNÄS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36327-2023</t>
        </is>
      </c>
      <c r="B7736" s="1" t="n">
        <v>45152</v>
      </c>
      <c r="C7736" s="1" t="n">
        <v>45971</v>
      </c>
      <c r="D7736" t="inlineStr">
        <is>
          <t>VÄSTERBOTTENS LÄN</t>
        </is>
      </c>
      <c r="E7736" t="inlineStr">
        <is>
          <t>SKELLEFTEÅ</t>
        </is>
      </c>
      <c r="F7736" t="inlineStr">
        <is>
          <t>Holmen skog AB</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26708-2024</t>
        </is>
      </c>
      <c r="B7737" s="1" t="n">
        <v>45470</v>
      </c>
      <c r="C7737" s="1" t="n">
        <v>45971</v>
      </c>
      <c r="D7737" t="inlineStr">
        <is>
          <t>VÄSTERBOTTENS LÄN</t>
        </is>
      </c>
      <c r="E7737" t="inlineStr">
        <is>
          <t>SKELLEFTEÅ</t>
        </is>
      </c>
      <c r="F7737" t="inlineStr">
        <is>
          <t>Sveaskog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26717-2024</t>
        </is>
      </c>
      <c r="B7738" s="1" t="n">
        <v>45470.40854166666</v>
      </c>
      <c r="C7738" s="1" t="n">
        <v>45971</v>
      </c>
      <c r="D7738" t="inlineStr">
        <is>
          <t>VÄSTERBOTTENS LÄN</t>
        </is>
      </c>
      <c r="E7738" t="inlineStr">
        <is>
          <t>LYCKSELE</t>
        </is>
      </c>
      <c r="F7738" t="inlineStr">
        <is>
          <t>Sveaskog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27249-2024</t>
        </is>
      </c>
      <c r="B7739" s="1" t="n">
        <v>45471</v>
      </c>
      <c r="C7739" s="1" t="n">
        <v>45971</v>
      </c>
      <c r="D7739" t="inlineStr">
        <is>
          <t>VÄSTERBOTTENS LÄN</t>
        </is>
      </c>
      <c r="E7739" t="inlineStr">
        <is>
          <t>VINDELN</t>
        </is>
      </c>
      <c r="F7739" t="inlineStr">
        <is>
          <t>Holmen skog AB</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50319-2025</t>
        </is>
      </c>
      <c r="B7740" s="1" t="n">
        <v>45944.45122685185</v>
      </c>
      <c r="C7740" s="1" t="n">
        <v>45971</v>
      </c>
      <c r="D7740" t="inlineStr">
        <is>
          <t>VÄSTERBOTTENS LÄN</t>
        </is>
      </c>
      <c r="E7740" t="inlineStr">
        <is>
          <t>ÅSELE</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50250-2025</t>
        </is>
      </c>
      <c r="B7741" s="1" t="n">
        <v>45944.31614583333</v>
      </c>
      <c r="C7741" s="1" t="n">
        <v>45971</v>
      </c>
      <c r="D7741" t="inlineStr">
        <is>
          <t>VÄSTERBOTTENS LÄN</t>
        </is>
      </c>
      <c r="E7741" t="inlineStr">
        <is>
          <t>UMEÅ</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11254-2025</t>
        </is>
      </c>
      <c r="B7742" s="1" t="n">
        <v>45726.38625</v>
      </c>
      <c r="C7742" s="1" t="n">
        <v>45971</v>
      </c>
      <c r="D7742" t="inlineStr">
        <is>
          <t>VÄSTERBOTTENS LÄN</t>
        </is>
      </c>
      <c r="E7742" t="inlineStr">
        <is>
          <t>SKELLEFTEÅ</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50261-2025</t>
        </is>
      </c>
      <c r="B7743" s="1" t="n">
        <v>45944.3453125</v>
      </c>
      <c r="C7743" s="1" t="n">
        <v>45971</v>
      </c>
      <c r="D7743" t="inlineStr">
        <is>
          <t>VÄSTERBOTTENS LÄN</t>
        </is>
      </c>
      <c r="E7743" t="inlineStr">
        <is>
          <t>ÅSELE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50284-2025</t>
        </is>
      </c>
      <c r="B7744" s="1" t="n">
        <v>45944.39328703703</v>
      </c>
      <c r="C7744" s="1" t="n">
        <v>45971</v>
      </c>
      <c r="D7744" t="inlineStr">
        <is>
          <t>VÄSTERBOTTENS LÄN</t>
        </is>
      </c>
      <c r="E7744" t="inlineStr">
        <is>
          <t>UMEÅ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44622-2023</t>
        </is>
      </c>
      <c r="B7745" s="1" t="n">
        <v>45184</v>
      </c>
      <c r="C7745" s="1" t="n">
        <v>45971</v>
      </c>
      <c r="D7745" t="inlineStr">
        <is>
          <t>VÄSTERBOTTENS LÄN</t>
        </is>
      </c>
      <c r="E7745" t="inlineStr">
        <is>
          <t>NORSJÖ</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44629-2023</t>
        </is>
      </c>
      <c r="B7746" s="1" t="n">
        <v>45189</v>
      </c>
      <c r="C7746" s="1" t="n">
        <v>45971</v>
      </c>
      <c r="D7746" t="inlineStr">
        <is>
          <t>VÄSTERBOTTENS LÄN</t>
        </is>
      </c>
      <c r="E7746" t="inlineStr">
        <is>
          <t>BJURHOLM</t>
        </is>
      </c>
      <c r="G7746" t="n">
        <v>15.6</v>
      </c>
      <c r="H7746" t="n">
        <v>0</v>
      </c>
      <c r="I7746" t="n">
        <v>0</v>
      </c>
      <c r="J7746" t="n">
        <v>0</v>
      </c>
      <c r="K7746" t="n">
        <v>0</v>
      </c>
      <c r="L7746" t="n">
        <v>0</v>
      </c>
      <c r="M7746" t="n">
        <v>0</v>
      </c>
      <c r="N7746" t="n">
        <v>0</v>
      </c>
      <c r="O7746" t="n">
        <v>0</v>
      </c>
      <c r="P7746" t="n">
        <v>0</v>
      </c>
      <c r="Q7746" t="n">
        <v>0</v>
      </c>
      <c r="R7746" s="2" t="inlineStr"/>
    </row>
    <row r="7747" ht="15" customHeight="1">
      <c r="A7747" t="inlineStr">
        <is>
          <t>A 59518-2024</t>
        </is>
      </c>
      <c r="B7747" s="1" t="n">
        <v>45638.5696875</v>
      </c>
      <c r="C7747" s="1" t="n">
        <v>45971</v>
      </c>
      <c r="D7747" t="inlineStr">
        <is>
          <t>VÄSTERBOTTENS LÄN</t>
        </is>
      </c>
      <c r="E7747" t="inlineStr">
        <is>
          <t>NORDMALING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52045-2024</t>
        </is>
      </c>
      <c r="B7748" s="1" t="n">
        <v>45604</v>
      </c>
      <c r="C7748" s="1" t="n">
        <v>45971</v>
      </c>
      <c r="D7748" t="inlineStr">
        <is>
          <t>VÄSTERBOTTENS LÄN</t>
        </is>
      </c>
      <c r="E7748" t="inlineStr">
        <is>
          <t>NORSJÖ</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21996-2023</t>
        </is>
      </c>
      <c r="B7749" s="1" t="n">
        <v>45068.92681712963</v>
      </c>
      <c r="C7749" s="1" t="n">
        <v>45971</v>
      </c>
      <c r="D7749" t="inlineStr">
        <is>
          <t>VÄSTERBOTTENS LÄN</t>
        </is>
      </c>
      <c r="E7749" t="inlineStr">
        <is>
          <t>NORSJÖ</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22000-2023</t>
        </is>
      </c>
      <c r="B7750" s="1" t="n">
        <v>45068.92700231481</v>
      </c>
      <c r="C7750" s="1" t="n">
        <v>45971</v>
      </c>
      <c r="D7750" t="inlineStr">
        <is>
          <t>VÄSTERBOTTENS LÄN</t>
        </is>
      </c>
      <c r="E7750" t="inlineStr">
        <is>
          <t>UMEÅ</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50305-2025</t>
        </is>
      </c>
      <c r="B7751" s="1" t="n">
        <v>45944.42415509259</v>
      </c>
      <c r="C7751" s="1" t="n">
        <v>45971</v>
      </c>
      <c r="D7751" t="inlineStr">
        <is>
          <t>VÄSTERBOTTENS LÄN</t>
        </is>
      </c>
      <c r="E7751" t="inlineStr">
        <is>
          <t>VILHELMINA</t>
        </is>
      </c>
      <c r="F7751" t="inlineStr">
        <is>
          <t>Sveaskog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16261-2025</t>
        </is>
      </c>
      <c r="B7752" s="1" t="n">
        <v>45750.74388888889</v>
      </c>
      <c r="C7752" s="1" t="n">
        <v>45971</v>
      </c>
      <c r="D7752" t="inlineStr">
        <is>
          <t>VÄSTERBOTTENS LÄN</t>
        </is>
      </c>
      <c r="E7752" t="inlineStr">
        <is>
          <t>SKELLEFTEÅ</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24680-2025</t>
        </is>
      </c>
      <c r="B7753" s="1" t="n">
        <v>45798</v>
      </c>
      <c r="C7753" s="1" t="n">
        <v>45971</v>
      </c>
      <c r="D7753" t="inlineStr">
        <is>
          <t>VÄSTERBOTTENS LÄN</t>
        </is>
      </c>
      <c r="E7753" t="inlineStr">
        <is>
          <t>LYCKSELE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50033-2025</t>
        </is>
      </c>
      <c r="B7754" s="1" t="n">
        <v>45943.38998842592</v>
      </c>
      <c r="C7754" s="1" t="n">
        <v>45971</v>
      </c>
      <c r="D7754" t="inlineStr">
        <is>
          <t>VÄSTERBOTTENS LÄN</t>
        </is>
      </c>
      <c r="E7754" t="inlineStr">
        <is>
          <t>VÄNNÄS</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50037-2025</t>
        </is>
      </c>
      <c r="B7755" s="1" t="n">
        <v>45943.39921296296</v>
      </c>
      <c r="C7755" s="1" t="n">
        <v>45971</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24603-2025</t>
        </is>
      </c>
      <c r="B7756" s="1" t="n">
        <v>45798.57329861111</v>
      </c>
      <c r="C7756" s="1" t="n">
        <v>45971</v>
      </c>
      <c r="D7756" t="inlineStr">
        <is>
          <t>VÄSTERBOTTENS LÄN</t>
        </is>
      </c>
      <c r="E7756" t="inlineStr">
        <is>
          <t>LYCKSELE</t>
        </is>
      </c>
      <c r="F7756" t="inlineStr">
        <is>
          <t>SCA</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50061-2025</t>
        </is>
      </c>
      <c r="B7757" s="1" t="n">
        <v>45943.44413194444</v>
      </c>
      <c r="C7757" s="1" t="n">
        <v>45971</v>
      </c>
      <c r="D7757" t="inlineStr">
        <is>
          <t>VÄSTERBOTTENS LÄN</t>
        </is>
      </c>
      <c r="E7757" t="inlineStr">
        <is>
          <t>SKELLEFTEÅ</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2148-2024</t>
        </is>
      </c>
      <c r="B7758" s="1" t="n">
        <v>45309</v>
      </c>
      <c r="C7758" s="1" t="n">
        <v>45971</v>
      </c>
      <c r="D7758" t="inlineStr">
        <is>
          <t>VÄSTERBOTTENS LÄN</t>
        </is>
      </c>
      <c r="E7758" t="inlineStr">
        <is>
          <t>UMEÅ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24633-2025</t>
        </is>
      </c>
      <c r="B7759" s="1" t="n">
        <v>45798.60709490741</v>
      </c>
      <c r="C7759" s="1" t="n">
        <v>45971</v>
      </c>
      <c r="D7759" t="inlineStr">
        <is>
          <t>VÄSTERBOTTENS LÄN</t>
        </is>
      </c>
      <c r="E7759" t="inlineStr">
        <is>
          <t>VINDELN</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47514-2024</t>
        </is>
      </c>
      <c r="B7760" s="1" t="n">
        <v>45587</v>
      </c>
      <c r="C7760" s="1" t="n">
        <v>45971</v>
      </c>
      <c r="D7760" t="inlineStr">
        <is>
          <t>VÄSTERBOTTENS LÄN</t>
        </is>
      </c>
      <c r="E7760" t="inlineStr">
        <is>
          <t>SKELLEFTEÅ</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40967-2024</t>
        </is>
      </c>
      <c r="B7761" s="1" t="n">
        <v>45558.67306712963</v>
      </c>
      <c r="C7761" s="1" t="n">
        <v>45971</v>
      </c>
      <c r="D7761" t="inlineStr">
        <is>
          <t>VÄSTERBOTTENS LÄN</t>
        </is>
      </c>
      <c r="E7761" t="inlineStr">
        <is>
          <t>SKELLEFTEÅ</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39789-2024</t>
        </is>
      </c>
      <c r="B7762" s="1" t="n">
        <v>45553</v>
      </c>
      <c r="C7762" s="1" t="n">
        <v>45971</v>
      </c>
      <c r="D7762" t="inlineStr">
        <is>
          <t>VÄSTERBOTTENS LÄN</t>
        </is>
      </c>
      <c r="E7762" t="inlineStr">
        <is>
          <t>ROBERTSFORS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40982-2024</t>
        </is>
      </c>
      <c r="B7763" s="1" t="n">
        <v>45558.69835648148</v>
      </c>
      <c r="C7763" s="1" t="n">
        <v>45971</v>
      </c>
      <c r="D7763" t="inlineStr">
        <is>
          <t>VÄSTERBOTTENS LÄN</t>
        </is>
      </c>
      <c r="E7763" t="inlineStr">
        <is>
          <t>SORSELE</t>
        </is>
      </c>
      <c r="F7763" t="inlineStr">
        <is>
          <t>SCA</t>
        </is>
      </c>
      <c r="G7763" t="n">
        <v>15.7</v>
      </c>
      <c r="H7763" t="n">
        <v>0</v>
      </c>
      <c r="I7763" t="n">
        <v>0</v>
      </c>
      <c r="J7763" t="n">
        <v>0</v>
      </c>
      <c r="K7763" t="n">
        <v>0</v>
      </c>
      <c r="L7763" t="n">
        <v>0</v>
      </c>
      <c r="M7763" t="n">
        <v>0</v>
      </c>
      <c r="N7763" t="n">
        <v>0</v>
      </c>
      <c r="O7763" t="n">
        <v>0</v>
      </c>
      <c r="P7763" t="n">
        <v>0</v>
      </c>
      <c r="Q7763" t="n">
        <v>0</v>
      </c>
      <c r="R7763" s="2" t="inlineStr"/>
    </row>
    <row r="7764" ht="15" customHeight="1">
      <c r="A7764" t="inlineStr">
        <is>
          <t>A 50412-2025</t>
        </is>
      </c>
      <c r="B7764" s="1" t="n">
        <v>45944.64483796297</v>
      </c>
      <c r="C7764" s="1" t="n">
        <v>45971</v>
      </c>
      <c r="D7764" t="inlineStr">
        <is>
          <t>VÄSTERBOTTENS LÄN</t>
        </is>
      </c>
      <c r="E7764" t="inlineStr">
        <is>
          <t>VINDELN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6994-2025</t>
        </is>
      </c>
      <c r="B7765" s="1" t="n">
        <v>45701</v>
      </c>
      <c r="C7765" s="1" t="n">
        <v>45971</v>
      </c>
      <c r="D7765" t="inlineStr">
        <is>
          <t>VÄSTERBOTTENS LÄN</t>
        </is>
      </c>
      <c r="E7765" t="inlineStr">
        <is>
          <t>ROBERTSFORS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28308-2025</t>
        </is>
      </c>
      <c r="B7766" s="1" t="n">
        <v>45818.61790509259</v>
      </c>
      <c r="C7766" s="1" t="n">
        <v>45971</v>
      </c>
      <c r="D7766" t="inlineStr">
        <is>
          <t>VÄSTERBOTTENS LÄN</t>
        </is>
      </c>
      <c r="E7766" t="inlineStr">
        <is>
          <t>NORDMALING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24509-2025</t>
        </is>
      </c>
      <c r="B7767" s="1" t="n">
        <v>45798.40288194444</v>
      </c>
      <c r="C7767" s="1" t="n">
        <v>45971</v>
      </c>
      <c r="D7767" t="inlineStr">
        <is>
          <t>VÄSTERBOTTENS LÄN</t>
        </is>
      </c>
      <c r="E7767" t="inlineStr">
        <is>
          <t>LYCKSELE</t>
        </is>
      </c>
      <c r="F7767" t="inlineStr">
        <is>
          <t>Sveaskog</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49968-2025</t>
        </is>
      </c>
      <c r="B7768" s="1" t="n">
        <v>45941.80741898148</v>
      </c>
      <c r="C7768" s="1" t="n">
        <v>45971</v>
      </c>
      <c r="D7768" t="inlineStr">
        <is>
          <t>VÄSTERBOTTENS LÄN</t>
        </is>
      </c>
      <c r="E7768" t="inlineStr">
        <is>
          <t>LYCKSELE</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49970-2025</t>
        </is>
      </c>
      <c r="B7769" s="1" t="n">
        <v>45941.82208333333</v>
      </c>
      <c r="C7769" s="1" t="n">
        <v>45971</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49977-2025</t>
        </is>
      </c>
      <c r="B7770" s="1" t="n">
        <v>45942.61509259259</v>
      </c>
      <c r="C7770" s="1" t="n">
        <v>45971</v>
      </c>
      <c r="D7770" t="inlineStr">
        <is>
          <t>VÄSTERBOTTENS LÄN</t>
        </is>
      </c>
      <c r="E7770" t="inlineStr">
        <is>
          <t>LYCKSELE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6402-2025</t>
        </is>
      </c>
      <c r="B7771" s="1" t="n">
        <v>45699.44813657407</v>
      </c>
      <c r="C7771" s="1" t="n">
        <v>45971</v>
      </c>
      <c r="D7771" t="inlineStr">
        <is>
          <t>VÄSTERBOTTENS LÄN</t>
        </is>
      </c>
      <c r="E7771" t="inlineStr">
        <is>
          <t>NORDMALING</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24540-2025</t>
        </is>
      </c>
      <c r="B7772" s="1" t="n">
        <v>45798.44232638889</v>
      </c>
      <c r="C7772" s="1" t="n">
        <v>45971</v>
      </c>
      <c r="D7772" t="inlineStr">
        <is>
          <t>VÄSTERBOTTENS LÄN</t>
        </is>
      </c>
      <c r="E7772" t="inlineStr">
        <is>
          <t>UMEÅ</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41529-2025</t>
        </is>
      </c>
      <c r="B7773" s="1" t="n">
        <v>45901</v>
      </c>
      <c r="C7773" s="1" t="n">
        <v>45971</v>
      </c>
      <c r="D7773" t="inlineStr">
        <is>
          <t>VÄSTERBOTTENS LÄN</t>
        </is>
      </c>
      <c r="E7773" t="inlineStr">
        <is>
          <t>ROBERTSFORS</t>
        </is>
      </c>
      <c r="F7773" t="inlineStr">
        <is>
          <t>Holmen skog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44018-2024</t>
        </is>
      </c>
      <c r="B7774" s="1" t="n">
        <v>45572</v>
      </c>
      <c r="C7774" s="1" t="n">
        <v>45971</v>
      </c>
      <c r="D7774" t="inlineStr">
        <is>
          <t>VÄSTERBOTTENS LÄN</t>
        </is>
      </c>
      <c r="E7774" t="inlineStr">
        <is>
          <t>MALÅ</t>
        </is>
      </c>
      <c r="F7774" t="inlineStr">
        <is>
          <t>Kommuner</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24208-2025</t>
        </is>
      </c>
      <c r="B7775" s="1" t="n">
        <v>45797.34456018519</v>
      </c>
      <c r="C7775" s="1" t="n">
        <v>45971</v>
      </c>
      <c r="D7775" t="inlineStr">
        <is>
          <t>VÄSTERBOTTENS LÄN</t>
        </is>
      </c>
      <c r="E7775" t="inlineStr">
        <is>
          <t>ÅSELE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44801-2023</t>
        </is>
      </c>
      <c r="B7776" s="1" t="n">
        <v>45190.47796296296</v>
      </c>
      <c r="C7776" s="1" t="n">
        <v>45971</v>
      </c>
      <c r="D7776" t="inlineStr">
        <is>
          <t>VÄSTERBOTTENS LÄN</t>
        </is>
      </c>
      <c r="E7776" t="inlineStr">
        <is>
          <t>ÅSELE</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24595-2025</t>
        </is>
      </c>
      <c r="B7777" s="1" t="n">
        <v>45798</v>
      </c>
      <c r="C7777" s="1" t="n">
        <v>45971</v>
      </c>
      <c r="D7777" t="inlineStr">
        <is>
          <t>VÄSTERBOTTENS LÄN</t>
        </is>
      </c>
      <c r="E7777" t="inlineStr">
        <is>
          <t>UMEÅ</t>
        </is>
      </c>
      <c r="F7777" t="inlineStr">
        <is>
          <t>Holmen skog AB</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41670-2025</t>
        </is>
      </c>
      <c r="B7778" s="1" t="n">
        <v>45902.361875</v>
      </c>
      <c r="C7778" s="1" t="n">
        <v>45971</v>
      </c>
      <c r="D7778" t="inlineStr">
        <is>
          <t>VÄSTERBOTTENS LÄN</t>
        </is>
      </c>
      <c r="E7778" t="inlineStr">
        <is>
          <t>SKELLEFTEÅ</t>
        </is>
      </c>
      <c r="F7778" t="inlineStr">
        <is>
          <t>Holmen skog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73684-2021</t>
        </is>
      </c>
      <c r="B7779" s="1" t="n">
        <v>44551</v>
      </c>
      <c r="C7779" s="1" t="n">
        <v>45971</v>
      </c>
      <c r="D7779" t="inlineStr">
        <is>
          <t>VÄSTERBOTTENS LÄN</t>
        </is>
      </c>
      <c r="E7779" t="inlineStr">
        <is>
          <t>SKELLEFTEÅ</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10753-2025</t>
        </is>
      </c>
      <c r="B7780" s="1" t="n">
        <v>45722.44828703703</v>
      </c>
      <c r="C7780" s="1" t="n">
        <v>45971</v>
      </c>
      <c r="D7780" t="inlineStr">
        <is>
          <t>VÄSTERBOTTENS LÄN</t>
        </is>
      </c>
      <c r="E7780" t="inlineStr">
        <is>
          <t>SORSELE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50148-2025</t>
        </is>
      </c>
      <c r="B7781" s="1" t="n">
        <v>45943.57296296296</v>
      </c>
      <c r="C7781" s="1" t="n">
        <v>45971</v>
      </c>
      <c r="D7781" t="inlineStr">
        <is>
          <t>VÄSTERBOTTENS LÄN</t>
        </is>
      </c>
      <c r="E7781" t="inlineStr">
        <is>
          <t>VILHELMINA</t>
        </is>
      </c>
      <c r="G7781" t="n">
        <v>18.9</v>
      </c>
      <c r="H7781" t="n">
        <v>0</v>
      </c>
      <c r="I7781" t="n">
        <v>0</v>
      </c>
      <c r="J7781" t="n">
        <v>0</v>
      </c>
      <c r="K7781" t="n">
        <v>0</v>
      </c>
      <c r="L7781" t="n">
        <v>0</v>
      </c>
      <c r="M7781" t="n">
        <v>0</v>
      </c>
      <c r="N7781" t="n">
        <v>0</v>
      </c>
      <c r="O7781" t="n">
        <v>0</v>
      </c>
      <c r="P7781" t="n">
        <v>0</v>
      </c>
      <c r="Q7781" t="n">
        <v>0</v>
      </c>
      <c r="R7781" s="2" t="inlineStr"/>
    </row>
    <row r="7782" ht="15" customHeight="1">
      <c r="A7782" t="inlineStr">
        <is>
          <t>A 50158-2025</t>
        </is>
      </c>
      <c r="B7782" s="1" t="n">
        <v>45943.58369212963</v>
      </c>
      <c r="C7782" s="1" t="n">
        <v>45971</v>
      </c>
      <c r="D7782" t="inlineStr">
        <is>
          <t>VÄSTERBOTTENS LÄN</t>
        </is>
      </c>
      <c r="E7782" t="inlineStr">
        <is>
          <t>SKELLEFTEÅ</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73537-2021</t>
        </is>
      </c>
      <c r="B7783" s="1" t="n">
        <v>44550</v>
      </c>
      <c r="C7783" s="1" t="n">
        <v>45971</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58596-2024</t>
        </is>
      </c>
      <c r="B7784" s="1" t="n">
        <v>45635</v>
      </c>
      <c r="C7784" s="1" t="n">
        <v>45971</v>
      </c>
      <c r="D7784" t="inlineStr">
        <is>
          <t>VÄSTERBOTTENS LÄN</t>
        </is>
      </c>
      <c r="E7784" t="inlineStr">
        <is>
          <t>ÅSELE</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44367-2024</t>
        </is>
      </c>
      <c r="B7785" s="1" t="n">
        <v>45573.65248842593</v>
      </c>
      <c r="C7785" s="1" t="n">
        <v>45971</v>
      </c>
      <c r="D7785" t="inlineStr">
        <is>
          <t>VÄSTERBOTTENS LÄN</t>
        </is>
      </c>
      <c r="E7785" t="inlineStr">
        <is>
          <t>NORSJÖ</t>
        </is>
      </c>
      <c r="F7785" t="inlineStr">
        <is>
          <t>Kommuner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60616-2024</t>
        </is>
      </c>
      <c r="B7786" s="1" t="n">
        <v>45642</v>
      </c>
      <c r="C7786" s="1" t="n">
        <v>45971</v>
      </c>
      <c r="D7786" t="inlineStr">
        <is>
          <t>VÄSTERBOTTENS LÄN</t>
        </is>
      </c>
      <c r="E7786" t="inlineStr">
        <is>
          <t>MALÅ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61330-2024</t>
        </is>
      </c>
      <c r="B7787" s="1" t="n">
        <v>45645</v>
      </c>
      <c r="C7787" s="1" t="n">
        <v>45971</v>
      </c>
      <c r="D7787" t="inlineStr">
        <is>
          <t>VÄSTERBOTTENS LÄN</t>
        </is>
      </c>
      <c r="E7787" t="inlineStr">
        <is>
          <t>ÅSELE</t>
        </is>
      </c>
      <c r="F7787" t="inlineStr">
        <is>
          <t>Sveaskog</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23168-2024</t>
        </is>
      </c>
      <c r="B7788" s="1" t="n">
        <v>45450</v>
      </c>
      <c r="C7788" s="1" t="n">
        <v>45971</v>
      </c>
      <c r="D7788" t="inlineStr">
        <is>
          <t>VÄSTERBOTTENS LÄN</t>
        </is>
      </c>
      <c r="E7788" t="inlineStr">
        <is>
          <t>SKELLEFTEÅ</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24264-2025</t>
        </is>
      </c>
      <c r="B7789" s="1" t="n">
        <v>45797.42381944445</v>
      </c>
      <c r="C7789" s="1" t="n">
        <v>45971</v>
      </c>
      <c r="D7789" t="inlineStr">
        <is>
          <t>VÄSTERBOTTENS LÄN</t>
        </is>
      </c>
      <c r="E7789" t="inlineStr">
        <is>
          <t>SKELLEFTEÅ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23181-2024</t>
        </is>
      </c>
      <c r="B7790" s="1" t="n">
        <v>45450</v>
      </c>
      <c r="C7790" s="1" t="n">
        <v>45971</v>
      </c>
      <c r="D7790" t="inlineStr">
        <is>
          <t>VÄSTERBOTTENS LÄN</t>
        </is>
      </c>
      <c r="E7790" t="inlineStr">
        <is>
          <t>BJURHOLM</t>
        </is>
      </c>
      <c r="F7790" t="inlineStr">
        <is>
          <t>SCA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41672-2025</t>
        </is>
      </c>
      <c r="B7791" s="1" t="n">
        <v>45902.36494212963</v>
      </c>
      <c r="C7791" s="1" t="n">
        <v>45971</v>
      </c>
      <c r="D7791" t="inlineStr">
        <is>
          <t>VÄSTERBOTTENS LÄN</t>
        </is>
      </c>
      <c r="E7791" t="inlineStr">
        <is>
          <t>MALÅ</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57278-2024</t>
        </is>
      </c>
      <c r="B7792" s="1" t="n">
        <v>45629</v>
      </c>
      <c r="C7792" s="1" t="n">
        <v>45971</v>
      </c>
      <c r="D7792" t="inlineStr">
        <is>
          <t>VÄSTERBOTTENS LÄN</t>
        </is>
      </c>
      <c r="E7792" t="inlineStr">
        <is>
          <t>SKELLEFTEÅ</t>
        </is>
      </c>
      <c r="F7792" t="inlineStr">
        <is>
          <t>Holmen skog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27288-2024</t>
        </is>
      </c>
      <c r="B7793" s="1" t="n">
        <v>45471.92630787037</v>
      </c>
      <c r="C7793" s="1" t="n">
        <v>45971</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23217-2024</t>
        </is>
      </c>
      <c r="B7794" s="1" t="n">
        <v>45452.64719907408</v>
      </c>
      <c r="C7794" s="1" t="n">
        <v>45971</v>
      </c>
      <c r="D7794" t="inlineStr">
        <is>
          <t>VÄSTERBOTTENS LÄN</t>
        </is>
      </c>
      <c r="E7794" t="inlineStr">
        <is>
          <t>VINDELN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44968-2024</t>
        </is>
      </c>
      <c r="B7795" s="1" t="n">
        <v>45575.45949074074</v>
      </c>
      <c r="C7795" s="1" t="n">
        <v>45971</v>
      </c>
      <c r="D7795" t="inlineStr">
        <is>
          <t>VÄSTERBOTTENS LÄN</t>
        </is>
      </c>
      <c r="E7795" t="inlineStr">
        <is>
          <t>SKELLEFTEÅ</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27297-2024</t>
        </is>
      </c>
      <c r="B7796" s="1" t="n">
        <v>45471.9431712963</v>
      </c>
      <c r="C7796" s="1" t="n">
        <v>45971</v>
      </c>
      <c r="D7796" t="inlineStr">
        <is>
          <t>VÄSTERBOTTENS LÄN</t>
        </is>
      </c>
      <c r="E7796" t="inlineStr">
        <is>
          <t>BJURHOLM</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24705-2025</t>
        </is>
      </c>
      <c r="B7797" s="1" t="n">
        <v>45798</v>
      </c>
      <c r="C7797" s="1" t="n">
        <v>45971</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24346-2025</t>
        </is>
      </c>
      <c r="B7798" s="1" t="n">
        <v>45797.58045138889</v>
      </c>
      <c r="C7798" s="1" t="n">
        <v>45971</v>
      </c>
      <c r="D7798" t="inlineStr">
        <is>
          <t>VÄSTERBOTTENS LÄN</t>
        </is>
      </c>
      <c r="E7798" t="inlineStr">
        <is>
          <t>VÄNNÄS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35591-2024</t>
        </is>
      </c>
      <c r="B7799" s="1" t="n">
        <v>45531.6533912037</v>
      </c>
      <c r="C7799" s="1" t="n">
        <v>45971</v>
      </c>
      <c r="D7799" t="inlineStr">
        <is>
          <t>VÄSTERBOTTENS LÄN</t>
        </is>
      </c>
      <c r="E7799" t="inlineStr">
        <is>
          <t>VINDELN</t>
        </is>
      </c>
      <c r="F7799" t="inlineStr">
        <is>
          <t>Holmen skog AB</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14394-2025</t>
        </is>
      </c>
      <c r="B7800" s="1" t="n">
        <v>45741</v>
      </c>
      <c r="C7800" s="1" t="n">
        <v>45971</v>
      </c>
      <c r="D7800" t="inlineStr">
        <is>
          <t>VÄSTERBOTTENS LÄN</t>
        </is>
      </c>
      <c r="E7800" t="inlineStr">
        <is>
          <t>SKELLEFTEÅ</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24654-2025</t>
        </is>
      </c>
      <c r="B7801" s="1" t="n">
        <v>45798</v>
      </c>
      <c r="C7801" s="1" t="n">
        <v>45971</v>
      </c>
      <c r="D7801" t="inlineStr">
        <is>
          <t>VÄSTERBOTTENS LÄN</t>
        </is>
      </c>
      <c r="E7801" t="inlineStr">
        <is>
          <t>ÅSELE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24681-2025</t>
        </is>
      </c>
      <c r="B7802" s="1" t="n">
        <v>45798</v>
      </c>
      <c r="C7802" s="1" t="n">
        <v>45971</v>
      </c>
      <c r="D7802" t="inlineStr">
        <is>
          <t>VÄSTERBOTTENS LÄN</t>
        </is>
      </c>
      <c r="E7802" t="inlineStr">
        <is>
          <t>MALÅ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2486-2022</t>
        </is>
      </c>
      <c r="B7803" s="1" t="n">
        <v>44579</v>
      </c>
      <c r="C7803" s="1" t="n">
        <v>45971</v>
      </c>
      <c r="D7803" t="inlineStr">
        <is>
          <t>VÄSTERBOTTENS LÄN</t>
        </is>
      </c>
      <c r="E7803" t="inlineStr">
        <is>
          <t>SKELLEFTEÅ</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15376-2025</t>
        </is>
      </c>
      <c r="B7804" s="1" t="n">
        <v>45747.40657407408</v>
      </c>
      <c r="C7804" s="1" t="n">
        <v>45971</v>
      </c>
      <c r="D7804" t="inlineStr">
        <is>
          <t>VÄSTERBOTTENS LÄN</t>
        </is>
      </c>
      <c r="E7804" t="inlineStr">
        <is>
          <t>UMEÅ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24342-2025</t>
        </is>
      </c>
      <c r="B7805" s="1" t="n">
        <v>45797.57418981481</v>
      </c>
      <c r="C7805" s="1" t="n">
        <v>45971</v>
      </c>
      <c r="D7805" t="inlineStr">
        <is>
          <t>VÄSTERBOTTENS LÄN</t>
        </is>
      </c>
      <c r="E7805" t="inlineStr">
        <is>
          <t>VÄNNÄS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41559-2025</t>
        </is>
      </c>
      <c r="B7806" s="1" t="n">
        <v>45901.59436342592</v>
      </c>
      <c r="C7806" s="1" t="n">
        <v>45971</v>
      </c>
      <c r="D7806" t="inlineStr">
        <is>
          <t>VÄSTERBOTTENS LÄN</t>
        </is>
      </c>
      <c r="E7806" t="inlineStr">
        <is>
          <t>MALÅ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38404-2023</t>
        </is>
      </c>
      <c r="B7807" s="1" t="n">
        <v>45162</v>
      </c>
      <c r="C7807" s="1" t="n">
        <v>45971</v>
      </c>
      <c r="D7807" t="inlineStr">
        <is>
          <t>VÄSTERBOTTENS LÄN</t>
        </is>
      </c>
      <c r="E7807" t="inlineStr">
        <is>
          <t>MALÅ</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8759-2025</t>
        </is>
      </c>
      <c r="B7808" s="1" t="n">
        <v>45712.57372685185</v>
      </c>
      <c r="C7808" s="1" t="n">
        <v>45971</v>
      </c>
      <c r="D7808" t="inlineStr">
        <is>
          <t>VÄSTERBOTTENS LÄN</t>
        </is>
      </c>
      <c r="E7808" t="inlineStr">
        <is>
          <t>NORDMALING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19200-2023</t>
        </is>
      </c>
      <c r="B7809" s="1" t="n">
        <v>45048</v>
      </c>
      <c r="C7809" s="1" t="n">
        <v>45971</v>
      </c>
      <c r="D7809" t="inlineStr">
        <is>
          <t>VÄSTERBOTTENS LÄN</t>
        </is>
      </c>
      <c r="E7809" t="inlineStr">
        <is>
          <t>UMEÅ</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47797-2021</t>
        </is>
      </c>
      <c r="B7810" s="1" t="n">
        <v>44448</v>
      </c>
      <c r="C7810" s="1" t="n">
        <v>45971</v>
      </c>
      <c r="D7810" t="inlineStr">
        <is>
          <t>VÄSTERBOTTENS LÄN</t>
        </is>
      </c>
      <c r="E7810" t="inlineStr">
        <is>
          <t>MALÅ</t>
        </is>
      </c>
      <c r="F7810" t="inlineStr">
        <is>
          <t>Sveaskog</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19401-2023</t>
        </is>
      </c>
      <c r="B7811" s="1" t="n">
        <v>45048</v>
      </c>
      <c r="C7811" s="1" t="n">
        <v>45971</v>
      </c>
      <c r="D7811" t="inlineStr">
        <is>
          <t>VÄSTERBOTTENS LÄN</t>
        </is>
      </c>
      <c r="E7811" t="inlineStr">
        <is>
          <t>VILHELMINA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56603-2024</t>
        </is>
      </c>
      <c r="B7812" s="1" t="n">
        <v>45625.63980324074</v>
      </c>
      <c r="C7812" s="1" t="n">
        <v>45971</v>
      </c>
      <c r="D7812" t="inlineStr">
        <is>
          <t>VÄSTERBOTTENS LÄN</t>
        </is>
      </c>
      <c r="E7812" t="inlineStr">
        <is>
          <t>LYCKSELE</t>
        </is>
      </c>
      <c r="F7812" t="inlineStr">
        <is>
          <t>Holmen skog AB</t>
        </is>
      </c>
      <c r="G7812" t="n">
        <v>17.1</v>
      </c>
      <c r="H7812" t="n">
        <v>0</v>
      </c>
      <c r="I7812" t="n">
        <v>0</v>
      </c>
      <c r="J7812" t="n">
        <v>0</v>
      </c>
      <c r="K7812" t="n">
        <v>0</v>
      </c>
      <c r="L7812" t="n">
        <v>0</v>
      </c>
      <c r="M7812" t="n">
        <v>0</v>
      </c>
      <c r="N7812" t="n">
        <v>0</v>
      </c>
      <c r="O7812" t="n">
        <v>0</v>
      </c>
      <c r="P7812" t="n">
        <v>0</v>
      </c>
      <c r="Q7812" t="n">
        <v>0</v>
      </c>
      <c r="R7812" s="2" t="inlineStr"/>
    </row>
    <row r="7813" ht="15" customHeight="1">
      <c r="A7813" t="inlineStr">
        <is>
          <t>A 43952-2023</t>
        </is>
      </c>
      <c r="B7813" s="1" t="n">
        <v>45187</v>
      </c>
      <c r="C7813" s="1" t="n">
        <v>45971</v>
      </c>
      <c r="D7813" t="inlineStr">
        <is>
          <t>VÄSTERBOTTENS LÄN</t>
        </is>
      </c>
      <c r="E7813" t="inlineStr">
        <is>
          <t>MALÅ</t>
        </is>
      </c>
      <c r="F7813" t="inlineStr">
        <is>
          <t>SCA</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526-2022</t>
        </is>
      </c>
      <c r="B7814" s="1" t="n">
        <v>44566</v>
      </c>
      <c r="C7814" s="1" t="n">
        <v>45971</v>
      </c>
      <c r="D7814" t="inlineStr">
        <is>
          <t>VÄSTERBOTTENS LÄN</t>
        </is>
      </c>
      <c r="E7814" t="inlineStr">
        <is>
          <t>LYCKSELE</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50169-2025</t>
        </is>
      </c>
      <c r="B7815" s="1" t="n">
        <v>45943.59478009259</v>
      </c>
      <c r="C7815" s="1" t="n">
        <v>45971</v>
      </c>
      <c r="D7815" t="inlineStr">
        <is>
          <t>VÄSTERBOTTENS LÄN</t>
        </is>
      </c>
      <c r="E7815" t="inlineStr">
        <is>
          <t>NORSJÖ</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44513-2023</t>
        </is>
      </c>
      <c r="B7816" s="1" t="n">
        <v>45189</v>
      </c>
      <c r="C7816" s="1" t="n">
        <v>45971</v>
      </c>
      <c r="D7816" t="inlineStr">
        <is>
          <t>VÄSTERBOTTENS LÄN</t>
        </is>
      </c>
      <c r="E7816" t="inlineStr">
        <is>
          <t>MALÅ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31731-2024</t>
        </is>
      </c>
      <c r="B7817" s="1" t="n">
        <v>45509.36456018518</v>
      </c>
      <c r="C7817" s="1" t="n">
        <v>45971</v>
      </c>
      <c r="D7817" t="inlineStr">
        <is>
          <t>VÄSTERBOTTENS LÄN</t>
        </is>
      </c>
      <c r="E7817" t="inlineStr">
        <is>
          <t>ROBERTSFORS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50075-2025</t>
        </is>
      </c>
      <c r="B7818" s="1" t="n">
        <v>45943.46447916667</v>
      </c>
      <c r="C7818" s="1" t="n">
        <v>45971</v>
      </c>
      <c r="D7818" t="inlineStr">
        <is>
          <t>VÄSTERBOTTENS LÄN</t>
        </is>
      </c>
      <c r="E7818" t="inlineStr">
        <is>
          <t>STORUMAN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50374-2025</t>
        </is>
      </c>
      <c r="B7819" s="1" t="n">
        <v>45944.59637731482</v>
      </c>
      <c r="C7819" s="1" t="n">
        <v>45971</v>
      </c>
      <c r="D7819" t="inlineStr">
        <is>
          <t>VÄSTERBOTTENS LÄN</t>
        </is>
      </c>
      <c r="E7819" t="inlineStr">
        <is>
          <t>ÅSELE</t>
        </is>
      </c>
      <c r="F7819" t="inlineStr">
        <is>
          <t>Holmen skog AB</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28846-2023</t>
        </is>
      </c>
      <c r="B7820" s="1" t="n">
        <v>45104.42267361111</v>
      </c>
      <c r="C7820" s="1" t="n">
        <v>45971</v>
      </c>
      <c r="D7820" t="inlineStr">
        <is>
          <t>VÄSTERBOTTENS LÄN</t>
        </is>
      </c>
      <c r="E7820" t="inlineStr">
        <is>
          <t>VINDELN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31119-2023</t>
        </is>
      </c>
      <c r="B7821" s="1" t="n">
        <v>45099</v>
      </c>
      <c r="C7821" s="1" t="n">
        <v>45971</v>
      </c>
      <c r="D7821" t="inlineStr">
        <is>
          <t>VÄSTERBOTTENS LÄN</t>
        </is>
      </c>
      <c r="E7821" t="inlineStr">
        <is>
          <t>ÅSELE</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24205-2025</t>
        </is>
      </c>
      <c r="B7822" s="1" t="n">
        <v>45797.32711805555</v>
      </c>
      <c r="C7822" s="1" t="n">
        <v>45971</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24514-2025</t>
        </is>
      </c>
      <c r="B7823" s="1" t="n">
        <v>45798.40986111111</v>
      </c>
      <c r="C7823" s="1" t="n">
        <v>45971</v>
      </c>
      <c r="D7823" t="inlineStr">
        <is>
          <t>VÄSTERBOTTENS LÄN</t>
        </is>
      </c>
      <c r="E7823" t="inlineStr">
        <is>
          <t>LYCKSELE</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24569-2025</t>
        </is>
      </c>
      <c r="B7824" s="1" t="n">
        <v>45798.46928240741</v>
      </c>
      <c r="C7824" s="1" t="n">
        <v>45971</v>
      </c>
      <c r="D7824" t="inlineStr">
        <is>
          <t>VÄSTERBOTTENS LÄN</t>
        </is>
      </c>
      <c r="E7824" t="inlineStr">
        <is>
          <t>SKELLEFTEÅ</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25689-2025</t>
        </is>
      </c>
      <c r="B7825" s="1" t="n">
        <v>45803.66111111111</v>
      </c>
      <c r="C7825" s="1" t="n">
        <v>45971</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54893-2023</t>
        </is>
      </c>
      <c r="B7826" s="1" t="n">
        <v>45236.63934027778</v>
      </c>
      <c r="C7826" s="1" t="n">
        <v>45971</v>
      </c>
      <c r="D7826" t="inlineStr">
        <is>
          <t>VÄSTERBOTTENS LÄN</t>
        </is>
      </c>
      <c r="E7826" t="inlineStr">
        <is>
          <t>LYCKSELE</t>
        </is>
      </c>
      <c r="F7826" t="inlineStr">
        <is>
          <t>Sveaskog</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26617-2024</t>
        </is>
      </c>
      <c r="B7827" s="1" t="n">
        <v>45469.73981481481</v>
      </c>
      <c r="C7827" s="1" t="n">
        <v>45971</v>
      </c>
      <c r="D7827" t="inlineStr">
        <is>
          <t>VÄSTERBOTTENS LÄN</t>
        </is>
      </c>
      <c r="E7827" t="inlineStr">
        <is>
          <t>UMEÅ</t>
        </is>
      </c>
      <c r="F7827" t="inlineStr">
        <is>
          <t>Holmen skog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45157-2023</t>
        </is>
      </c>
      <c r="B7828" s="1" t="n">
        <v>45191.48872685185</v>
      </c>
      <c r="C7828" s="1" t="n">
        <v>45971</v>
      </c>
      <c r="D7828" t="inlineStr">
        <is>
          <t>VÄSTERBOTTENS LÄN</t>
        </is>
      </c>
      <c r="E7828" t="inlineStr">
        <is>
          <t>ROBERTSFORS</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24518-2025</t>
        </is>
      </c>
      <c r="B7829" s="1" t="n">
        <v>45798.41498842592</v>
      </c>
      <c r="C7829" s="1" t="n">
        <v>45971</v>
      </c>
      <c r="D7829" t="inlineStr">
        <is>
          <t>VÄSTERBOTTENS LÄN</t>
        </is>
      </c>
      <c r="E7829" t="inlineStr">
        <is>
          <t>LYCKSELE</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31659-2024</t>
        </is>
      </c>
      <c r="B7830" s="1" t="n">
        <v>45506</v>
      </c>
      <c r="C7830" s="1" t="n">
        <v>45971</v>
      </c>
      <c r="D7830" t="inlineStr">
        <is>
          <t>VÄSTERBOTTENS LÄN</t>
        </is>
      </c>
      <c r="E7830" t="inlineStr">
        <is>
          <t>ÅSELE</t>
        </is>
      </c>
      <c r="G7830" t="n">
        <v>41.1</v>
      </c>
      <c r="H7830" t="n">
        <v>0</v>
      </c>
      <c r="I7830" t="n">
        <v>0</v>
      </c>
      <c r="J7830" t="n">
        <v>0</v>
      </c>
      <c r="K7830" t="n">
        <v>0</v>
      </c>
      <c r="L7830" t="n">
        <v>0</v>
      </c>
      <c r="M7830" t="n">
        <v>0</v>
      </c>
      <c r="N7830" t="n">
        <v>0</v>
      </c>
      <c r="O7830" t="n">
        <v>0</v>
      </c>
      <c r="P7830" t="n">
        <v>0</v>
      </c>
      <c r="Q7830" t="n">
        <v>0</v>
      </c>
      <c r="R7830" s="2" t="inlineStr"/>
    </row>
    <row r="7831" ht="15" customHeight="1">
      <c r="A7831" t="inlineStr">
        <is>
          <t>A 24261-2025</t>
        </is>
      </c>
      <c r="B7831" s="1" t="n">
        <v>45797</v>
      </c>
      <c r="C7831" s="1" t="n">
        <v>45971</v>
      </c>
      <c r="D7831" t="inlineStr">
        <is>
          <t>VÄSTERBOTTENS LÄN</t>
        </is>
      </c>
      <c r="E7831" t="inlineStr">
        <is>
          <t>SKELLEFTEÅ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25734-2023</t>
        </is>
      </c>
      <c r="B7832" s="1" t="n">
        <v>45090.41349537037</v>
      </c>
      <c r="C7832" s="1" t="n">
        <v>45971</v>
      </c>
      <c r="D7832" t="inlineStr">
        <is>
          <t>VÄSTERBOTTENS LÄN</t>
        </is>
      </c>
      <c r="E7832" t="inlineStr">
        <is>
          <t>NORSJÖ</t>
        </is>
      </c>
      <c r="F7832" t="inlineStr">
        <is>
          <t>Holmen skog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52403-2024</t>
        </is>
      </c>
      <c r="B7833" s="1" t="n">
        <v>45609</v>
      </c>
      <c r="C7833" s="1" t="n">
        <v>45971</v>
      </c>
      <c r="D7833" t="inlineStr">
        <is>
          <t>VÄSTERBOTTENS LÄN</t>
        </is>
      </c>
      <c r="E7833" t="inlineStr">
        <is>
          <t>VINDELN</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57470-2024</t>
        </is>
      </c>
      <c r="B7834" s="1" t="n">
        <v>45630</v>
      </c>
      <c r="C7834" s="1" t="n">
        <v>45971</v>
      </c>
      <c r="D7834" t="inlineStr">
        <is>
          <t>VÄSTERBOTTENS LÄN</t>
        </is>
      </c>
      <c r="E7834" t="inlineStr">
        <is>
          <t>VILHELMINA</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35792-2023</t>
        </is>
      </c>
      <c r="B7835" s="1" t="n">
        <v>45147</v>
      </c>
      <c r="C7835" s="1" t="n">
        <v>45971</v>
      </c>
      <c r="D7835" t="inlineStr">
        <is>
          <t>VÄSTERBOTTENS LÄN</t>
        </is>
      </c>
      <c r="E7835" t="inlineStr">
        <is>
          <t>NORDMALING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57562-2024</t>
        </is>
      </c>
      <c r="B7836" s="1" t="n">
        <v>45630</v>
      </c>
      <c r="C7836" s="1" t="n">
        <v>45971</v>
      </c>
      <c r="D7836" t="inlineStr">
        <is>
          <t>VÄSTERBOTTENS LÄN</t>
        </is>
      </c>
      <c r="E7836" t="inlineStr">
        <is>
          <t>BJURHOLM</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2707-2022</t>
        </is>
      </c>
      <c r="B7837" s="1" t="n">
        <v>44580</v>
      </c>
      <c r="C7837" s="1" t="n">
        <v>45971</v>
      </c>
      <c r="D7837" t="inlineStr">
        <is>
          <t>VÄSTERBOTTENS LÄN</t>
        </is>
      </c>
      <c r="E7837" t="inlineStr">
        <is>
          <t>ROBERTSFORS</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45606-2024</t>
        </is>
      </c>
      <c r="B7838" s="1" t="n">
        <v>45579.4434375</v>
      </c>
      <c r="C7838" s="1" t="n">
        <v>45971</v>
      </c>
      <c r="D7838" t="inlineStr">
        <is>
          <t>VÄSTERBOTTENS LÄN</t>
        </is>
      </c>
      <c r="E7838" t="inlineStr">
        <is>
          <t>VINDELN</t>
        </is>
      </c>
      <c r="F7838" t="inlineStr">
        <is>
          <t>Sveaskog</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2794-2022</t>
        </is>
      </c>
      <c r="B7839" s="1" t="n">
        <v>44580</v>
      </c>
      <c r="C7839" s="1" t="n">
        <v>45971</v>
      </c>
      <c r="D7839" t="inlineStr">
        <is>
          <t>VÄSTERBOTTENS LÄN</t>
        </is>
      </c>
      <c r="E7839" t="inlineStr">
        <is>
          <t>STORUMAN</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18168-2025</t>
        </is>
      </c>
      <c r="B7840" s="1" t="n">
        <v>45761.6440625</v>
      </c>
      <c r="C7840" s="1" t="n">
        <v>45971</v>
      </c>
      <c r="D7840" t="inlineStr">
        <is>
          <t>VÄSTERBOTTENS LÄN</t>
        </is>
      </c>
      <c r="E7840" t="inlineStr">
        <is>
          <t>ROBERTSFORS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24224-2025</t>
        </is>
      </c>
      <c r="B7841" s="1" t="n">
        <v>45797</v>
      </c>
      <c r="C7841" s="1" t="n">
        <v>45971</v>
      </c>
      <c r="D7841" t="inlineStr">
        <is>
          <t>VÄSTERBOTTENS LÄN</t>
        </is>
      </c>
      <c r="E7841" t="inlineStr">
        <is>
          <t>VILHELMINA</t>
        </is>
      </c>
      <c r="G7841" t="n">
        <v>27.2</v>
      </c>
      <c r="H7841" t="n">
        <v>0</v>
      </c>
      <c r="I7841" t="n">
        <v>0</v>
      </c>
      <c r="J7841" t="n">
        <v>0</v>
      </c>
      <c r="K7841" t="n">
        <v>0</v>
      </c>
      <c r="L7841" t="n">
        <v>0</v>
      </c>
      <c r="M7841" t="n">
        <v>0</v>
      </c>
      <c r="N7841" t="n">
        <v>0</v>
      </c>
      <c r="O7841" t="n">
        <v>0</v>
      </c>
      <c r="P7841" t="n">
        <v>0</v>
      </c>
      <c r="Q7841" t="n">
        <v>0</v>
      </c>
      <c r="R7841" s="2" t="inlineStr"/>
    </row>
    <row r="7842" ht="15" customHeight="1">
      <c r="A7842" t="inlineStr">
        <is>
          <t>A 60765-2024</t>
        </is>
      </c>
      <c r="B7842" s="1" t="n">
        <v>45644.57631944444</v>
      </c>
      <c r="C7842" s="1" t="n">
        <v>45971</v>
      </c>
      <c r="D7842" t="inlineStr">
        <is>
          <t>VÄSTERBOTTENS LÄN</t>
        </is>
      </c>
      <c r="E7842" t="inlineStr">
        <is>
          <t>NORDMALING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50232-2024</t>
        </is>
      </c>
      <c r="B7843" s="1" t="n">
        <v>45600.55253472222</v>
      </c>
      <c r="C7843" s="1" t="n">
        <v>45971</v>
      </c>
      <c r="D7843" t="inlineStr">
        <is>
          <t>VÄSTERBOTTENS LÄN</t>
        </is>
      </c>
      <c r="E7843" t="inlineStr">
        <is>
          <t>SKELLEFTEÅ</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17015-2025</t>
        </is>
      </c>
      <c r="B7844" s="1" t="n">
        <v>45755.55318287037</v>
      </c>
      <c r="C7844" s="1" t="n">
        <v>45971</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39686-2025</t>
        </is>
      </c>
      <c r="B7845" s="1" t="n">
        <v>45890</v>
      </c>
      <c r="C7845" s="1" t="n">
        <v>45971</v>
      </c>
      <c r="D7845" t="inlineStr">
        <is>
          <t>VÄSTERBOTTENS LÄN</t>
        </is>
      </c>
      <c r="E7845" t="inlineStr">
        <is>
          <t>DOROTEA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36687-2023</t>
        </is>
      </c>
      <c r="B7846" s="1" t="n">
        <v>45152</v>
      </c>
      <c r="C7846" s="1" t="n">
        <v>45971</v>
      </c>
      <c r="D7846" t="inlineStr">
        <is>
          <t>VÄSTERBOTTENS LÄN</t>
        </is>
      </c>
      <c r="E7846" t="inlineStr">
        <is>
          <t>MALÅ</t>
        </is>
      </c>
      <c r="G7846" t="n">
        <v>13.3</v>
      </c>
      <c r="H7846" t="n">
        <v>0</v>
      </c>
      <c r="I7846" t="n">
        <v>0</v>
      </c>
      <c r="J7846" t="n">
        <v>0</v>
      </c>
      <c r="K7846" t="n">
        <v>0</v>
      </c>
      <c r="L7846" t="n">
        <v>0</v>
      </c>
      <c r="M7846" t="n">
        <v>0</v>
      </c>
      <c r="N7846" t="n">
        <v>0</v>
      </c>
      <c r="O7846" t="n">
        <v>0</v>
      </c>
      <c r="P7846" t="n">
        <v>0</v>
      </c>
      <c r="Q7846" t="n">
        <v>0</v>
      </c>
      <c r="R7846" s="2" t="inlineStr"/>
    </row>
    <row r="7847" ht="15" customHeight="1">
      <c r="A7847" t="inlineStr">
        <is>
          <t>A 54151-2024</t>
        </is>
      </c>
      <c r="B7847" s="1" t="n">
        <v>45616</v>
      </c>
      <c r="C7847" s="1" t="n">
        <v>45971</v>
      </c>
      <c r="D7847" t="inlineStr">
        <is>
          <t>VÄSTERBOTTENS LÄN</t>
        </is>
      </c>
      <c r="E7847" t="inlineStr">
        <is>
          <t>BJURHOLM</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25341-2025</t>
        </is>
      </c>
      <c r="B7848" s="1" t="n">
        <v>45800.60171296296</v>
      </c>
      <c r="C7848" s="1" t="n">
        <v>45971</v>
      </c>
      <c r="D7848" t="inlineStr">
        <is>
          <t>VÄSTERBOTTENS LÄN</t>
        </is>
      </c>
      <c r="E7848" t="inlineStr">
        <is>
          <t>ROBERTSFORS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50638-2025</t>
        </is>
      </c>
      <c r="B7849" s="1" t="n">
        <v>45945.65354166667</v>
      </c>
      <c r="C7849" s="1" t="n">
        <v>45971</v>
      </c>
      <c r="D7849" t="inlineStr">
        <is>
          <t>VÄSTERBOTTENS LÄN</t>
        </is>
      </c>
      <c r="E7849" t="inlineStr">
        <is>
          <t>SKELLEFTEÅ</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50725-2025</t>
        </is>
      </c>
      <c r="B7850" s="1" t="n">
        <v>45946.3471875</v>
      </c>
      <c r="C7850" s="1" t="n">
        <v>45971</v>
      </c>
      <c r="D7850" t="inlineStr">
        <is>
          <t>VÄSTERBOTTENS LÄN</t>
        </is>
      </c>
      <c r="E7850" t="inlineStr">
        <is>
          <t>NORDMALING</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50729-2025</t>
        </is>
      </c>
      <c r="B7851" s="1" t="n">
        <v>45946.36190972223</v>
      </c>
      <c r="C7851" s="1" t="n">
        <v>45971</v>
      </c>
      <c r="D7851" t="inlineStr">
        <is>
          <t>VÄSTERBOTTENS LÄN</t>
        </is>
      </c>
      <c r="E7851" t="inlineStr">
        <is>
          <t>STORUMAN</t>
        </is>
      </c>
      <c r="G7851" t="n">
        <v>35.2</v>
      </c>
      <c r="H7851" t="n">
        <v>0</v>
      </c>
      <c r="I7851" t="n">
        <v>0</v>
      </c>
      <c r="J7851" t="n">
        <v>0</v>
      </c>
      <c r="K7851" t="n">
        <v>0</v>
      </c>
      <c r="L7851" t="n">
        <v>0</v>
      </c>
      <c r="M7851" t="n">
        <v>0</v>
      </c>
      <c r="N7851" t="n">
        <v>0</v>
      </c>
      <c r="O7851" t="n">
        <v>0</v>
      </c>
      <c r="P7851" t="n">
        <v>0</v>
      </c>
      <c r="Q7851" t="n">
        <v>0</v>
      </c>
      <c r="R7851" s="2" t="inlineStr"/>
    </row>
    <row r="7852" ht="15" customHeight="1">
      <c r="A7852" t="inlineStr">
        <is>
          <t>A 42068-2025</t>
        </is>
      </c>
      <c r="B7852" s="1" t="n">
        <v>45903</v>
      </c>
      <c r="C7852" s="1" t="n">
        <v>45971</v>
      </c>
      <c r="D7852" t="inlineStr">
        <is>
          <t>VÄSTERBOTTENS LÄN</t>
        </is>
      </c>
      <c r="E7852" t="inlineStr">
        <is>
          <t>ÅSELE</t>
        </is>
      </c>
      <c r="F7852" t="inlineStr">
        <is>
          <t>SCA</t>
        </is>
      </c>
      <c r="G7852" t="n">
        <v>13.5</v>
      </c>
      <c r="H7852" t="n">
        <v>0</v>
      </c>
      <c r="I7852" t="n">
        <v>0</v>
      </c>
      <c r="J7852" t="n">
        <v>0</v>
      </c>
      <c r="K7852" t="n">
        <v>0</v>
      </c>
      <c r="L7852" t="n">
        <v>0</v>
      </c>
      <c r="M7852" t="n">
        <v>0</v>
      </c>
      <c r="N7852" t="n">
        <v>0</v>
      </c>
      <c r="O7852" t="n">
        <v>0</v>
      </c>
      <c r="P7852" t="n">
        <v>0</v>
      </c>
      <c r="Q7852" t="n">
        <v>0</v>
      </c>
      <c r="R7852" s="2" t="inlineStr"/>
    </row>
    <row r="7853" ht="15" customHeight="1">
      <c r="A7853" t="inlineStr">
        <is>
          <t>A 25377-2025</t>
        </is>
      </c>
      <c r="B7853" s="1" t="n">
        <v>45800.63631944444</v>
      </c>
      <c r="C7853" s="1" t="n">
        <v>45971</v>
      </c>
      <c r="D7853" t="inlineStr">
        <is>
          <t>VÄSTERBOTTENS LÄN</t>
        </is>
      </c>
      <c r="E7853" t="inlineStr">
        <is>
          <t>ÅSELE</t>
        </is>
      </c>
      <c r="F7853" t="inlineStr">
        <is>
          <t>SCA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10793-2023</t>
        </is>
      </c>
      <c r="B7854" s="1" t="n">
        <v>44989.40244212963</v>
      </c>
      <c r="C7854" s="1" t="n">
        <v>45971</v>
      </c>
      <c r="D7854" t="inlineStr">
        <is>
          <t>VÄSTERBOTTENS LÄN</t>
        </is>
      </c>
      <c r="E7854" t="inlineStr">
        <is>
          <t>SORSELE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24925-2025</t>
        </is>
      </c>
      <c r="B7855" s="1" t="n">
        <v>45799.55289351852</v>
      </c>
      <c r="C7855" s="1" t="n">
        <v>45971</v>
      </c>
      <c r="D7855" t="inlineStr">
        <is>
          <t>VÄSTERBOTTENS LÄN</t>
        </is>
      </c>
      <c r="E7855" t="inlineStr">
        <is>
          <t>MALÅ</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25310-2025</t>
        </is>
      </c>
      <c r="B7856" s="1" t="n">
        <v>45800.57395833333</v>
      </c>
      <c r="C7856" s="1" t="n">
        <v>45971</v>
      </c>
      <c r="D7856" t="inlineStr">
        <is>
          <t>VÄSTERBOTTENS LÄN</t>
        </is>
      </c>
      <c r="E7856" t="inlineStr">
        <is>
          <t>DOROTEA</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25333-2025</t>
        </is>
      </c>
      <c r="B7857" s="1" t="n">
        <v>45800.59549768519</v>
      </c>
      <c r="C7857" s="1" t="n">
        <v>45971</v>
      </c>
      <c r="D7857" t="inlineStr">
        <is>
          <t>VÄSTERBOTTENS LÄN</t>
        </is>
      </c>
      <c r="E7857" t="inlineStr">
        <is>
          <t>ROBERTSFORS</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13878-2025</t>
        </is>
      </c>
      <c r="B7858" s="1" t="n">
        <v>45737.59420138889</v>
      </c>
      <c r="C7858" s="1" t="n">
        <v>45971</v>
      </c>
      <c r="D7858" t="inlineStr">
        <is>
          <t>VÄSTERBOTTENS LÄN</t>
        </is>
      </c>
      <c r="E7858" t="inlineStr">
        <is>
          <t>VINDELN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42086-2025</t>
        </is>
      </c>
      <c r="B7859" s="1" t="n">
        <v>45903.69359953704</v>
      </c>
      <c r="C7859" s="1" t="n">
        <v>45971</v>
      </c>
      <c r="D7859" t="inlineStr">
        <is>
          <t>VÄSTERBOTTENS LÄN</t>
        </is>
      </c>
      <c r="E7859" t="inlineStr">
        <is>
          <t>SKELLEFTEÅ</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42107-2025</t>
        </is>
      </c>
      <c r="B7860" s="1" t="n">
        <v>45903.90503472222</v>
      </c>
      <c r="C7860" s="1" t="n">
        <v>45971</v>
      </c>
      <c r="D7860" t="inlineStr">
        <is>
          <t>VÄSTERBOTTENS LÄN</t>
        </is>
      </c>
      <c r="E7860" t="inlineStr">
        <is>
          <t>SKELLEFTEÅ</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29736-2024</t>
        </is>
      </c>
      <c r="B7861" s="1" t="n">
        <v>45485.38484953704</v>
      </c>
      <c r="C7861" s="1" t="n">
        <v>45971</v>
      </c>
      <c r="D7861" t="inlineStr">
        <is>
          <t>VÄSTERBOTTENS LÄN</t>
        </is>
      </c>
      <c r="E7861" t="inlineStr">
        <is>
          <t>ÅSELE</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50512-2023</t>
        </is>
      </c>
      <c r="B7862" s="1" t="n">
        <v>45216.95886574074</v>
      </c>
      <c r="C7862" s="1" t="n">
        <v>45971</v>
      </c>
      <c r="D7862" t="inlineStr">
        <is>
          <t>VÄSTERBOTTENS LÄN</t>
        </is>
      </c>
      <c r="E7862" t="inlineStr">
        <is>
          <t>VINDELN</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24932-2025</t>
        </is>
      </c>
      <c r="B7863" s="1" t="n">
        <v>45799.55607638889</v>
      </c>
      <c r="C7863" s="1" t="n">
        <v>45971</v>
      </c>
      <c r="D7863" t="inlineStr">
        <is>
          <t>VÄSTERBOTTENS LÄN</t>
        </is>
      </c>
      <c r="E7863" t="inlineStr">
        <is>
          <t>NORSJÖ</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25206-2025</t>
        </is>
      </c>
      <c r="B7864" s="1" t="n">
        <v>45800.46908564815</v>
      </c>
      <c r="C7864" s="1" t="n">
        <v>45971</v>
      </c>
      <c r="D7864" t="inlineStr">
        <is>
          <t>VÄSTERBOTTENS LÄN</t>
        </is>
      </c>
      <c r="E7864" t="inlineStr">
        <is>
          <t>VÄNNÄS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25018-2025</t>
        </is>
      </c>
      <c r="B7865" s="1" t="n">
        <v>45799.6438425926</v>
      </c>
      <c r="C7865" s="1" t="n">
        <v>45971</v>
      </c>
      <c r="D7865" t="inlineStr">
        <is>
          <t>VÄSTERBOTTENS LÄN</t>
        </is>
      </c>
      <c r="E7865" t="inlineStr">
        <is>
          <t>NORDMALING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24583-2022</t>
        </is>
      </c>
      <c r="B7866" s="1" t="n">
        <v>44727</v>
      </c>
      <c r="C7866" s="1" t="n">
        <v>45971</v>
      </c>
      <c r="D7866" t="inlineStr">
        <is>
          <t>VÄSTERBOTTENS LÄN</t>
        </is>
      </c>
      <c r="E7866" t="inlineStr">
        <is>
          <t>SKELLEFTEÅ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35559-2023</t>
        </is>
      </c>
      <c r="B7867" s="1" t="n">
        <v>45147</v>
      </c>
      <c r="C7867" s="1" t="n">
        <v>45971</v>
      </c>
      <c r="D7867" t="inlineStr">
        <is>
          <t>VÄSTERBOTTENS LÄN</t>
        </is>
      </c>
      <c r="E7867" t="inlineStr">
        <is>
          <t>LYCKSELE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24727-2025</t>
        </is>
      </c>
      <c r="B7868" s="1" t="n">
        <v>45799.33260416667</v>
      </c>
      <c r="C7868" s="1" t="n">
        <v>45971</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42051-2025</t>
        </is>
      </c>
      <c r="B7869" s="1" t="n">
        <v>45903.63274305555</v>
      </c>
      <c r="C7869" s="1" t="n">
        <v>45971</v>
      </c>
      <c r="D7869" t="inlineStr">
        <is>
          <t>VÄSTERBOTTENS LÄN</t>
        </is>
      </c>
      <c r="E7869" t="inlineStr">
        <is>
          <t>LYCKSELE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20850-2023</t>
        </is>
      </c>
      <c r="B7870" s="1" t="n">
        <v>45056</v>
      </c>
      <c r="C7870" s="1" t="n">
        <v>45971</v>
      </c>
      <c r="D7870" t="inlineStr">
        <is>
          <t>VÄSTERBOTTENS LÄN</t>
        </is>
      </c>
      <c r="E7870" t="inlineStr">
        <is>
          <t>SORSELE</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24785-2025</t>
        </is>
      </c>
      <c r="B7871" s="1" t="n">
        <v>45799</v>
      </c>
      <c r="C7871" s="1" t="n">
        <v>45971</v>
      </c>
      <c r="D7871" t="inlineStr">
        <is>
          <t>VÄSTERBOTTENS LÄN</t>
        </is>
      </c>
      <c r="E7871" t="inlineStr">
        <is>
          <t>DOROTEA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31095-2024</t>
        </is>
      </c>
      <c r="B7872" s="1" t="n">
        <v>45502</v>
      </c>
      <c r="C7872" s="1" t="n">
        <v>45971</v>
      </c>
      <c r="D7872" t="inlineStr">
        <is>
          <t>VÄSTERBOTTENS LÄN</t>
        </is>
      </c>
      <c r="E7872" t="inlineStr">
        <is>
          <t>VILHELMINA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24805-2025</t>
        </is>
      </c>
      <c r="B7873" s="1" t="n">
        <v>45799.4409375</v>
      </c>
      <c r="C7873" s="1" t="n">
        <v>45971</v>
      </c>
      <c r="D7873" t="inlineStr">
        <is>
          <t>VÄSTERBOTTENS LÄN</t>
        </is>
      </c>
      <c r="E7873" t="inlineStr">
        <is>
          <t>VÄNNÄS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25137-2025</t>
        </is>
      </c>
      <c r="B7874" s="1" t="n">
        <v>45800.39288194444</v>
      </c>
      <c r="C7874" s="1" t="n">
        <v>45971</v>
      </c>
      <c r="D7874" t="inlineStr">
        <is>
          <t>VÄSTERBOTTENS LÄN</t>
        </is>
      </c>
      <c r="E7874" t="inlineStr">
        <is>
          <t>NORDMALING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33235-2024</t>
        </is>
      </c>
      <c r="B7875" s="1" t="n">
        <v>45518.58706018519</v>
      </c>
      <c r="C7875" s="1" t="n">
        <v>45971</v>
      </c>
      <c r="D7875" t="inlineStr">
        <is>
          <t>VÄSTERBOTTENS LÄN</t>
        </is>
      </c>
      <c r="E7875" t="inlineStr">
        <is>
          <t>SORSELE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50680-2024</t>
        </is>
      </c>
      <c r="B7876" s="1" t="n">
        <v>45602</v>
      </c>
      <c r="C7876" s="1" t="n">
        <v>45971</v>
      </c>
      <c r="D7876" t="inlineStr">
        <is>
          <t>VÄSTERBOTTENS LÄN</t>
        </is>
      </c>
      <c r="E7876" t="inlineStr">
        <is>
          <t>BJURHOLM</t>
        </is>
      </c>
      <c r="F7876" t="inlineStr">
        <is>
          <t>Holmen skog AB</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25180-2025</t>
        </is>
      </c>
      <c r="B7877" s="1" t="n">
        <v>45800.44892361111</v>
      </c>
      <c r="C7877" s="1" t="n">
        <v>45971</v>
      </c>
      <c r="D7877" t="inlineStr">
        <is>
          <t>VÄSTERBOTTENS LÄN</t>
        </is>
      </c>
      <c r="E7877" t="inlineStr">
        <is>
          <t>VILHELMINA</t>
        </is>
      </c>
      <c r="F7877" t="inlineStr">
        <is>
          <t>SCA</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24729-2025</t>
        </is>
      </c>
      <c r="B7878" s="1" t="n">
        <v>45799.34076388889</v>
      </c>
      <c r="C7878" s="1" t="n">
        <v>45971</v>
      </c>
      <c r="D7878" t="inlineStr">
        <is>
          <t>VÄSTERBOTTENS LÄN</t>
        </is>
      </c>
      <c r="E7878" t="inlineStr">
        <is>
          <t>LYCKSELE</t>
        </is>
      </c>
      <c r="F7878" t="inlineStr">
        <is>
          <t>Holmen skog AB</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24756-2025</t>
        </is>
      </c>
      <c r="B7879" s="1" t="n">
        <v>45799.37510416667</v>
      </c>
      <c r="C7879" s="1" t="n">
        <v>45971</v>
      </c>
      <c r="D7879" t="inlineStr">
        <is>
          <t>VÄSTERBOTTENS LÄN</t>
        </is>
      </c>
      <c r="E7879" t="inlineStr">
        <is>
          <t>VÄNNÄS</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60980-2024</t>
        </is>
      </c>
      <c r="B7880" s="1" t="n">
        <v>45645.41027777778</v>
      </c>
      <c r="C7880" s="1" t="n">
        <v>45971</v>
      </c>
      <c r="D7880" t="inlineStr">
        <is>
          <t>VÄSTERBOTTENS LÄN</t>
        </is>
      </c>
      <c r="E7880" t="inlineStr">
        <is>
          <t>VINDELN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25356-2025</t>
        </is>
      </c>
      <c r="B7881" s="1" t="n">
        <v>45800.61635416667</v>
      </c>
      <c r="C7881" s="1" t="n">
        <v>45971</v>
      </c>
      <c r="D7881" t="inlineStr">
        <is>
          <t>VÄSTERBOTTENS LÄN</t>
        </is>
      </c>
      <c r="E7881" t="inlineStr">
        <is>
          <t>DOROTEA</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25061-2025</t>
        </is>
      </c>
      <c r="B7882" s="1" t="n">
        <v>45799.69825231482</v>
      </c>
      <c r="C7882" s="1" t="n">
        <v>45971</v>
      </c>
      <c r="D7882" t="inlineStr">
        <is>
          <t>VÄSTERBOTTENS LÄN</t>
        </is>
      </c>
      <c r="E7882" t="inlineStr">
        <is>
          <t>LYCKSELE</t>
        </is>
      </c>
      <c r="F7882" t="inlineStr">
        <is>
          <t>SCA</t>
        </is>
      </c>
      <c r="G7882" t="n">
        <v>13.7</v>
      </c>
      <c r="H7882" t="n">
        <v>0</v>
      </c>
      <c r="I7882" t="n">
        <v>0</v>
      </c>
      <c r="J7882" t="n">
        <v>0</v>
      </c>
      <c r="K7882" t="n">
        <v>0</v>
      </c>
      <c r="L7882" t="n">
        <v>0</v>
      </c>
      <c r="M7882" t="n">
        <v>0</v>
      </c>
      <c r="N7882" t="n">
        <v>0</v>
      </c>
      <c r="O7882" t="n">
        <v>0</v>
      </c>
      <c r="P7882" t="n">
        <v>0</v>
      </c>
      <c r="Q7882" t="n">
        <v>0</v>
      </c>
      <c r="R7882" s="2" t="inlineStr"/>
    </row>
    <row r="7883" ht="15" customHeight="1">
      <c r="A7883" t="inlineStr">
        <is>
          <t>A 50600-2025</t>
        </is>
      </c>
      <c r="B7883" s="1" t="n">
        <v>45945.61237268519</v>
      </c>
      <c r="C7883" s="1" t="n">
        <v>45971</v>
      </c>
      <c r="D7883" t="inlineStr">
        <is>
          <t>VÄSTERBOTTENS LÄN</t>
        </is>
      </c>
      <c r="E7883" t="inlineStr">
        <is>
          <t>SORSELE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59640-2024</t>
        </is>
      </c>
      <c r="B7884" s="1" t="n">
        <v>45639.30232638889</v>
      </c>
      <c r="C7884" s="1" t="n">
        <v>45971</v>
      </c>
      <c r="D7884" t="inlineStr">
        <is>
          <t>VÄSTERBOTTENS LÄN</t>
        </is>
      </c>
      <c r="E7884" t="inlineStr">
        <is>
          <t>SKELLEFTEÅ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24906-2025</t>
        </is>
      </c>
      <c r="B7885" s="1" t="n">
        <v>45799.5315162037</v>
      </c>
      <c r="C7885" s="1" t="n">
        <v>45971</v>
      </c>
      <c r="D7885" t="inlineStr">
        <is>
          <t>VÄSTERBOTTENS LÄN</t>
        </is>
      </c>
      <c r="E7885" t="inlineStr">
        <is>
          <t>LYCKSELE</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24921-2025</t>
        </is>
      </c>
      <c r="B7886" s="1" t="n">
        <v>45799</v>
      </c>
      <c r="C7886" s="1" t="n">
        <v>45971</v>
      </c>
      <c r="D7886" t="inlineStr">
        <is>
          <t>VÄSTERBOTTENS LÄN</t>
        </is>
      </c>
      <c r="E7886" t="inlineStr">
        <is>
          <t>DOROTEA</t>
        </is>
      </c>
      <c r="F7886" t="inlineStr">
        <is>
          <t>SCA</t>
        </is>
      </c>
      <c r="G7886" t="n">
        <v>31.5</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45799.55508101852</v>
      </c>
      <c r="C7887" s="1" t="n">
        <v>45971</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29655-2024</t>
        </is>
      </c>
      <c r="B7888" s="1" t="n">
        <v>45484</v>
      </c>
      <c r="C7888" s="1" t="n">
        <v>45971</v>
      </c>
      <c r="D7888" t="inlineStr">
        <is>
          <t>VÄSTERBOTTENS LÄN</t>
        </is>
      </c>
      <c r="E7888" t="inlineStr">
        <is>
          <t>UMEÅ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50740-2025</t>
        </is>
      </c>
      <c r="B7889" s="1" t="n">
        <v>45946.37814814815</v>
      </c>
      <c r="C7889" s="1" t="n">
        <v>45971</v>
      </c>
      <c r="D7889" t="inlineStr">
        <is>
          <t>VÄSTERBOTTENS LÄN</t>
        </is>
      </c>
      <c r="E7889" t="inlineStr">
        <is>
          <t>STORUMAN</t>
        </is>
      </c>
      <c r="G7889" t="n">
        <v>11.8</v>
      </c>
      <c r="H7889" t="n">
        <v>0</v>
      </c>
      <c r="I7889" t="n">
        <v>0</v>
      </c>
      <c r="J7889" t="n">
        <v>0</v>
      </c>
      <c r="K7889" t="n">
        <v>0</v>
      </c>
      <c r="L7889" t="n">
        <v>0</v>
      </c>
      <c r="M7889" t="n">
        <v>0</v>
      </c>
      <c r="N7889" t="n">
        <v>0</v>
      </c>
      <c r="O7889" t="n">
        <v>0</v>
      </c>
      <c r="P7889" t="n">
        <v>0</v>
      </c>
      <c r="Q7889" t="n">
        <v>0</v>
      </c>
      <c r="R7889" s="2" t="inlineStr"/>
    </row>
    <row r="7890" ht="15" customHeight="1">
      <c r="A7890" t="inlineStr">
        <is>
          <t>A 50790-2025</t>
        </is>
      </c>
      <c r="B7890" s="1" t="n">
        <v>45946.47287037037</v>
      </c>
      <c r="C7890" s="1" t="n">
        <v>45971</v>
      </c>
      <c r="D7890" t="inlineStr">
        <is>
          <t>VÄSTERBOTTENS LÄN</t>
        </is>
      </c>
      <c r="E7890" t="inlineStr">
        <is>
          <t>UMEÅ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23458-2023</t>
        </is>
      </c>
      <c r="B7891" s="1" t="n">
        <v>45076.61943287037</v>
      </c>
      <c r="C7891" s="1" t="n">
        <v>45971</v>
      </c>
      <c r="D7891" t="inlineStr">
        <is>
          <t>VÄSTERBOTTENS LÄN</t>
        </is>
      </c>
      <c r="E7891" t="inlineStr">
        <is>
          <t>SKELLEFTEÅ</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29375-2023</t>
        </is>
      </c>
      <c r="B7892" s="1" t="n">
        <v>45098</v>
      </c>
      <c r="C7892" s="1" t="n">
        <v>45971</v>
      </c>
      <c r="D7892" t="inlineStr">
        <is>
          <t>VÄSTERBOTTENS LÄN</t>
        </is>
      </c>
      <c r="E7892" t="inlineStr">
        <is>
          <t>MALÅ</t>
        </is>
      </c>
      <c r="G7892" t="n">
        <v>10.5</v>
      </c>
      <c r="H7892" t="n">
        <v>0</v>
      </c>
      <c r="I7892" t="n">
        <v>0</v>
      </c>
      <c r="J7892" t="n">
        <v>0</v>
      </c>
      <c r="K7892" t="n">
        <v>0</v>
      </c>
      <c r="L7892" t="n">
        <v>0</v>
      </c>
      <c r="M7892" t="n">
        <v>0</v>
      </c>
      <c r="N7892" t="n">
        <v>0</v>
      </c>
      <c r="O7892" t="n">
        <v>0</v>
      </c>
      <c r="P7892" t="n">
        <v>0</v>
      </c>
      <c r="Q7892" t="n">
        <v>0</v>
      </c>
      <c r="R7892" s="2" t="inlineStr"/>
    </row>
    <row r="7893" ht="15" customHeight="1">
      <c r="A7893" t="inlineStr">
        <is>
          <t>A 55615-2024</t>
        </is>
      </c>
      <c r="B7893" s="1" t="n">
        <v>45622.58969907407</v>
      </c>
      <c r="C7893" s="1" t="n">
        <v>45971</v>
      </c>
      <c r="D7893" t="inlineStr">
        <is>
          <t>VÄSTERBOTTENS LÄN</t>
        </is>
      </c>
      <c r="E7893" t="inlineStr">
        <is>
          <t>ÅSELE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17587-2024</t>
        </is>
      </c>
      <c r="B7894" s="1" t="n">
        <v>45415.94033564815</v>
      </c>
      <c r="C7894" s="1" t="n">
        <v>45971</v>
      </c>
      <c r="D7894" t="inlineStr">
        <is>
          <t>VÄSTERBOTTENS LÄN</t>
        </is>
      </c>
      <c r="E7894" t="inlineStr">
        <is>
          <t>VILHELMINA</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25201-2025</t>
        </is>
      </c>
      <c r="B7895" s="1" t="n">
        <v>45800.4647337963</v>
      </c>
      <c r="C7895" s="1" t="n">
        <v>45971</v>
      </c>
      <c r="D7895" t="inlineStr">
        <is>
          <t>VÄSTERBOTTENS LÄN</t>
        </is>
      </c>
      <c r="E7895" t="inlineStr">
        <is>
          <t>ROBERTSFORS</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50997-2024</t>
        </is>
      </c>
      <c r="B7896" s="1" t="n">
        <v>45603.3777662037</v>
      </c>
      <c r="C7896" s="1" t="n">
        <v>45971</v>
      </c>
      <c r="D7896" t="inlineStr">
        <is>
          <t>VÄSTERBOTTENS LÄN</t>
        </is>
      </c>
      <c r="E7896" t="inlineStr">
        <is>
          <t>VINDELN</t>
        </is>
      </c>
      <c r="F7896" t="inlineStr">
        <is>
          <t>Holmen skog AB</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23769-2023</t>
        </is>
      </c>
      <c r="B7897" s="1" t="n">
        <v>45077.94409722222</v>
      </c>
      <c r="C7897" s="1" t="n">
        <v>45971</v>
      </c>
      <c r="D7897" t="inlineStr">
        <is>
          <t>VÄSTERBOTTENS LÄN</t>
        </is>
      </c>
      <c r="E7897" t="inlineStr">
        <is>
          <t>LYCKSELE</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48116-2024</t>
        </is>
      </c>
      <c r="B7898" s="1" t="n">
        <v>45589.634375</v>
      </c>
      <c r="C7898" s="1" t="n">
        <v>45971</v>
      </c>
      <c r="D7898" t="inlineStr">
        <is>
          <t>VÄSTERBOTTENS LÄN</t>
        </is>
      </c>
      <c r="E7898" t="inlineStr">
        <is>
          <t>SKELLEFTEÅ</t>
        </is>
      </c>
      <c r="F7898" t="inlineStr">
        <is>
          <t>Kommuner</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48135-2024</t>
        </is>
      </c>
      <c r="B7899" s="1" t="n">
        <v>45589.65295138889</v>
      </c>
      <c r="C7899" s="1" t="n">
        <v>45971</v>
      </c>
      <c r="D7899" t="inlineStr">
        <is>
          <t>VÄSTERBOTTENS LÄN</t>
        </is>
      </c>
      <c r="E7899" t="inlineStr">
        <is>
          <t>VINDELN</t>
        </is>
      </c>
      <c r="F7899" t="inlineStr">
        <is>
          <t>Holmen skog AB</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25688-2025</t>
        </is>
      </c>
      <c r="B7900" s="1" t="n">
        <v>45800</v>
      </c>
      <c r="C7900" s="1" t="n">
        <v>45971</v>
      </c>
      <c r="D7900" t="inlineStr">
        <is>
          <t>VÄSTERBOTTENS LÄN</t>
        </is>
      </c>
      <c r="E7900" t="inlineStr">
        <is>
          <t>SKELLEFTEÅ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41907-2025</t>
        </is>
      </c>
      <c r="B7901" s="1" t="n">
        <v>45903.40694444445</v>
      </c>
      <c r="C7901" s="1" t="n">
        <v>45971</v>
      </c>
      <c r="D7901" t="inlineStr">
        <is>
          <t>VÄSTERBOTTENS LÄN</t>
        </is>
      </c>
      <c r="E7901" t="inlineStr">
        <is>
          <t>DOROTEA</t>
        </is>
      </c>
      <c r="F7901" t="inlineStr">
        <is>
          <t>Övriga Aktiebolag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41910-2025</t>
        </is>
      </c>
      <c r="B7902" s="1" t="n">
        <v>45903.40789351852</v>
      </c>
      <c r="C7902" s="1" t="n">
        <v>45971</v>
      </c>
      <c r="D7902" t="inlineStr">
        <is>
          <t>VÄSTERBOTTENS LÄN</t>
        </is>
      </c>
      <c r="E7902" t="inlineStr">
        <is>
          <t>SKELLEFTEÅ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37785-2023</t>
        </is>
      </c>
      <c r="B7903" s="1" t="n">
        <v>45159</v>
      </c>
      <c r="C7903" s="1" t="n">
        <v>45971</v>
      </c>
      <c r="D7903" t="inlineStr">
        <is>
          <t>VÄSTERBOTTENS LÄN</t>
        </is>
      </c>
      <c r="E7903" t="inlineStr">
        <is>
          <t>MALÅ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37816-2023</t>
        </is>
      </c>
      <c r="B7904" s="1" t="n">
        <v>45159.94234953704</v>
      </c>
      <c r="C7904" s="1" t="n">
        <v>45971</v>
      </c>
      <c r="D7904" t="inlineStr">
        <is>
          <t>VÄSTERBOTTENS LÄN</t>
        </is>
      </c>
      <c r="E7904" t="inlineStr">
        <is>
          <t>SORSELE</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25403-2025</t>
        </is>
      </c>
      <c r="B7905" s="1" t="n">
        <v>45800.65652777778</v>
      </c>
      <c r="C7905" s="1" t="n">
        <v>45971</v>
      </c>
      <c r="D7905" t="inlineStr">
        <is>
          <t>VÄSTERBOTTENS LÄN</t>
        </is>
      </c>
      <c r="E7905" t="inlineStr">
        <is>
          <t>SKELLEFTEÅ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25405-2025</t>
        </is>
      </c>
      <c r="B7906" s="1" t="n">
        <v>45800.65744212963</v>
      </c>
      <c r="C7906" s="1" t="n">
        <v>45971</v>
      </c>
      <c r="D7906" t="inlineStr">
        <is>
          <t>VÄSTERBOTTENS LÄN</t>
        </is>
      </c>
      <c r="E7906" t="inlineStr">
        <is>
          <t>BJURHOLM</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25417-2025</t>
        </is>
      </c>
      <c r="B7907" s="1" t="n">
        <v>45800.67762731481</v>
      </c>
      <c r="C7907" s="1" t="n">
        <v>45971</v>
      </c>
      <c r="D7907" t="inlineStr">
        <is>
          <t>VÄSTERBOTTENS LÄN</t>
        </is>
      </c>
      <c r="E7907" t="inlineStr">
        <is>
          <t>ÅSELE</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42276-2025</t>
        </is>
      </c>
      <c r="B7908" s="1" t="n">
        <v>45904.61506944444</v>
      </c>
      <c r="C7908" s="1" t="n">
        <v>45971</v>
      </c>
      <c r="D7908" t="inlineStr">
        <is>
          <t>VÄSTERBOTTENS LÄN</t>
        </is>
      </c>
      <c r="E7908" t="inlineStr">
        <is>
          <t>ÅSELE</t>
        </is>
      </c>
      <c r="F7908" t="inlineStr">
        <is>
          <t>SCA</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42302-2025</t>
        </is>
      </c>
      <c r="B7909" s="1" t="n">
        <v>45904.64270833333</v>
      </c>
      <c r="C7909" s="1" t="n">
        <v>45971</v>
      </c>
      <c r="D7909" t="inlineStr">
        <is>
          <t>VÄSTERBOTTENS LÄN</t>
        </is>
      </c>
      <c r="E7909" t="inlineStr">
        <is>
          <t>ROBERTSFORS</t>
        </is>
      </c>
      <c r="F7909" t="inlineStr">
        <is>
          <t>Holmen skog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50413-2024</t>
        </is>
      </c>
      <c r="B7910" s="1" t="n">
        <v>45601.37128472222</v>
      </c>
      <c r="C7910" s="1" t="n">
        <v>45971</v>
      </c>
      <c r="D7910" t="inlineStr">
        <is>
          <t>VÄSTERBOTTENS LÄN</t>
        </is>
      </c>
      <c r="E7910" t="inlineStr">
        <is>
          <t>VÄNNÄS</t>
        </is>
      </c>
      <c r="F7910" t="inlineStr">
        <is>
          <t>Holmen skog AB</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25046-2025</t>
        </is>
      </c>
      <c r="B7911" s="1" t="n">
        <v>45799.6671412037</v>
      </c>
      <c r="C7911" s="1" t="n">
        <v>45971</v>
      </c>
      <c r="D7911" t="inlineStr">
        <is>
          <t>VÄSTERBOTTENS LÄN</t>
        </is>
      </c>
      <c r="E7911" t="inlineStr">
        <is>
          <t>SKELLEFTEÅ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40676-2024</t>
        </is>
      </c>
      <c r="B7912" s="1" t="n">
        <v>45558.36774305555</v>
      </c>
      <c r="C7912" s="1" t="n">
        <v>45971</v>
      </c>
      <c r="D7912" t="inlineStr">
        <is>
          <t>VÄSTERBOTTENS LÄN</t>
        </is>
      </c>
      <c r="E7912" t="inlineStr">
        <is>
          <t>STORUMAN</t>
        </is>
      </c>
      <c r="F7912" t="inlineStr">
        <is>
          <t>Holmen skog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51875-2024</t>
        </is>
      </c>
      <c r="B7913" s="1" t="n">
        <v>45607.55600694445</v>
      </c>
      <c r="C7913" s="1" t="n">
        <v>45971</v>
      </c>
      <c r="D7913" t="inlineStr">
        <is>
          <t>VÄSTERBOTTENS LÄN</t>
        </is>
      </c>
      <c r="E7913" t="inlineStr">
        <is>
          <t>ROBERTSFORS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44240-2024</t>
        </is>
      </c>
      <c r="B7914" s="1" t="n">
        <v>45573.42513888889</v>
      </c>
      <c r="C7914" s="1" t="n">
        <v>45971</v>
      </c>
      <c r="D7914" t="inlineStr">
        <is>
          <t>VÄSTERBOTTENS LÄN</t>
        </is>
      </c>
      <c r="E7914" t="inlineStr">
        <is>
          <t>SKELLEFTEÅ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42749-2023</t>
        </is>
      </c>
      <c r="B7915" s="1" t="n">
        <v>45177</v>
      </c>
      <c r="C7915" s="1" t="n">
        <v>45971</v>
      </c>
      <c r="D7915" t="inlineStr">
        <is>
          <t>VÄSTERBOTTENS LÄN</t>
        </is>
      </c>
      <c r="E7915" t="inlineStr">
        <is>
          <t>SORSELE</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7777-2024</t>
        </is>
      </c>
      <c r="B7916" s="1" t="n">
        <v>45349</v>
      </c>
      <c r="C7916" s="1" t="n">
        <v>45971</v>
      </c>
      <c r="D7916" t="inlineStr">
        <is>
          <t>VÄSTERBOTTENS LÄN</t>
        </is>
      </c>
      <c r="E7916" t="inlineStr">
        <is>
          <t>VILHELMINA</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42789-2023</t>
        </is>
      </c>
      <c r="B7917" s="1" t="n">
        <v>45181</v>
      </c>
      <c r="C7917" s="1" t="n">
        <v>45971</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25416-2025</t>
        </is>
      </c>
      <c r="B7918" s="1" t="n">
        <v>45800.67747685185</v>
      </c>
      <c r="C7918" s="1" t="n">
        <v>45971</v>
      </c>
      <c r="D7918" t="inlineStr">
        <is>
          <t>VÄSTERBOTTENS LÄN</t>
        </is>
      </c>
      <c r="E7918" t="inlineStr">
        <is>
          <t>DOROTEA</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50504-2024</t>
        </is>
      </c>
      <c r="B7919" s="1" t="n">
        <v>45601</v>
      </c>
      <c r="C7919" s="1" t="n">
        <v>45971</v>
      </c>
      <c r="D7919" t="inlineStr">
        <is>
          <t>VÄSTERBOTTENS LÄN</t>
        </is>
      </c>
      <c r="E7919" t="inlineStr">
        <is>
          <t>MALÅ</t>
        </is>
      </c>
      <c r="F7919" t="inlineStr">
        <is>
          <t>SCA</t>
        </is>
      </c>
      <c r="G7919" t="n">
        <v>25.9</v>
      </c>
      <c r="H7919" t="n">
        <v>0</v>
      </c>
      <c r="I7919" t="n">
        <v>0</v>
      </c>
      <c r="J7919" t="n">
        <v>0</v>
      </c>
      <c r="K7919" t="n">
        <v>0</v>
      </c>
      <c r="L7919" t="n">
        <v>0</v>
      </c>
      <c r="M7919" t="n">
        <v>0</v>
      </c>
      <c r="N7919" t="n">
        <v>0</v>
      </c>
      <c r="O7919" t="n">
        <v>0</v>
      </c>
      <c r="P7919" t="n">
        <v>0</v>
      </c>
      <c r="Q7919" t="n">
        <v>0</v>
      </c>
      <c r="R7919" s="2" t="inlineStr"/>
    </row>
    <row r="7920" ht="15" customHeight="1">
      <c r="A7920" t="inlineStr">
        <is>
          <t>A 42248-2025</t>
        </is>
      </c>
      <c r="B7920" s="1" t="n">
        <v>45903</v>
      </c>
      <c r="C7920" s="1" t="n">
        <v>45971</v>
      </c>
      <c r="D7920" t="inlineStr">
        <is>
          <t>VÄSTERBOTTENS LÄN</t>
        </is>
      </c>
      <c r="E7920" t="inlineStr">
        <is>
          <t>SKELLEFTEÅ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16977-2024</t>
        </is>
      </c>
      <c r="B7921" s="1" t="n">
        <v>45412.02377314815</v>
      </c>
      <c r="C7921" s="1" t="n">
        <v>45971</v>
      </c>
      <c r="D7921" t="inlineStr">
        <is>
          <t>VÄSTERBOTTENS LÄN</t>
        </is>
      </c>
      <c r="E7921" t="inlineStr">
        <is>
          <t>SKELLEFTEÅ</t>
        </is>
      </c>
      <c r="F7921" t="inlineStr">
        <is>
          <t>SCA</t>
        </is>
      </c>
      <c r="G7921" t="n">
        <v>16.8</v>
      </c>
      <c r="H7921" t="n">
        <v>0</v>
      </c>
      <c r="I7921" t="n">
        <v>0</v>
      </c>
      <c r="J7921" t="n">
        <v>0</v>
      </c>
      <c r="K7921" t="n">
        <v>0</v>
      </c>
      <c r="L7921" t="n">
        <v>0</v>
      </c>
      <c r="M7921" t="n">
        <v>0</v>
      </c>
      <c r="N7921" t="n">
        <v>0</v>
      </c>
      <c r="O7921" t="n">
        <v>0</v>
      </c>
      <c r="P7921" t="n">
        <v>0</v>
      </c>
      <c r="Q7921" t="n">
        <v>0</v>
      </c>
      <c r="R7921" s="2" t="inlineStr"/>
    </row>
    <row r="7922" ht="15" customHeight="1">
      <c r="A7922" t="inlineStr">
        <is>
          <t>A 25162-2025</t>
        </is>
      </c>
      <c r="B7922" s="1" t="n">
        <v>45800.43075231482</v>
      </c>
      <c r="C7922" s="1" t="n">
        <v>45971</v>
      </c>
      <c r="D7922" t="inlineStr">
        <is>
          <t>VÄSTERBOTTENS LÄN</t>
        </is>
      </c>
      <c r="E7922" t="inlineStr">
        <is>
          <t>NORDMALING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25411-2025</t>
        </is>
      </c>
      <c r="B7923" s="1" t="n">
        <v>45800.66145833334</v>
      </c>
      <c r="C7923" s="1" t="n">
        <v>45971</v>
      </c>
      <c r="D7923" t="inlineStr">
        <is>
          <t>VÄSTERBOTTENS LÄN</t>
        </is>
      </c>
      <c r="E7923" t="inlineStr">
        <is>
          <t>ÅSELE</t>
        </is>
      </c>
      <c r="F7923" t="inlineStr">
        <is>
          <t>Sveaskog</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65379-2020</t>
        </is>
      </c>
      <c r="B7924" s="1" t="n">
        <v>44173</v>
      </c>
      <c r="C7924" s="1" t="n">
        <v>45971</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24762-2025</t>
        </is>
      </c>
      <c r="B7925" s="1" t="n">
        <v>45799.38585648148</v>
      </c>
      <c r="C7925" s="1" t="n">
        <v>45971</v>
      </c>
      <c r="D7925" t="inlineStr">
        <is>
          <t>VÄSTERBOTTENS LÄN</t>
        </is>
      </c>
      <c r="E7925" t="inlineStr">
        <is>
          <t>ÅSELE</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24770-2025</t>
        </is>
      </c>
      <c r="B7926" s="1" t="n">
        <v>45799.39927083333</v>
      </c>
      <c r="C7926" s="1" t="n">
        <v>45971</v>
      </c>
      <c r="D7926" t="inlineStr">
        <is>
          <t>VÄSTERBOTTENS LÄN</t>
        </is>
      </c>
      <c r="E7926" t="inlineStr">
        <is>
          <t>LYCKSELE</t>
        </is>
      </c>
      <c r="F7926" t="inlineStr">
        <is>
          <t>Holmen skog AB</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24870-2025</t>
        </is>
      </c>
      <c r="B7927" s="1" t="n">
        <v>45799.49025462963</v>
      </c>
      <c r="C7927" s="1" t="n">
        <v>45971</v>
      </c>
      <c r="D7927" t="inlineStr">
        <is>
          <t>VÄSTERBOTTENS LÄN</t>
        </is>
      </c>
      <c r="E7927" t="inlineStr">
        <is>
          <t>VILHELMINA</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24873-2025</t>
        </is>
      </c>
      <c r="B7928" s="1" t="n">
        <v>45799</v>
      </c>
      <c r="C7928" s="1" t="n">
        <v>45971</v>
      </c>
      <c r="D7928" t="inlineStr">
        <is>
          <t>VÄSTERBOTTENS LÄN</t>
        </is>
      </c>
      <c r="E7928" t="inlineStr">
        <is>
          <t>DOROTEA</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40607-2023</t>
        </is>
      </c>
      <c r="B7929" s="1" t="n">
        <v>45170</v>
      </c>
      <c r="C7929" s="1" t="n">
        <v>45971</v>
      </c>
      <c r="D7929" t="inlineStr">
        <is>
          <t>VÄSTERBOTTENS LÄN</t>
        </is>
      </c>
      <c r="E7929" t="inlineStr">
        <is>
          <t>MALÅ</t>
        </is>
      </c>
      <c r="F7929" t="inlineStr">
        <is>
          <t>Sveaskog</t>
        </is>
      </c>
      <c r="G7929" t="n">
        <v>14.7</v>
      </c>
      <c r="H7929" t="n">
        <v>0</v>
      </c>
      <c r="I7929" t="n">
        <v>0</v>
      </c>
      <c r="J7929" t="n">
        <v>0</v>
      </c>
      <c r="K7929" t="n">
        <v>0</v>
      </c>
      <c r="L7929" t="n">
        <v>0</v>
      </c>
      <c r="M7929" t="n">
        <v>0</v>
      </c>
      <c r="N7929" t="n">
        <v>0</v>
      </c>
      <c r="O7929" t="n">
        <v>0</v>
      </c>
      <c r="P7929" t="n">
        <v>0</v>
      </c>
      <c r="Q7929" t="n">
        <v>0</v>
      </c>
      <c r="R7929" s="2" t="inlineStr"/>
    </row>
    <row r="7930" ht="15" customHeight="1">
      <c r="A7930" t="inlineStr">
        <is>
          <t>A 24780-2025</t>
        </is>
      </c>
      <c r="B7930" s="1" t="n">
        <v>45799</v>
      </c>
      <c r="C7930" s="1" t="n">
        <v>45971</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47-2025</t>
        </is>
      </c>
      <c r="B7931" s="1" t="n">
        <v>45659</v>
      </c>
      <c r="C7931" s="1" t="n">
        <v>45971</v>
      </c>
      <c r="D7931" t="inlineStr">
        <is>
          <t>VÄSTERBOTTENS LÄN</t>
        </is>
      </c>
      <c r="E7931" t="inlineStr">
        <is>
          <t>VÄNNÄS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25205-2025</t>
        </is>
      </c>
      <c r="B7932" s="1" t="n">
        <v>45800.46907407408</v>
      </c>
      <c r="C7932" s="1" t="n">
        <v>45971</v>
      </c>
      <c r="D7932" t="inlineStr">
        <is>
          <t>VÄSTERBOTTENS LÄN</t>
        </is>
      </c>
      <c r="E7932" t="inlineStr">
        <is>
          <t>VÄNNÄS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25239-2025</t>
        </is>
      </c>
      <c r="B7933" s="1" t="n">
        <v>45800</v>
      </c>
      <c r="C7933" s="1" t="n">
        <v>45971</v>
      </c>
      <c r="D7933" t="inlineStr">
        <is>
          <t>VÄSTERBOTTENS LÄN</t>
        </is>
      </c>
      <c r="E7933" t="inlineStr">
        <is>
          <t>VILHELMINA</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47887-2023</t>
        </is>
      </c>
      <c r="B7934" s="1" t="n">
        <v>45198</v>
      </c>
      <c r="C7934" s="1" t="n">
        <v>45971</v>
      </c>
      <c r="D7934" t="inlineStr">
        <is>
          <t>VÄSTERBOTTENS LÄN</t>
        </is>
      </c>
      <c r="E7934" t="inlineStr">
        <is>
          <t>SORSELE</t>
        </is>
      </c>
      <c r="F7934" t="inlineStr">
        <is>
          <t>Övriga statliga verk och myndigheter</t>
        </is>
      </c>
      <c r="G7934" t="n">
        <v>20.4</v>
      </c>
      <c r="H7934" t="n">
        <v>0</v>
      </c>
      <c r="I7934" t="n">
        <v>0</v>
      </c>
      <c r="J7934" t="n">
        <v>0</v>
      </c>
      <c r="K7934" t="n">
        <v>0</v>
      </c>
      <c r="L7934" t="n">
        <v>0</v>
      </c>
      <c r="M7934" t="n">
        <v>0</v>
      </c>
      <c r="N7934" t="n">
        <v>0</v>
      </c>
      <c r="O7934" t="n">
        <v>0</v>
      </c>
      <c r="P7934" t="n">
        <v>0</v>
      </c>
      <c r="Q7934" t="n">
        <v>0</v>
      </c>
      <c r="R7934" s="2" t="inlineStr"/>
    </row>
    <row r="7935" ht="15" customHeight="1">
      <c r="A7935" t="inlineStr">
        <is>
          <t>A 24728-2025</t>
        </is>
      </c>
      <c r="B7935" s="1" t="n">
        <v>45799</v>
      </c>
      <c r="C7935" s="1" t="n">
        <v>45971</v>
      </c>
      <c r="D7935" t="inlineStr">
        <is>
          <t>VÄSTERBOTTENS LÄN</t>
        </is>
      </c>
      <c r="E7935" t="inlineStr">
        <is>
          <t>SKELLEFTEÅ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3045-2024</t>
        </is>
      </c>
      <c r="B7936" s="1" t="n">
        <v>45316</v>
      </c>
      <c r="C7936" s="1" t="n">
        <v>45971</v>
      </c>
      <c r="D7936" t="inlineStr">
        <is>
          <t>VÄSTERBOTTENS LÄN</t>
        </is>
      </c>
      <c r="E7936" t="inlineStr">
        <is>
          <t>SKELLEFTEÅ</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67-2025</t>
        </is>
      </c>
      <c r="B7937" s="1" t="n">
        <v>45659</v>
      </c>
      <c r="C7937" s="1" t="n">
        <v>45971</v>
      </c>
      <c r="D7937" t="inlineStr">
        <is>
          <t>VÄSTERBOTTENS LÄN</t>
        </is>
      </c>
      <c r="E7937" t="inlineStr">
        <is>
          <t>DOROTEA</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38290-2024</t>
        </is>
      </c>
      <c r="B7938" s="1" t="n">
        <v>45545.616875</v>
      </c>
      <c r="C7938" s="1" t="n">
        <v>45971</v>
      </c>
      <c r="D7938" t="inlineStr">
        <is>
          <t>VÄSTERBOTTENS LÄN</t>
        </is>
      </c>
      <c r="E7938" t="inlineStr">
        <is>
          <t>SORSELE</t>
        </is>
      </c>
      <c r="G7938" t="n">
        <v>27.3</v>
      </c>
      <c r="H7938" t="n">
        <v>0</v>
      </c>
      <c r="I7938" t="n">
        <v>0</v>
      </c>
      <c r="J7938" t="n">
        <v>0</v>
      </c>
      <c r="K7938" t="n">
        <v>0</v>
      </c>
      <c r="L7938" t="n">
        <v>0</v>
      </c>
      <c r="M7938" t="n">
        <v>0</v>
      </c>
      <c r="N7938" t="n">
        <v>0</v>
      </c>
      <c r="O7938" t="n">
        <v>0</v>
      </c>
      <c r="P7938" t="n">
        <v>0</v>
      </c>
      <c r="Q7938" t="n">
        <v>0</v>
      </c>
      <c r="R7938" s="2" t="inlineStr"/>
    </row>
    <row r="7939" ht="15" customHeight="1">
      <c r="A7939" t="inlineStr">
        <is>
          <t>A 25309-2025</t>
        </is>
      </c>
      <c r="B7939" s="1" t="n">
        <v>45800.57380787037</v>
      </c>
      <c r="C7939" s="1" t="n">
        <v>45971</v>
      </c>
      <c r="D7939" t="inlineStr">
        <is>
          <t>VÄSTERBOTTENS LÄN</t>
        </is>
      </c>
      <c r="E7939" t="inlineStr">
        <is>
          <t>VILHELMINA</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3059-2024</t>
        </is>
      </c>
      <c r="B7940" s="1" t="n">
        <v>45316</v>
      </c>
      <c r="C7940" s="1" t="n">
        <v>45971</v>
      </c>
      <c r="D7940" t="inlineStr">
        <is>
          <t>VÄSTERBOTTENS LÄN</t>
        </is>
      </c>
      <c r="E7940" t="inlineStr">
        <is>
          <t>ÅSELE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42304-2024</t>
        </is>
      </c>
      <c r="B7941" s="1" t="n">
        <v>45562</v>
      </c>
      <c r="C7941" s="1" t="n">
        <v>45971</v>
      </c>
      <c r="D7941" t="inlineStr">
        <is>
          <t>VÄSTERBOTTENS LÄN</t>
        </is>
      </c>
      <c r="E7941" t="inlineStr">
        <is>
          <t>ÅSELE</t>
        </is>
      </c>
      <c r="F7941" t="inlineStr">
        <is>
          <t>Holmen skog AB</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11199-2024</t>
        </is>
      </c>
      <c r="B7942" s="1" t="n">
        <v>45371.55444444445</v>
      </c>
      <c r="C7942" s="1" t="n">
        <v>45971</v>
      </c>
      <c r="D7942" t="inlineStr">
        <is>
          <t>VÄSTERBOTTENS LÄN</t>
        </is>
      </c>
      <c r="E7942" t="inlineStr">
        <is>
          <t>LYCKSELE</t>
        </is>
      </c>
      <c r="F7942" t="inlineStr">
        <is>
          <t>Holmen skog AB</t>
        </is>
      </c>
      <c r="G7942" t="n">
        <v>55.8</v>
      </c>
      <c r="H7942" t="n">
        <v>0</v>
      </c>
      <c r="I7942" t="n">
        <v>0</v>
      </c>
      <c r="J7942" t="n">
        <v>0</v>
      </c>
      <c r="K7942" t="n">
        <v>0</v>
      </c>
      <c r="L7942" t="n">
        <v>0</v>
      </c>
      <c r="M7942" t="n">
        <v>0</v>
      </c>
      <c r="N7942" t="n">
        <v>0</v>
      </c>
      <c r="O7942" t="n">
        <v>0</v>
      </c>
      <c r="P7942" t="n">
        <v>0</v>
      </c>
      <c r="Q7942" t="n">
        <v>0</v>
      </c>
      <c r="R7942" s="2" t="inlineStr"/>
    </row>
    <row r="7943" ht="15" customHeight="1">
      <c r="A7943" t="inlineStr">
        <is>
          <t>A 51152-2024</t>
        </is>
      </c>
      <c r="B7943" s="1" t="n">
        <v>45603</v>
      </c>
      <c r="C7943" s="1" t="n">
        <v>45971</v>
      </c>
      <c r="D7943" t="inlineStr">
        <is>
          <t>VÄSTERBOTTENS LÄN</t>
        </is>
      </c>
      <c r="E7943" t="inlineStr">
        <is>
          <t>LYCKSELE</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25131-2025</t>
        </is>
      </c>
      <c r="B7944" s="1" t="n">
        <v>45800.38581018519</v>
      </c>
      <c r="C7944" s="1" t="n">
        <v>45971</v>
      </c>
      <c r="D7944" t="inlineStr">
        <is>
          <t>VÄSTERBOTTENS LÄN</t>
        </is>
      </c>
      <c r="E7944" t="inlineStr">
        <is>
          <t>DOROTEA</t>
        </is>
      </c>
      <c r="F7944" t="inlineStr">
        <is>
          <t>SCA</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42204-2025</t>
        </is>
      </c>
      <c r="B7945" s="1" t="n">
        <v>45904.49043981481</v>
      </c>
      <c r="C7945" s="1" t="n">
        <v>45971</v>
      </c>
      <c r="D7945" t="inlineStr">
        <is>
          <t>VÄSTERBOTTENS LÄN</t>
        </is>
      </c>
      <c r="E7945" t="inlineStr">
        <is>
          <t>UMEÅ</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2409-2024</t>
        </is>
      </c>
      <c r="B7946" s="1" t="n">
        <v>45308</v>
      </c>
      <c r="C7946" s="1" t="n">
        <v>45971</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24935-2025</t>
        </is>
      </c>
      <c r="B7947" s="1" t="n">
        <v>45799.55739583333</v>
      </c>
      <c r="C7947" s="1" t="n">
        <v>45971</v>
      </c>
      <c r="D7947" t="inlineStr">
        <is>
          <t>VÄSTERBOTTENS LÄN</t>
        </is>
      </c>
      <c r="E7947" t="inlineStr">
        <is>
          <t>NORSJÖ</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25373-2025</t>
        </is>
      </c>
      <c r="B7948" s="1" t="n">
        <v>45800.63518518519</v>
      </c>
      <c r="C7948" s="1" t="n">
        <v>45971</v>
      </c>
      <c r="D7948" t="inlineStr">
        <is>
          <t>VÄSTERBOTTENS LÄN</t>
        </is>
      </c>
      <c r="E7948" t="inlineStr">
        <is>
          <t>ROBERTSFORS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48470-2023</t>
        </is>
      </c>
      <c r="B7949" s="1" t="n">
        <v>45206.95747685185</v>
      </c>
      <c r="C7949" s="1" t="n">
        <v>45971</v>
      </c>
      <c r="D7949" t="inlineStr">
        <is>
          <t>VÄSTERBOTTENS LÄN</t>
        </is>
      </c>
      <c r="E7949" t="inlineStr">
        <is>
          <t>VILHELMINA</t>
        </is>
      </c>
      <c r="F7949" t="inlineStr">
        <is>
          <t>SCA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25394-2025</t>
        </is>
      </c>
      <c r="B7950" s="1" t="n">
        <v>45800.64912037037</v>
      </c>
      <c r="C7950" s="1" t="n">
        <v>45971</v>
      </c>
      <c r="D7950" t="inlineStr">
        <is>
          <t>VÄSTERBOTTENS LÄN</t>
        </is>
      </c>
      <c r="E7950" t="inlineStr">
        <is>
          <t>ÅSELE</t>
        </is>
      </c>
      <c r="F7950" t="inlineStr">
        <is>
          <t>Sveaskog</t>
        </is>
      </c>
      <c r="G7950" t="n">
        <v>10.9</v>
      </c>
      <c r="H7950" t="n">
        <v>0</v>
      </c>
      <c r="I7950" t="n">
        <v>0</v>
      </c>
      <c r="J7950" t="n">
        <v>0</v>
      </c>
      <c r="K7950" t="n">
        <v>0</v>
      </c>
      <c r="L7950" t="n">
        <v>0</v>
      </c>
      <c r="M7950" t="n">
        <v>0</v>
      </c>
      <c r="N7950" t="n">
        <v>0</v>
      </c>
      <c r="O7950" t="n">
        <v>0</v>
      </c>
      <c r="P7950" t="n">
        <v>0</v>
      </c>
      <c r="Q7950" t="n">
        <v>0</v>
      </c>
      <c r="R7950" s="2" t="inlineStr"/>
    </row>
    <row r="7951" ht="15" customHeight="1">
      <c r="A7951" t="inlineStr">
        <is>
          <t>A 52680-2023</t>
        </is>
      </c>
      <c r="B7951" s="1" t="n">
        <v>45219</v>
      </c>
      <c r="C7951" s="1" t="n">
        <v>45971</v>
      </c>
      <c r="D7951" t="inlineStr">
        <is>
          <t>VÄSTERBOTTENS LÄN</t>
        </is>
      </c>
      <c r="E7951" t="inlineStr">
        <is>
          <t>STORUMAN</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14089-2023</t>
        </is>
      </c>
      <c r="B7952" s="1" t="n">
        <v>45009.33761574074</v>
      </c>
      <c r="C7952" s="1" t="n">
        <v>45971</v>
      </c>
      <c r="D7952" t="inlineStr">
        <is>
          <t>VÄSTERBOTTENS LÄN</t>
        </is>
      </c>
      <c r="E7952" t="inlineStr">
        <is>
          <t>SKELLEFTEÅ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2804-2025</t>
        </is>
      </c>
      <c r="B7953" s="1" t="n">
        <v>45677.58578703704</v>
      </c>
      <c r="C7953" s="1" t="n">
        <v>45971</v>
      </c>
      <c r="D7953" t="inlineStr">
        <is>
          <t>VÄSTERBOTTENS LÄN</t>
        </is>
      </c>
      <c r="E7953" t="inlineStr">
        <is>
          <t>VINDELN</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18232-2024</t>
        </is>
      </c>
      <c r="B7954" s="1" t="n">
        <v>45420</v>
      </c>
      <c r="C7954" s="1" t="n">
        <v>45971</v>
      </c>
      <c r="D7954" t="inlineStr">
        <is>
          <t>VÄSTERBOTTENS LÄN</t>
        </is>
      </c>
      <c r="E7954" t="inlineStr">
        <is>
          <t>NORDMALING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12842-2025</t>
        </is>
      </c>
      <c r="B7955" s="1" t="n">
        <v>45733.64532407407</v>
      </c>
      <c r="C7955" s="1" t="n">
        <v>45971</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46318-2022</t>
        </is>
      </c>
      <c r="B7956" s="1" t="n">
        <v>44847</v>
      </c>
      <c r="C7956" s="1" t="n">
        <v>45971</v>
      </c>
      <c r="D7956" t="inlineStr">
        <is>
          <t>VÄSTERBOTTENS LÄN</t>
        </is>
      </c>
      <c r="E7956" t="inlineStr">
        <is>
          <t>VILHELMINA</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24858-2025</t>
        </is>
      </c>
      <c r="B7957" s="1" t="n">
        <v>45799.47877314815</v>
      </c>
      <c r="C7957" s="1" t="n">
        <v>45971</v>
      </c>
      <c r="D7957" t="inlineStr">
        <is>
          <t>VÄSTERBOTTENS LÄN</t>
        </is>
      </c>
      <c r="E7957" t="inlineStr">
        <is>
          <t>SKELLEFTEÅ</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24868-2025</t>
        </is>
      </c>
      <c r="B7958" s="1" t="n">
        <v>45799.48819444444</v>
      </c>
      <c r="C7958" s="1" t="n">
        <v>45971</v>
      </c>
      <c r="D7958" t="inlineStr">
        <is>
          <t>VÄSTERBOTTENS LÄN</t>
        </is>
      </c>
      <c r="E7958" t="inlineStr">
        <is>
          <t>VÄNNÄS</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2014-2025</t>
        </is>
      </c>
      <c r="B7959" s="1" t="n">
        <v>45672</v>
      </c>
      <c r="C7959" s="1" t="n">
        <v>45971</v>
      </c>
      <c r="D7959" t="inlineStr">
        <is>
          <t>VÄSTERBOTTENS LÄN</t>
        </is>
      </c>
      <c r="E7959" t="inlineStr">
        <is>
          <t>DOROTEA</t>
        </is>
      </c>
      <c r="F7959" t="inlineStr">
        <is>
          <t>Kommuner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45799.49028935185</v>
      </c>
      <c r="C7960" s="1" t="n">
        <v>45971</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24891-2025</t>
        </is>
      </c>
      <c r="B7961" s="1" t="n">
        <v>45799.51130787037</v>
      </c>
      <c r="C7961" s="1" t="n">
        <v>45971</v>
      </c>
      <c r="D7961" t="inlineStr">
        <is>
          <t>VÄSTERBOTTENS LÄN</t>
        </is>
      </c>
      <c r="E7961" t="inlineStr">
        <is>
          <t>NORSJÖ</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24924-2025</t>
        </is>
      </c>
      <c r="B7962" s="1" t="n">
        <v>45799.55288194444</v>
      </c>
      <c r="C7962" s="1" t="n">
        <v>45971</v>
      </c>
      <c r="D7962" t="inlineStr">
        <is>
          <t>VÄSTERBOTTENS LÄN</t>
        </is>
      </c>
      <c r="E7962" t="inlineStr">
        <is>
          <t>MALÅ</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24951-2025</t>
        </is>
      </c>
      <c r="B7963" s="1" t="n">
        <v>45799.56951388889</v>
      </c>
      <c r="C7963" s="1" t="n">
        <v>45971</v>
      </c>
      <c r="D7963" t="inlineStr">
        <is>
          <t>VÄSTERBOTTENS LÄN</t>
        </is>
      </c>
      <c r="E7963" t="inlineStr">
        <is>
          <t>LYCKSELE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52835-2024</t>
        </is>
      </c>
      <c r="B7964" s="1" t="n">
        <v>45610.59471064815</v>
      </c>
      <c r="C7964" s="1" t="n">
        <v>45971</v>
      </c>
      <c r="D7964" t="inlineStr">
        <is>
          <t>VÄSTERBOTTENS LÄN</t>
        </is>
      </c>
      <c r="E7964" t="inlineStr">
        <is>
          <t>ROBERTSFORS</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60134-2024</t>
        </is>
      </c>
      <c r="B7965" s="1" t="n">
        <v>45642.60092592592</v>
      </c>
      <c r="C7965" s="1" t="n">
        <v>45971</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44812-2023</t>
        </is>
      </c>
      <c r="B7966" s="1" t="n">
        <v>45190.50340277778</v>
      </c>
      <c r="C7966" s="1" t="n">
        <v>45971</v>
      </c>
      <c r="D7966" t="inlineStr">
        <is>
          <t>VÄSTERBOTTENS LÄN</t>
        </is>
      </c>
      <c r="E7966" t="inlineStr">
        <is>
          <t>BJURHOLM</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24812-2025</t>
        </is>
      </c>
      <c r="B7967" s="1" t="n">
        <v>45799.44790509259</v>
      </c>
      <c r="C7967" s="1" t="n">
        <v>45971</v>
      </c>
      <c r="D7967" t="inlineStr">
        <is>
          <t>VÄSTERBOTTENS LÄN</t>
        </is>
      </c>
      <c r="E7967" t="inlineStr">
        <is>
          <t>VÄNNÄS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24829-2025</t>
        </is>
      </c>
      <c r="B7968" s="1" t="n">
        <v>45799.45777777778</v>
      </c>
      <c r="C7968" s="1" t="n">
        <v>45971</v>
      </c>
      <c r="D7968" t="inlineStr">
        <is>
          <t>VÄSTERBOTTENS LÄN</t>
        </is>
      </c>
      <c r="E7968" t="inlineStr">
        <is>
          <t>SKELLEFTEÅ</t>
        </is>
      </c>
      <c r="F7968" t="inlineStr">
        <is>
          <t>Holmen skog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24856-2025</t>
        </is>
      </c>
      <c r="B7969" s="1" t="n">
        <v>45799.47508101852</v>
      </c>
      <c r="C7969" s="1" t="n">
        <v>45971</v>
      </c>
      <c r="D7969" t="inlineStr">
        <is>
          <t>VÄSTERBOTTENS LÄN</t>
        </is>
      </c>
      <c r="E7969" t="inlineStr">
        <is>
          <t>VÄNNÄS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41898-2025</t>
        </is>
      </c>
      <c r="B7970" s="1" t="n">
        <v>45903</v>
      </c>
      <c r="C7970" s="1" t="n">
        <v>45971</v>
      </c>
      <c r="D7970" t="inlineStr">
        <is>
          <t>VÄSTERBOTTENS LÄN</t>
        </is>
      </c>
      <c r="E7970" t="inlineStr">
        <is>
          <t>ROBERTSFORS</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50840-2025</t>
        </is>
      </c>
      <c r="B7971" s="1" t="n">
        <v>45946.57048611111</v>
      </c>
      <c r="C7971" s="1" t="n">
        <v>45971</v>
      </c>
      <c r="D7971" t="inlineStr">
        <is>
          <t>VÄSTERBOTTENS LÄN</t>
        </is>
      </c>
      <c r="E7971" t="inlineStr">
        <is>
          <t>VINDELN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50848-2025</t>
        </is>
      </c>
      <c r="B7972" s="1" t="n">
        <v>45946.57664351852</v>
      </c>
      <c r="C7972" s="1" t="n">
        <v>45971</v>
      </c>
      <c r="D7972" t="inlineStr">
        <is>
          <t>VÄSTERBOTTENS LÄN</t>
        </is>
      </c>
      <c r="E7972" t="inlineStr">
        <is>
          <t>SKELLEFTEÅ</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42423-2024</t>
        </is>
      </c>
      <c r="B7973" s="1" t="n">
        <v>45565.39368055556</v>
      </c>
      <c r="C7973" s="1" t="n">
        <v>45971</v>
      </c>
      <c r="D7973" t="inlineStr">
        <is>
          <t>VÄSTERBOTTENS LÄN</t>
        </is>
      </c>
      <c r="E7973" t="inlineStr">
        <is>
          <t>STORUMAN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37322-2022</t>
        </is>
      </c>
      <c r="B7974" s="1" t="n">
        <v>44806</v>
      </c>
      <c r="C7974" s="1" t="n">
        <v>45971</v>
      </c>
      <c r="D7974" t="inlineStr">
        <is>
          <t>VÄSTERBOTTENS LÄN</t>
        </is>
      </c>
      <c r="E7974" t="inlineStr">
        <is>
          <t>VILHELMINA</t>
        </is>
      </c>
      <c r="F7974" t="inlineStr">
        <is>
          <t>Övriga statliga verk och myndigheter</t>
        </is>
      </c>
      <c r="G7974" t="n">
        <v>15.4</v>
      </c>
      <c r="H7974" t="n">
        <v>0</v>
      </c>
      <c r="I7974" t="n">
        <v>0</v>
      </c>
      <c r="J7974" t="n">
        <v>0</v>
      </c>
      <c r="K7974" t="n">
        <v>0</v>
      </c>
      <c r="L7974" t="n">
        <v>0</v>
      </c>
      <c r="M7974" t="n">
        <v>0</v>
      </c>
      <c r="N7974" t="n">
        <v>0</v>
      </c>
      <c r="O7974" t="n">
        <v>0</v>
      </c>
      <c r="P7974" t="n">
        <v>0</v>
      </c>
      <c r="Q7974" t="n">
        <v>0</v>
      </c>
      <c r="R7974" s="2" t="inlineStr"/>
    </row>
    <row r="7975" ht="15" customHeight="1">
      <c r="A7975" t="inlineStr">
        <is>
          <t>A 17848-2022</t>
        </is>
      </c>
      <c r="B7975" s="1" t="n">
        <v>44683.46040509259</v>
      </c>
      <c r="C7975" s="1" t="n">
        <v>45971</v>
      </c>
      <c r="D7975" t="inlineStr">
        <is>
          <t>VÄSTERBOTTENS LÄN</t>
        </is>
      </c>
      <c r="E7975" t="inlineStr">
        <is>
          <t>ROBERTSFORS</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25062-2025</t>
        </is>
      </c>
      <c r="B7976" s="1" t="n">
        <v>45799.69844907407</v>
      </c>
      <c r="C7976" s="1" t="n">
        <v>45971</v>
      </c>
      <c r="D7976" t="inlineStr">
        <is>
          <t>VÄSTERBOTTENS LÄN</t>
        </is>
      </c>
      <c r="E7976" t="inlineStr">
        <is>
          <t>VILHELMINA</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25176-2025</t>
        </is>
      </c>
      <c r="B7977" s="1" t="n">
        <v>45800.44840277778</v>
      </c>
      <c r="C7977" s="1" t="n">
        <v>45971</v>
      </c>
      <c r="D7977" t="inlineStr">
        <is>
          <t>VÄSTERBOTTENS LÄN</t>
        </is>
      </c>
      <c r="E7977" t="inlineStr">
        <is>
          <t>VILHELMINA</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41906-2025</t>
        </is>
      </c>
      <c r="B7978" s="1" t="n">
        <v>45903.40400462963</v>
      </c>
      <c r="C7978" s="1" t="n">
        <v>45971</v>
      </c>
      <c r="D7978" t="inlineStr">
        <is>
          <t>VÄSTERBOTTENS LÄN</t>
        </is>
      </c>
      <c r="E7978" t="inlineStr">
        <is>
          <t>LYCKSELE</t>
        </is>
      </c>
      <c r="F7978" t="inlineStr">
        <is>
          <t>Sveaskog</t>
        </is>
      </c>
      <c r="G7978" t="n">
        <v>10.9</v>
      </c>
      <c r="H7978" t="n">
        <v>0</v>
      </c>
      <c r="I7978" t="n">
        <v>0</v>
      </c>
      <c r="J7978" t="n">
        <v>0</v>
      </c>
      <c r="K7978" t="n">
        <v>0</v>
      </c>
      <c r="L7978" t="n">
        <v>0</v>
      </c>
      <c r="M7978" t="n">
        <v>0</v>
      </c>
      <c r="N7978" t="n">
        <v>0</v>
      </c>
      <c r="O7978" t="n">
        <v>0</v>
      </c>
      <c r="P7978" t="n">
        <v>0</v>
      </c>
      <c r="Q7978" t="n">
        <v>0</v>
      </c>
      <c r="R7978" s="2" t="inlineStr"/>
    </row>
    <row r="7979" ht="15" customHeight="1">
      <c r="A7979" t="inlineStr">
        <is>
          <t>A 41917-2025</t>
        </is>
      </c>
      <c r="B7979" s="1" t="n">
        <v>45903.42202546296</v>
      </c>
      <c r="C7979" s="1" t="n">
        <v>45971</v>
      </c>
      <c r="D7979" t="inlineStr">
        <is>
          <t>VÄSTERBOTTENS LÄN</t>
        </is>
      </c>
      <c r="E7979" t="inlineStr">
        <is>
          <t>SKELLEFTEÅ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25043-2025</t>
        </is>
      </c>
      <c r="B7980" s="1" t="n">
        <v>45799.66578703704</v>
      </c>
      <c r="C7980" s="1" t="n">
        <v>45971</v>
      </c>
      <c r="D7980" t="inlineStr">
        <is>
          <t>VÄSTERBOTTENS LÄN</t>
        </is>
      </c>
      <c r="E7980" t="inlineStr">
        <is>
          <t>NORDMALING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24846-2025</t>
        </is>
      </c>
      <c r="B7981" s="1" t="n">
        <v>45799.46851851852</v>
      </c>
      <c r="C7981" s="1" t="n">
        <v>45971</v>
      </c>
      <c r="D7981" t="inlineStr">
        <is>
          <t>VÄSTERBOTTENS LÄN</t>
        </is>
      </c>
      <c r="E7981" t="inlineStr">
        <is>
          <t>VÄNNÄS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25100-2025</t>
        </is>
      </c>
      <c r="B7982" s="1" t="n">
        <v>45800.34435185185</v>
      </c>
      <c r="C7982" s="1" t="n">
        <v>45971</v>
      </c>
      <c r="D7982" t="inlineStr">
        <is>
          <t>VÄSTERBOTTENS LÄN</t>
        </is>
      </c>
      <c r="E7982" t="inlineStr">
        <is>
          <t>BJURHOLM</t>
        </is>
      </c>
      <c r="F7982" t="inlineStr">
        <is>
          <t>SCA</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49811-2024</t>
        </is>
      </c>
      <c r="B7983" s="1" t="n">
        <v>45597.39033564815</v>
      </c>
      <c r="C7983" s="1" t="n">
        <v>45971</v>
      </c>
      <c r="D7983" t="inlineStr">
        <is>
          <t>VÄSTERBOTTENS LÄN</t>
        </is>
      </c>
      <c r="E7983" t="inlineStr">
        <is>
          <t>SKELLEFTEÅ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24744-2025</t>
        </is>
      </c>
      <c r="B7984" s="1" t="n">
        <v>45799</v>
      </c>
      <c r="C7984" s="1" t="n">
        <v>45971</v>
      </c>
      <c r="D7984" t="inlineStr">
        <is>
          <t>VÄSTERBOTTENS LÄN</t>
        </is>
      </c>
      <c r="E7984" t="inlineStr">
        <is>
          <t>ÅSELE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50468-2024</t>
        </is>
      </c>
      <c r="B7985" s="1" t="n">
        <v>45601</v>
      </c>
      <c r="C7985" s="1" t="n">
        <v>45971</v>
      </c>
      <c r="D7985" t="inlineStr">
        <is>
          <t>VÄSTERBOTTENS LÄN</t>
        </is>
      </c>
      <c r="E7985" t="inlineStr">
        <is>
          <t>LYCKSELE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25074-2025</t>
        </is>
      </c>
      <c r="B7986" s="1" t="n">
        <v>45799.80739583333</v>
      </c>
      <c r="C7986" s="1" t="n">
        <v>45971</v>
      </c>
      <c r="D7986" t="inlineStr">
        <is>
          <t>VÄSTERBOTTENS LÄN</t>
        </is>
      </c>
      <c r="E7986" t="inlineStr">
        <is>
          <t>NORDMALING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24792-2025</t>
        </is>
      </c>
      <c r="B7987" s="1" t="n">
        <v>45799</v>
      </c>
      <c r="C7987" s="1" t="n">
        <v>45971</v>
      </c>
      <c r="D7987" t="inlineStr">
        <is>
          <t>VÄSTERBOTTENS LÄN</t>
        </is>
      </c>
      <c r="E7987" t="inlineStr">
        <is>
          <t>VÄNNÄS</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50515-2024</t>
        </is>
      </c>
      <c r="B7988" s="1" t="n">
        <v>45601.55185185185</v>
      </c>
      <c r="C7988" s="1" t="n">
        <v>45971</v>
      </c>
      <c r="D7988" t="inlineStr">
        <is>
          <t>VÄSTERBOTTENS LÄN</t>
        </is>
      </c>
      <c r="E7988" t="inlineStr">
        <is>
          <t>SKELLEFTEÅ</t>
        </is>
      </c>
      <c r="F7988" t="inlineStr">
        <is>
          <t>Holmen skog AB</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50517-2024</t>
        </is>
      </c>
      <c r="B7989" s="1" t="n">
        <v>45601</v>
      </c>
      <c r="C7989" s="1" t="n">
        <v>45971</v>
      </c>
      <c r="D7989" t="inlineStr">
        <is>
          <t>VÄSTERBOTTENS LÄN</t>
        </is>
      </c>
      <c r="E7989" t="inlineStr">
        <is>
          <t>MALÅ</t>
        </is>
      </c>
      <c r="F7989" t="inlineStr">
        <is>
          <t>SCA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2454-2025</t>
        </is>
      </c>
      <c r="B7990" s="1" t="n">
        <v>45673</v>
      </c>
      <c r="C7990" s="1" t="n">
        <v>45971</v>
      </c>
      <c r="D7990" t="inlineStr">
        <is>
          <t>VÄSTERBOTTENS LÄN</t>
        </is>
      </c>
      <c r="E7990" t="inlineStr">
        <is>
          <t>SKELLEFTEÅ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25581-2025</t>
        </is>
      </c>
      <c r="B7991" s="1" t="n">
        <v>45803.4812962963</v>
      </c>
      <c r="C7991" s="1" t="n">
        <v>45971</v>
      </c>
      <c r="D7991" t="inlineStr">
        <is>
          <t>VÄSTERBOTTENS LÄN</t>
        </is>
      </c>
      <c r="E7991" t="inlineStr">
        <is>
          <t>LYCKSELE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25617-2025</t>
        </is>
      </c>
      <c r="B7992" s="1" t="n">
        <v>45803.5733912037</v>
      </c>
      <c r="C7992" s="1" t="n">
        <v>45971</v>
      </c>
      <c r="D7992" t="inlineStr">
        <is>
          <t>VÄSTERBOTTENS LÄN</t>
        </is>
      </c>
      <c r="E7992" t="inlineStr">
        <is>
          <t>DOROTEA</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2509-2025</t>
        </is>
      </c>
      <c r="B7993" s="1" t="n">
        <v>45674.57372685185</v>
      </c>
      <c r="C7993" s="1" t="n">
        <v>45971</v>
      </c>
      <c r="D7993" t="inlineStr">
        <is>
          <t>VÄSTERBOTTENS LÄN</t>
        </is>
      </c>
      <c r="E7993" t="inlineStr">
        <is>
          <t>DOROTEA</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16407-2024</t>
        </is>
      </c>
      <c r="B7994" s="1" t="n">
        <v>45407.63806712963</v>
      </c>
      <c r="C7994" s="1" t="n">
        <v>45971</v>
      </c>
      <c r="D7994" t="inlineStr">
        <is>
          <t>VÄSTERBOTTENS LÄN</t>
        </is>
      </c>
      <c r="E7994" t="inlineStr">
        <is>
          <t>NORSJÖ</t>
        </is>
      </c>
      <c r="F7994" t="inlineStr">
        <is>
          <t>Sveaskog</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58554-2024</t>
        </is>
      </c>
      <c r="B7995" s="1" t="n">
        <v>45635</v>
      </c>
      <c r="C7995" s="1" t="n">
        <v>45971</v>
      </c>
      <c r="D7995" t="inlineStr">
        <is>
          <t>VÄSTERBOTTENS LÄN</t>
        </is>
      </c>
      <c r="E7995" t="inlineStr">
        <is>
          <t>VINDELN</t>
        </is>
      </c>
      <c r="F7995" t="inlineStr">
        <is>
          <t>Holmen skog AB</t>
        </is>
      </c>
      <c r="G7995" t="n">
        <v>9.5</v>
      </c>
      <c r="H7995" t="n">
        <v>0</v>
      </c>
      <c r="I7995" t="n">
        <v>0</v>
      </c>
      <c r="J7995" t="n">
        <v>0</v>
      </c>
      <c r="K7995" t="n">
        <v>0</v>
      </c>
      <c r="L7995" t="n">
        <v>0</v>
      </c>
      <c r="M7995" t="n">
        <v>0</v>
      </c>
      <c r="N7995" t="n">
        <v>0</v>
      </c>
      <c r="O7995" t="n">
        <v>0</v>
      </c>
      <c r="P7995" t="n">
        <v>0</v>
      </c>
      <c r="Q7995" t="n">
        <v>0</v>
      </c>
      <c r="R7995" s="2" t="inlineStr"/>
    </row>
    <row r="7996" ht="15" customHeight="1">
      <c r="A7996" t="inlineStr">
        <is>
          <t>A 8233-2025</t>
        </is>
      </c>
      <c r="B7996" s="1" t="n">
        <v>45707</v>
      </c>
      <c r="C7996" s="1" t="n">
        <v>45971</v>
      </c>
      <c r="D7996" t="inlineStr">
        <is>
          <t>VÄSTERBOTTENS LÄN</t>
        </is>
      </c>
      <c r="E7996" t="inlineStr">
        <is>
          <t>SORSELE</t>
        </is>
      </c>
      <c r="G7996" t="n">
        <v>36.6</v>
      </c>
      <c r="H7996" t="n">
        <v>0</v>
      </c>
      <c r="I7996" t="n">
        <v>0</v>
      </c>
      <c r="J7996" t="n">
        <v>0</v>
      </c>
      <c r="K7996" t="n">
        <v>0</v>
      </c>
      <c r="L7996" t="n">
        <v>0</v>
      </c>
      <c r="M7996" t="n">
        <v>0</v>
      </c>
      <c r="N7996" t="n">
        <v>0</v>
      </c>
      <c r="O7996" t="n">
        <v>0</v>
      </c>
      <c r="P7996" t="n">
        <v>0</v>
      </c>
      <c r="Q7996" t="n">
        <v>0</v>
      </c>
      <c r="R7996" s="2" t="inlineStr"/>
    </row>
    <row r="7997" ht="15" customHeight="1">
      <c r="A7997" t="inlineStr">
        <is>
          <t>A 42360-2025</t>
        </is>
      </c>
      <c r="B7997" s="1" t="n">
        <v>45904</v>
      </c>
      <c r="C7997" s="1" t="n">
        <v>45971</v>
      </c>
      <c r="D7997" t="inlineStr">
        <is>
          <t>VÄSTERBOTTENS LÄN</t>
        </is>
      </c>
      <c r="E7997" t="inlineStr">
        <is>
          <t>VILHELMINA</t>
        </is>
      </c>
      <c r="F7997" t="inlineStr">
        <is>
          <t>Övriga Aktiebolag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25590-2025</t>
        </is>
      </c>
      <c r="B7998" s="1" t="n">
        <v>45803.49502314815</v>
      </c>
      <c r="C7998" s="1" t="n">
        <v>45971</v>
      </c>
      <c r="D7998" t="inlineStr">
        <is>
          <t>VÄSTERBOTTENS LÄN</t>
        </is>
      </c>
      <c r="E7998" t="inlineStr">
        <is>
          <t>LYCKSELE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2709-2025</t>
        </is>
      </c>
      <c r="B7999" s="1" t="n">
        <v>45674</v>
      </c>
      <c r="C7999" s="1" t="n">
        <v>45971</v>
      </c>
      <c r="D7999" t="inlineStr">
        <is>
          <t>VÄSTERBOTTENS LÄN</t>
        </is>
      </c>
      <c r="E7999" t="inlineStr">
        <is>
          <t>ROBERTSFORS</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44882-2024</t>
        </is>
      </c>
      <c r="B8000" s="1" t="n">
        <v>45575</v>
      </c>
      <c r="C8000" s="1" t="n">
        <v>45971</v>
      </c>
      <c r="D8000" t="inlineStr">
        <is>
          <t>VÄSTERBOTTENS LÄN</t>
        </is>
      </c>
      <c r="E8000" t="inlineStr">
        <is>
          <t>MALÅ</t>
        </is>
      </c>
      <c r="F8000" t="inlineStr">
        <is>
          <t>Kommuner</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25641-2025</t>
        </is>
      </c>
      <c r="B8001" s="1" t="n">
        <v>45803.60377314815</v>
      </c>
      <c r="C8001" s="1" t="n">
        <v>45971</v>
      </c>
      <c r="D8001" t="inlineStr">
        <is>
          <t>VÄSTERBOTTENS LÄN</t>
        </is>
      </c>
      <c r="E8001" t="inlineStr">
        <is>
          <t>SKELLEFTEÅ</t>
        </is>
      </c>
      <c r="F8001" t="inlineStr">
        <is>
          <t>Holmen skog AB</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44894-2024</t>
        </is>
      </c>
      <c r="B8002" s="1" t="n">
        <v>45575.36512731481</v>
      </c>
      <c r="C8002" s="1" t="n">
        <v>45971</v>
      </c>
      <c r="D8002" t="inlineStr">
        <is>
          <t>VÄSTERBOTTENS LÄN</t>
        </is>
      </c>
      <c r="E8002" t="inlineStr">
        <is>
          <t>ÅSELE</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5641-2022</t>
        </is>
      </c>
      <c r="B8003" s="1" t="n">
        <v>44595.92319444445</v>
      </c>
      <c r="C8003" s="1" t="n">
        <v>45971</v>
      </c>
      <c r="D8003" t="inlineStr">
        <is>
          <t>VÄSTERBOTTENS LÄN</t>
        </is>
      </c>
      <c r="E8003" t="inlineStr">
        <is>
          <t>ÅSELE</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25527-2025</t>
        </is>
      </c>
      <c r="B8004" s="1" t="n">
        <v>45803.38699074074</v>
      </c>
      <c r="C8004" s="1" t="n">
        <v>45971</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42242-2025</t>
        </is>
      </c>
      <c r="B8005" s="1" t="n">
        <v>45904.57342592593</v>
      </c>
      <c r="C8005" s="1" t="n">
        <v>45971</v>
      </c>
      <c r="D8005" t="inlineStr">
        <is>
          <t>VÄSTERBOTTENS LÄN</t>
        </is>
      </c>
      <c r="E8005" t="inlineStr">
        <is>
          <t>SORSELE</t>
        </is>
      </c>
      <c r="F8005" t="inlineStr">
        <is>
          <t>SCA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19004-2024</t>
        </is>
      </c>
      <c r="B8006" s="1" t="n">
        <v>45427</v>
      </c>
      <c r="C8006" s="1" t="n">
        <v>45971</v>
      </c>
      <c r="D8006" t="inlineStr">
        <is>
          <t>VÄSTERBOTTENS LÄN</t>
        </is>
      </c>
      <c r="E8006" t="inlineStr">
        <is>
          <t>VINDELN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1244-2025</t>
        </is>
      </c>
      <c r="B8007" s="1" t="n">
        <v>45667.45741898148</v>
      </c>
      <c r="C8007" s="1" t="n">
        <v>45971</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25708-2025</t>
        </is>
      </c>
      <c r="B8008" s="1" t="n">
        <v>45803.68094907407</v>
      </c>
      <c r="C8008" s="1" t="n">
        <v>45971</v>
      </c>
      <c r="D8008" t="inlineStr">
        <is>
          <t>VÄSTERBOTTENS LÄN</t>
        </is>
      </c>
      <c r="E8008" t="inlineStr">
        <is>
          <t>VINDELN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25537-2025</t>
        </is>
      </c>
      <c r="B8009" s="1" t="n">
        <v>45803.41887731481</v>
      </c>
      <c r="C8009" s="1" t="n">
        <v>45971</v>
      </c>
      <c r="D8009" t="inlineStr">
        <is>
          <t>VÄSTERBOTTENS LÄN</t>
        </is>
      </c>
      <c r="E8009" t="inlineStr">
        <is>
          <t>LYCKSELE</t>
        </is>
      </c>
      <c r="F8009" t="inlineStr">
        <is>
          <t>Holmen skog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25542-2025</t>
        </is>
      </c>
      <c r="B8010" s="1" t="n">
        <v>45803.42774305555</v>
      </c>
      <c r="C8010" s="1" t="n">
        <v>45971</v>
      </c>
      <c r="D8010" t="inlineStr">
        <is>
          <t>VÄSTERBOTTENS LÄN</t>
        </is>
      </c>
      <c r="E8010" t="inlineStr">
        <is>
          <t>SKELLEFTEÅ</t>
        </is>
      </c>
      <c r="F8010" t="inlineStr">
        <is>
          <t>Holmen skog AB</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51366-2023</t>
        </is>
      </c>
      <c r="B8011" s="1" t="n">
        <v>45219</v>
      </c>
      <c r="C8011" s="1" t="n">
        <v>45971</v>
      </c>
      <c r="D8011" t="inlineStr">
        <is>
          <t>VÄSTERBOTTENS LÄN</t>
        </is>
      </c>
      <c r="E8011" t="inlineStr">
        <is>
          <t>STORUMAN</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61604-2024</t>
        </is>
      </c>
      <c r="B8012" s="1" t="n">
        <v>45646.64148148148</v>
      </c>
      <c r="C8012" s="1" t="n">
        <v>45971</v>
      </c>
      <c r="D8012" t="inlineStr">
        <is>
          <t>VÄSTERBOTTENS LÄN</t>
        </is>
      </c>
      <c r="E8012" t="inlineStr">
        <is>
          <t>UMEÅ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61605-2024</t>
        </is>
      </c>
      <c r="B8013" s="1" t="n">
        <v>45645</v>
      </c>
      <c r="C8013" s="1" t="n">
        <v>45971</v>
      </c>
      <c r="D8013" t="inlineStr">
        <is>
          <t>VÄSTERBOTTENS LÄN</t>
        </is>
      </c>
      <c r="E8013" t="inlineStr">
        <is>
          <t>MALÅ</t>
        </is>
      </c>
      <c r="F8013" t="inlineStr">
        <is>
          <t>Sveaskog</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363-2025</t>
        </is>
      </c>
      <c r="B8014" s="1" t="n">
        <v>45660.9071412037</v>
      </c>
      <c r="C8014" s="1" t="n">
        <v>45971</v>
      </c>
      <c r="D8014" t="inlineStr">
        <is>
          <t>VÄSTERBOTTENS LÄN</t>
        </is>
      </c>
      <c r="E8014" t="inlineStr">
        <is>
          <t>NORDMALING</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39918-2022</t>
        </is>
      </c>
      <c r="B8015" s="1" t="n">
        <v>44819.8053125</v>
      </c>
      <c r="C8015" s="1" t="n">
        <v>45971</v>
      </c>
      <c r="D8015" t="inlineStr">
        <is>
          <t>VÄSTERBOTTENS LÄN</t>
        </is>
      </c>
      <c r="E8015" t="inlineStr">
        <is>
          <t>SKELLEFTEÅ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50801-2025</t>
        </is>
      </c>
      <c r="B8016" s="1" t="n">
        <v>45946.490625</v>
      </c>
      <c r="C8016" s="1" t="n">
        <v>45971</v>
      </c>
      <c r="D8016" t="inlineStr">
        <is>
          <t>VÄSTERBOTTENS LÄN</t>
        </is>
      </c>
      <c r="E8016" t="inlineStr">
        <is>
          <t>BJURHOLM</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41955-2025</t>
        </is>
      </c>
      <c r="B8017" s="1" t="n">
        <v>45903</v>
      </c>
      <c r="C8017" s="1" t="n">
        <v>45971</v>
      </c>
      <c r="D8017" t="inlineStr">
        <is>
          <t>VÄSTERBOTTENS LÄN</t>
        </is>
      </c>
      <c r="E8017" t="inlineStr">
        <is>
          <t>ROBERTSFORS</t>
        </is>
      </c>
      <c r="F8017" t="inlineStr">
        <is>
          <t>Holmen skog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25526-2025</t>
        </is>
      </c>
      <c r="B8018" s="1" t="n">
        <v>45803.38655092593</v>
      </c>
      <c r="C8018" s="1" t="n">
        <v>45971</v>
      </c>
      <c r="D8018" t="inlineStr">
        <is>
          <t>VÄSTERBOTTENS LÄN</t>
        </is>
      </c>
      <c r="E8018" t="inlineStr">
        <is>
          <t>SKELLEFTEÅ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41864-2025</t>
        </is>
      </c>
      <c r="B8019" s="1" t="n">
        <v>45903.33118055556</v>
      </c>
      <c r="C8019" s="1" t="n">
        <v>45971</v>
      </c>
      <c r="D8019" t="inlineStr">
        <is>
          <t>VÄSTERBOTTENS LÄN</t>
        </is>
      </c>
      <c r="E8019" t="inlineStr">
        <is>
          <t>STORUMAN</t>
        </is>
      </c>
      <c r="F8019" t="inlineStr">
        <is>
          <t>Allmännings- och besparingsskogar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42116-2025</t>
        </is>
      </c>
      <c r="B8020" s="1" t="n">
        <v>45904.33420138889</v>
      </c>
      <c r="C8020" s="1" t="n">
        <v>45971</v>
      </c>
      <c r="D8020" t="inlineStr">
        <is>
          <t>VÄSTERBOTTENS LÄN</t>
        </is>
      </c>
      <c r="E8020" t="inlineStr">
        <is>
          <t>SKELLEFTEÅ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42121-2025</t>
        </is>
      </c>
      <c r="B8021" s="1" t="n">
        <v>45904.34252314815</v>
      </c>
      <c r="C8021" s="1" t="n">
        <v>45971</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42125-2025</t>
        </is>
      </c>
      <c r="B8022" s="1" t="n">
        <v>45904.34472222222</v>
      </c>
      <c r="C8022" s="1" t="n">
        <v>45971</v>
      </c>
      <c r="D8022" t="inlineStr">
        <is>
          <t>VÄSTERBOTTENS LÄN</t>
        </is>
      </c>
      <c r="E8022" t="inlineStr">
        <is>
          <t>DOROTEA</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42557-2021</t>
        </is>
      </c>
      <c r="B8023" s="1" t="n">
        <v>44428</v>
      </c>
      <c r="C8023" s="1" t="n">
        <v>45971</v>
      </c>
      <c r="D8023" t="inlineStr">
        <is>
          <t>VÄSTERBOTTENS LÄN</t>
        </is>
      </c>
      <c r="E8023" t="inlineStr">
        <is>
          <t>SKELLEFTEÅ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25603-2025</t>
        </is>
      </c>
      <c r="B8024" s="1" t="n">
        <v>45803.55256944444</v>
      </c>
      <c r="C8024" s="1" t="n">
        <v>45971</v>
      </c>
      <c r="D8024" t="inlineStr">
        <is>
          <t>VÄSTERBOTTENS LÄN</t>
        </is>
      </c>
      <c r="E8024" t="inlineStr">
        <is>
          <t>DOROTEA</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41871-2025</t>
        </is>
      </c>
      <c r="B8025" s="1" t="n">
        <v>45903.34480324074</v>
      </c>
      <c r="C8025" s="1" t="n">
        <v>45971</v>
      </c>
      <c r="D8025" t="inlineStr">
        <is>
          <t>VÄSTERBOTTENS LÄN</t>
        </is>
      </c>
      <c r="E8025" t="inlineStr">
        <is>
          <t>DOROTEA</t>
        </is>
      </c>
      <c r="F8025" t="inlineStr">
        <is>
          <t>SCA</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25606-2025</t>
        </is>
      </c>
      <c r="B8026" s="1" t="n">
        <v>45803.55297453704</v>
      </c>
      <c r="C8026" s="1" t="n">
        <v>45971</v>
      </c>
      <c r="D8026" t="inlineStr">
        <is>
          <t>VÄSTERBOTTENS LÄN</t>
        </is>
      </c>
      <c r="E8026" t="inlineStr">
        <is>
          <t>DOROTEA</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25801-2025</t>
        </is>
      </c>
      <c r="B8027" s="1" t="n">
        <v>45803</v>
      </c>
      <c r="C8027" s="1" t="n">
        <v>45971</v>
      </c>
      <c r="D8027" t="inlineStr">
        <is>
          <t>VÄSTERBOTTENS LÄN</t>
        </is>
      </c>
      <c r="E8027" t="inlineStr">
        <is>
          <t>SKELLEFTEÅ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25804-2025</t>
        </is>
      </c>
      <c r="B8028" s="1" t="n">
        <v>45803</v>
      </c>
      <c r="C8028" s="1" t="n">
        <v>45971</v>
      </c>
      <c r="D8028" t="inlineStr">
        <is>
          <t>VÄSTERBOTTENS LÄN</t>
        </is>
      </c>
      <c r="E8028" t="inlineStr">
        <is>
          <t>SKELLEFTEÅ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54287-2024</t>
        </is>
      </c>
      <c r="B8029" s="1" t="n">
        <v>45617.26189814815</v>
      </c>
      <c r="C8029" s="1" t="n">
        <v>45971</v>
      </c>
      <c r="D8029" t="inlineStr">
        <is>
          <t>VÄSTERBOTTENS LÄN</t>
        </is>
      </c>
      <c r="E8029" t="inlineStr">
        <is>
          <t>LYCKSELE</t>
        </is>
      </c>
      <c r="F8029" t="inlineStr">
        <is>
          <t>Sveaskog</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41882-2025</t>
        </is>
      </c>
      <c r="B8030" s="1" t="n">
        <v>45903.36497685185</v>
      </c>
      <c r="C8030" s="1" t="n">
        <v>45971</v>
      </c>
      <c r="D8030" t="inlineStr">
        <is>
          <t>VÄSTERBOTTENS LÄN</t>
        </is>
      </c>
      <c r="E8030" t="inlineStr">
        <is>
          <t>DOROTEA</t>
        </is>
      </c>
      <c r="F8030" t="inlineStr">
        <is>
          <t>SCA</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41885-2025</t>
        </is>
      </c>
      <c r="B8031" s="1" t="n">
        <v>45903.36555555555</v>
      </c>
      <c r="C8031" s="1" t="n">
        <v>45971</v>
      </c>
      <c r="D8031" t="inlineStr">
        <is>
          <t>VÄSTERBOTTENS LÄN</t>
        </is>
      </c>
      <c r="E8031" t="inlineStr">
        <is>
          <t>DOROTEA</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21622-2023</t>
        </is>
      </c>
      <c r="B8032" s="1" t="n">
        <v>45062</v>
      </c>
      <c r="C8032" s="1" t="n">
        <v>45971</v>
      </c>
      <c r="D8032" t="inlineStr">
        <is>
          <t>VÄSTERBOTTENS LÄN</t>
        </is>
      </c>
      <c r="E8032" t="inlineStr">
        <is>
          <t>NORDMALING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21638-2023</t>
        </is>
      </c>
      <c r="B8033" s="1" t="n">
        <v>45063</v>
      </c>
      <c r="C8033" s="1" t="n">
        <v>45971</v>
      </c>
      <c r="D8033" t="inlineStr">
        <is>
          <t>VÄSTERBOTTENS LÄN</t>
        </is>
      </c>
      <c r="E8033" t="inlineStr">
        <is>
          <t>VINDELN</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50462-2025</t>
        </is>
      </c>
      <c r="B8034" s="1" t="n">
        <v>45945.34512731482</v>
      </c>
      <c r="C8034" s="1" t="n">
        <v>45971</v>
      </c>
      <c r="D8034" t="inlineStr">
        <is>
          <t>VÄSTERBOTTENS LÄN</t>
        </is>
      </c>
      <c r="E8034" t="inlineStr">
        <is>
          <t>NORSJÖ</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43080-2024</t>
        </is>
      </c>
      <c r="B8035" s="1" t="n">
        <v>45567.50909722222</v>
      </c>
      <c r="C8035" s="1" t="n">
        <v>45971</v>
      </c>
      <c r="D8035" t="inlineStr">
        <is>
          <t>VÄSTERBOTTENS LÄN</t>
        </is>
      </c>
      <c r="E8035" t="inlineStr">
        <is>
          <t>VINDELN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8716-2024</t>
        </is>
      </c>
      <c r="B8036" s="1" t="n">
        <v>45356</v>
      </c>
      <c r="C8036" s="1" t="n">
        <v>45971</v>
      </c>
      <c r="D8036" t="inlineStr">
        <is>
          <t>VÄSTERBOTTENS LÄN</t>
        </is>
      </c>
      <c r="E8036" t="inlineStr">
        <is>
          <t>UMEÅ</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42278-2025</t>
        </is>
      </c>
      <c r="B8037" s="1" t="n">
        <v>45904.61540509259</v>
      </c>
      <c r="C8037" s="1" t="n">
        <v>45971</v>
      </c>
      <c r="D8037" t="inlineStr">
        <is>
          <t>VÄSTERBOTTENS LÄN</t>
        </is>
      </c>
      <c r="E8037" t="inlineStr">
        <is>
          <t>DOROTEA</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25773-2025</t>
        </is>
      </c>
      <c r="B8038" s="1" t="n">
        <v>45804.34528935186</v>
      </c>
      <c r="C8038" s="1" t="n">
        <v>45971</v>
      </c>
      <c r="D8038" t="inlineStr">
        <is>
          <t>VÄSTERBOTTENS LÄN</t>
        </is>
      </c>
      <c r="E8038" t="inlineStr">
        <is>
          <t>SKELLEFTEÅ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8717-2024</t>
        </is>
      </c>
      <c r="B8039" s="1" t="n">
        <v>45356.4062962963</v>
      </c>
      <c r="C8039" s="1" t="n">
        <v>45971</v>
      </c>
      <c r="D8039" t="inlineStr">
        <is>
          <t>VÄSTERBOTTENS LÄN</t>
        </is>
      </c>
      <c r="E8039" t="inlineStr">
        <is>
          <t>UMEÅ</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50693-2025</t>
        </is>
      </c>
      <c r="B8040" s="1" t="n">
        <v>45945.85396990741</v>
      </c>
      <c r="C8040" s="1" t="n">
        <v>45971</v>
      </c>
      <c r="D8040" t="inlineStr">
        <is>
          <t>VÄSTERBOTTENS LÄN</t>
        </is>
      </c>
      <c r="E8040" t="inlineStr">
        <is>
          <t>SKELLEFTEÅ</t>
        </is>
      </c>
      <c r="G8040" t="n">
        <v>10.7</v>
      </c>
      <c r="H8040" t="n">
        <v>0</v>
      </c>
      <c r="I8040" t="n">
        <v>0</v>
      </c>
      <c r="J8040" t="n">
        <v>0</v>
      </c>
      <c r="K8040" t="n">
        <v>0</v>
      </c>
      <c r="L8040" t="n">
        <v>0</v>
      </c>
      <c r="M8040" t="n">
        <v>0</v>
      </c>
      <c r="N8040" t="n">
        <v>0</v>
      </c>
      <c r="O8040" t="n">
        <v>0</v>
      </c>
      <c r="P8040" t="n">
        <v>0</v>
      </c>
      <c r="Q8040" t="n">
        <v>0</v>
      </c>
      <c r="R8040" s="2" t="inlineStr"/>
    </row>
    <row r="8041" ht="15" customHeight="1">
      <c r="A8041" t="inlineStr">
        <is>
          <t>A 50737-2025</t>
        </is>
      </c>
      <c r="B8041" s="1" t="n">
        <v>45946.36891203704</v>
      </c>
      <c r="C8041" s="1" t="n">
        <v>45971</v>
      </c>
      <c r="D8041" t="inlineStr">
        <is>
          <t>VÄSTERBOTTENS LÄN</t>
        </is>
      </c>
      <c r="E8041" t="inlineStr">
        <is>
          <t>STORUMAN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25958-2025</t>
        </is>
      </c>
      <c r="B8042" s="1" t="n">
        <v>45804.60783564814</v>
      </c>
      <c r="C8042" s="1" t="n">
        <v>45971</v>
      </c>
      <c r="D8042" t="inlineStr">
        <is>
          <t>VÄSTERBOTTENS LÄN</t>
        </is>
      </c>
      <c r="E8042" t="inlineStr">
        <is>
          <t>SKELLEFTEÅ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50875-2025</t>
        </is>
      </c>
      <c r="B8043" s="1" t="n">
        <v>45946.61502314815</v>
      </c>
      <c r="C8043" s="1" t="n">
        <v>45971</v>
      </c>
      <c r="D8043" t="inlineStr">
        <is>
          <t>VÄSTERBOTTENS LÄN</t>
        </is>
      </c>
      <c r="E8043" t="inlineStr">
        <is>
          <t>DOROTEA</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25524-2025</t>
        </is>
      </c>
      <c r="B8044" s="1" t="n">
        <v>45803.38644675926</v>
      </c>
      <c r="C8044" s="1" t="n">
        <v>45971</v>
      </c>
      <c r="D8044" t="inlineStr">
        <is>
          <t>VÄSTERBOTTENS LÄN</t>
        </is>
      </c>
      <c r="E8044" t="inlineStr">
        <is>
          <t>VILHELMINA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25797-2025</t>
        </is>
      </c>
      <c r="B8045" s="1" t="n">
        <v>45804.3993287037</v>
      </c>
      <c r="C8045" s="1" t="n">
        <v>45971</v>
      </c>
      <c r="D8045" t="inlineStr">
        <is>
          <t>VÄSTERBOTTENS LÄN</t>
        </is>
      </c>
      <c r="E8045" t="inlineStr">
        <is>
          <t>STORUMAN</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50882-2025</t>
        </is>
      </c>
      <c r="B8046" s="1" t="n">
        <v>45946.63017361111</v>
      </c>
      <c r="C8046" s="1" t="n">
        <v>45971</v>
      </c>
      <c r="D8046" t="inlineStr">
        <is>
          <t>VÄSTERBOTTENS LÄN</t>
        </is>
      </c>
      <c r="E8046" t="inlineStr">
        <is>
          <t>SKELLEFTEÅ</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25838-2025</t>
        </is>
      </c>
      <c r="B8047" s="1" t="n">
        <v>45804.44883101852</v>
      </c>
      <c r="C8047" s="1" t="n">
        <v>45971</v>
      </c>
      <c r="D8047" t="inlineStr">
        <is>
          <t>VÄSTERBOTTENS LÄN</t>
        </is>
      </c>
      <c r="E8047" t="inlineStr">
        <is>
          <t>UMEÅ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41911-2025</t>
        </is>
      </c>
      <c r="B8048" s="1" t="n">
        <v>45903.40899305556</v>
      </c>
      <c r="C8048" s="1" t="n">
        <v>45971</v>
      </c>
      <c r="D8048" t="inlineStr">
        <is>
          <t>VÄSTERBOTTENS LÄN</t>
        </is>
      </c>
      <c r="E8048" t="inlineStr">
        <is>
          <t>LYCKSELE</t>
        </is>
      </c>
      <c r="F8048" t="inlineStr">
        <is>
          <t>Sveaskog</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25616-2025</t>
        </is>
      </c>
      <c r="B8049" s="1" t="n">
        <v>45803.56601851852</v>
      </c>
      <c r="C8049" s="1" t="n">
        <v>45971</v>
      </c>
      <c r="D8049" t="inlineStr">
        <is>
          <t>VÄSTERBOTTENS LÄN</t>
        </is>
      </c>
      <c r="E8049" t="inlineStr">
        <is>
          <t>LYCKSELE</t>
        </is>
      </c>
      <c r="F8049" t="inlineStr">
        <is>
          <t>Sveaskog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41924-2025</t>
        </is>
      </c>
      <c r="B8050" s="1" t="n">
        <v>45903.42737268518</v>
      </c>
      <c r="C8050" s="1" t="n">
        <v>45971</v>
      </c>
      <c r="D8050" t="inlineStr">
        <is>
          <t>VÄSTERBOTTENS LÄN</t>
        </is>
      </c>
      <c r="E8050" t="inlineStr">
        <is>
          <t>NORSJÖ</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42012-2025</t>
        </is>
      </c>
      <c r="B8051" s="1" t="n">
        <v>45903.57320601852</v>
      </c>
      <c r="C8051" s="1" t="n">
        <v>45971</v>
      </c>
      <c r="D8051" t="inlineStr">
        <is>
          <t>VÄSTERBOTTENS LÄN</t>
        </is>
      </c>
      <c r="E8051" t="inlineStr">
        <is>
          <t>STORUMAN</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26049-2025</t>
        </is>
      </c>
      <c r="B8052" s="1" t="n">
        <v>45804.71578703704</v>
      </c>
      <c r="C8052" s="1" t="n">
        <v>45971</v>
      </c>
      <c r="D8052" t="inlineStr">
        <is>
          <t>VÄSTERBOTTENS LÄN</t>
        </is>
      </c>
      <c r="E8052" t="inlineStr">
        <is>
          <t>SKELLEFTEÅ</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42198-2025</t>
        </is>
      </c>
      <c r="B8053" s="1" t="n">
        <v>45904.48623842592</v>
      </c>
      <c r="C8053" s="1" t="n">
        <v>45971</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25770-2025</t>
        </is>
      </c>
      <c r="B8054" s="1" t="n">
        <v>45804.3449537037</v>
      </c>
      <c r="C8054" s="1" t="n">
        <v>45971</v>
      </c>
      <c r="D8054" t="inlineStr">
        <is>
          <t>VÄSTERBOTTENS LÄN</t>
        </is>
      </c>
      <c r="E8054" t="inlineStr">
        <is>
          <t>VILHELMINA</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25579-2025</t>
        </is>
      </c>
      <c r="B8055" s="1" t="n">
        <v>45803.47896990741</v>
      </c>
      <c r="C8055" s="1" t="n">
        <v>45971</v>
      </c>
      <c r="D8055" t="inlineStr">
        <is>
          <t>VÄSTERBOTTENS LÄN</t>
        </is>
      </c>
      <c r="E8055" t="inlineStr">
        <is>
          <t>ROBERTSFORS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25605-2025</t>
        </is>
      </c>
      <c r="B8056" s="1" t="n">
        <v>45803.5528125</v>
      </c>
      <c r="C8056" s="1" t="n">
        <v>45971</v>
      </c>
      <c r="D8056" t="inlineStr">
        <is>
          <t>VÄSTERBOTTENS LÄN</t>
        </is>
      </c>
      <c r="E8056" t="inlineStr">
        <is>
          <t>DOROTEA</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50877-2025</t>
        </is>
      </c>
      <c r="B8057" s="1" t="n">
        <v>45946.61516203704</v>
      </c>
      <c r="C8057" s="1" t="n">
        <v>45971</v>
      </c>
      <c r="D8057" t="inlineStr">
        <is>
          <t>VÄSTERBOTTENS LÄN</t>
        </is>
      </c>
      <c r="E8057" t="inlineStr">
        <is>
          <t>BJURHOLM</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50920-2025</t>
        </is>
      </c>
      <c r="B8058" s="1" t="n">
        <v>45946.67005787037</v>
      </c>
      <c r="C8058" s="1" t="n">
        <v>45971</v>
      </c>
      <c r="D8058" t="inlineStr">
        <is>
          <t>VÄSTERBOTTENS LÄN</t>
        </is>
      </c>
      <c r="E8058" t="inlineStr">
        <is>
          <t>MALÅ</t>
        </is>
      </c>
      <c r="F8058" t="inlineStr">
        <is>
          <t>Sveaskog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58489-2023</t>
        </is>
      </c>
      <c r="B8059" s="1" t="n">
        <v>45251.33342592593</v>
      </c>
      <c r="C8059" s="1" t="n">
        <v>45971</v>
      </c>
      <c r="D8059" t="inlineStr">
        <is>
          <t>VÄSTERBOTTENS LÄN</t>
        </is>
      </c>
      <c r="E8059" t="inlineStr">
        <is>
          <t>BJURHOLM</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50922-2025</t>
        </is>
      </c>
      <c r="B8060" s="1" t="n">
        <v>45946.67149305555</v>
      </c>
      <c r="C8060" s="1" t="n">
        <v>45971</v>
      </c>
      <c r="D8060" t="inlineStr">
        <is>
          <t>VÄSTERBOTTENS LÄN</t>
        </is>
      </c>
      <c r="E8060" t="inlineStr">
        <is>
          <t>VILHELMINA</t>
        </is>
      </c>
      <c r="G8060" t="n">
        <v>9.300000000000001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50939-2025</t>
        </is>
      </c>
      <c r="B8061" s="1" t="n">
        <v>45946.71021990741</v>
      </c>
      <c r="C8061" s="1" t="n">
        <v>45971</v>
      </c>
      <c r="D8061" t="inlineStr">
        <is>
          <t>VÄSTERBOTTENS LÄN</t>
        </is>
      </c>
      <c r="E8061" t="inlineStr">
        <is>
          <t>UMEÅ</t>
        </is>
      </c>
      <c r="F8061" t="inlineStr">
        <is>
          <t>Holmen skog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40409-2025</t>
        </is>
      </c>
      <c r="B8062" s="1" t="n">
        <v>45895</v>
      </c>
      <c r="C8062" s="1" t="n">
        <v>45971</v>
      </c>
      <c r="D8062" t="inlineStr">
        <is>
          <t>VÄSTERBOTTENS LÄN</t>
        </is>
      </c>
      <c r="E8062" t="inlineStr">
        <is>
          <t>SKELLEFTEÅ</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42382-2025</t>
        </is>
      </c>
      <c r="B8063" s="1" t="n">
        <v>45904</v>
      </c>
      <c r="C8063" s="1" t="n">
        <v>45971</v>
      </c>
      <c r="D8063" t="inlineStr">
        <is>
          <t>VÄSTERBOTTENS LÄN</t>
        </is>
      </c>
      <c r="E8063" t="inlineStr">
        <is>
          <t>VILHELMINA</t>
        </is>
      </c>
      <c r="F8063" t="inlineStr">
        <is>
          <t>Övriga Aktiebolag</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42476-2025</t>
        </is>
      </c>
      <c r="B8064" s="1" t="n">
        <v>45904</v>
      </c>
      <c r="C8064" s="1" t="n">
        <v>45971</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50548-2025</t>
        </is>
      </c>
      <c r="B8065" s="1" t="n">
        <v>45945.51137731481</v>
      </c>
      <c r="C8065" s="1" t="n">
        <v>45971</v>
      </c>
      <c r="D8065" t="inlineStr">
        <is>
          <t>VÄSTERBOTTENS LÄN</t>
        </is>
      </c>
      <c r="E8065" t="inlineStr">
        <is>
          <t>SKELLEFTEÅ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42241-2025</t>
        </is>
      </c>
      <c r="B8066" s="1" t="n">
        <v>45903</v>
      </c>
      <c r="C8066" s="1" t="n">
        <v>45971</v>
      </c>
      <c r="D8066" t="inlineStr">
        <is>
          <t>VÄSTERBOTTENS LÄN</t>
        </is>
      </c>
      <c r="E8066" t="inlineStr">
        <is>
          <t>SKELLEFTEÅ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41973-2025</t>
        </is>
      </c>
      <c r="B8067" s="1" t="n">
        <v>45903.49407407407</v>
      </c>
      <c r="C8067" s="1" t="n">
        <v>45971</v>
      </c>
      <c r="D8067" t="inlineStr">
        <is>
          <t>VÄSTERBOTTENS LÄN</t>
        </is>
      </c>
      <c r="E8067" t="inlineStr">
        <is>
          <t>SKELLEFTEÅ</t>
        </is>
      </c>
      <c r="F8067" t="inlineStr">
        <is>
          <t>Holmen skog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41992-2025</t>
        </is>
      </c>
      <c r="B8068" s="1" t="n">
        <v>45903</v>
      </c>
      <c r="C8068" s="1" t="n">
        <v>45971</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11320-2024</t>
        </is>
      </c>
      <c r="B8069" s="1" t="n">
        <v>45371</v>
      </c>
      <c r="C8069" s="1" t="n">
        <v>45971</v>
      </c>
      <c r="D8069" t="inlineStr">
        <is>
          <t>VÄSTERBOTTENS LÄN</t>
        </is>
      </c>
      <c r="E8069" t="inlineStr">
        <is>
          <t>SORSELE</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25573-2025</t>
        </is>
      </c>
      <c r="B8070" s="1" t="n">
        <v>45803.47020833333</v>
      </c>
      <c r="C8070" s="1" t="n">
        <v>45971</v>
      </c>
      <c r="D8070" t="inlineStr">
        <is>
          <t>VÄSTERBOTTENS LÄN</t>
        </is>
      </c>
      <c r="E8070" t="inlineStr">
        <is>
          <t>LYCKSELE</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25577-2025</t>
        </is>
      </c>
      <c r="B8071" s="1" t="n">
        <v>45803.47759259259</v>
      </c>
      <c r="C8071" s="1" t="n">
        <v>45971</v>
      </c>
      <c r="D8071" t="inlineStr">
        <is>
          <t>VÄSTERBOTTENS LÄN</t>
        </is>
      </c>
      <c r="E8071" t="inlineStr">
        <is>
          <t>ROBERTSFORS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25618-2025</t>
        </is>
      </c>
      <c r="B8072" s="1" t="n">
        <v>45803.57362268519</v>
      </c>
      <c r="C8072" s="1" t="n">
        <v>45971</v>
      </c>
      <c r="D8072" t="inlineStr">
        <is>
          <t>VÄSTERBOTTENS LÄN</t>
        </is>
      </c>
      <c r="E8072" t="inlineStr">
        <is>
          <t>LYCKSELE</t>
        </is>
      </c>
      <c r="F8072" t="inlineStr">
        <is>
          <t>SCA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33049-2025</t>
        </is>
      </c>
      <c r="B8073" s="1" t="n">
        <v>45840.42099537037</v>
      </c>
      <c r="C8073" s="1" t="n">
        <v>45971</v>
      </c>
      <c r="D8073" t="inlineStr">
        <is>
          <t>VÄSTERBOTTENS LÄN</t>
        </is>
      </c>
      <c r="E8073" t="inlineStr">
        <is>
          <t>UMEÅ</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31129-2025</t>
        </is>
      </c>
      <c r="B8074" s="1" t="n">
        <v>45831</v>
      </c>
      <c r="C8074" s="1" t="n">
        <v>45971</v>
      </c>
      <c r="D8074" t="inlineStr">
        <is>
          <t>VÄSTERBOTTENS LÄN</t>
        </is>
      </c>
      <c r="E8074" t="inlineStr">
        <is>
          <t>SORSELE</t>
        </is>
      </c>
      <c r="G8074" t="n">
        <v>47.3</v>
      </c>
      <c r="H8074" t="n">
        <v>0</v>
      </c>
      <c r="I8074" t="n">
        <v>0</v>
      </c>
      <c r="J8074" t="n">
        <v>0</v>
      </c>
      <c r="K8074" t="n">
        <v>0</v>
      </c>
      <c r="L8074" t="n">
        <v>0</v>
      </c>
      <c r="M8074" t="n">
        <v>0</v>
      </c>
      <c r="N8074" t="n">
        <v>0</v>
      </c>
      <c r="O8074" t="n">
        <v>0</v>
      </c>
      <c r="P8074" t="n">
        <v>0</v>
      </c>
      <c r="Q8074" t="n">
        <v>0</v>
      </c>
      <c r="R8074" s="2" t="inlineStr"/>
    </row>
    <row r="8075" ht="15" customHeight="1">
      <c r="A8075" t="inlineStr">
        <is>
          <t>A 50810-2025</t>
        </is>
      </c>
      <c r="B8075" s="1" t="n">
        <v>45946.51113425926</v>
      </c>
      <c r="C8075" s="1" t="n">
        <v>45971</v>
      </c>
      <c r="D8075" t="inlineStr">
        <is>
          <t>VÄSTERBOTTENS LÄN</t>
        </is>
      </c>
      <c r="E8075" t="inlineStr">
        <is>
          <t>BJURHOLM</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25676-2025</t>
        </is>
      </c>
      <c r="B8076" s="1" t="n">
        <v>45803.63585648148</v>
      </c>
      <c r="C8076" s="1" t="n">
        <v>45971</v>
      </c>
      <c r="D8076" t="inlineStr">
        <is>
          <t>VÄSTERBOTTENS LÄN</t>
        </is>
      </c>
      <c r="E8076" t="inlineStr">
        <is>
          <t>DOROTEA</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25686-2025</t>
        </is>
      </c>
      <c r="B8077" s="1" t="n">
        <v>45803.65416666667</v>
      </c>
      <c r="C8077" s="1" t="n">
        <v>45971</v>
      </c>
      <c r="D8077" t="inlineStr">
        <is>
          <t>VÄSTERBOTTENS LÄN</t>
        </is>
      </c>
      <c r="E8077" t="inlineStr">
        <is>
          <t>VINDELN</t>
        </is>
      </c>
      <c r="F8077" t="inlineStr">
        <is>
          <t>Holmen skog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60339-2023</t>
        </is>
      </c>
      <c r="B8078" s="1" t="n">
        <v>45259</v>
      </c>
      <c r="C8078" s="1" t="n">
        <v>45971</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31805-2025</t>
        </is>
      </c>
      <c r="B8079" s="1" t="n">
        <v>45834.55314814814</v>
      </c>
      <c r="C8079" s="1" t="n">
        <v>45971</v>
      </c>
      <c r="D8079" t="inlineStr">
        <is>
          <t>VÄSTERBOTTENS LÄN</t>
        </is>
      </c>
      <c r="E8079" t="inlineStr">
        <is>
          <t>UMEÅ</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59442-2024</t>
        </is>
      </c>
      <c r="B8080" s="1" t="n">
        <v>45638.44524305555</v>
      </c>
      <c r="C8080" s="1" t="n">
        <v>45971</v>
      </c>
      <c r="D8080" t="inlineStr">
        <is>
          <t>VÄSTERBOTTENS LÄN</t>
        </is>
      </c>
      <c r="E8080" t="inlineStr">
        <is>
          <t>SKELLEFTEÅ</t>
        </is>
      </c>
      <c r="F8080" t="inlineStr">
        <is>
          <t>Holmen skog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42114-2025</t>
        </is>
      </c>
      <c r="B8081" s="1" t="n">
        <v>45904.33050925926</v>
      </c>
      <c r="C8081" s="1" t="n">
        <v>45971</v>
      </c>
      <c r="D8081" t="inlineStr">
        <is>
          <t>VÄSTERBOTTENS LÄN</t>
        </is>
      </c>
      <c r="E8081" t="inlineStr">
        <is>
          <t>SKELLEFTEÅ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25774-2025</t>
        </is>
      </c>
      <c r="B8082" s="1" t="n">
        <v>45804.34530092592</v>
      </c>
      <c r="C8082" s="1" t="n">
        <v>45971</v>
      </c>
      <c r="D8082" t="inlineStr">
        <is>
          <t>VÄSTERBOTTENS LÄN</t>
        </is>
      </c>
      <c r="E8082" t="inlineStr">
        <is>
          <t>SKELLEFTEÅ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10604-2024</t>
        </is>
      </c>
      <c r="B8083" s="1" t="n">
        <v>45366.93827546296</v>
      </c>
      <c r="C8083" s="1" t="n">
        <v>45971</v>
      </c>
      <c r="D8083" t="inlineStr">
        <is>
          <t>VÄSTERBOTTENS LÄN</t>
        </is>
      </c>
      <c r="E8083" t="inlineStr">
        <is>
          <t>SKELLEFTEÅ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25655-2025</t>
        </is>
      </c>
      <c r="B8084" s="1" t="n">
        <v>45803.61508101852</v>
      </c>
      <c r="C8084" s="1" t="n">
        <v>45971</v>
      </c>
      <c r="D8084" t="inlineStr">
        <is>
          <t>VÄSTERBOTTENS LÄN</t>
        </is>
      </c>
      <c r="E8084" t="inlineStr">
        <is>
          <t>LYCKSELE</t>
        </is>
      </c>
      <c r="F8084" t="inlineStr">
        <is>
          <t>Sveaskog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42136-2025</t>
        </is>
      </c>
      <c r="B8085" s="1" t="n">
        <v>45904</v>
      </c>
      <c r="C8085" s="1" t="n">
        <v>45971</v>
      </c>
      <c r="D8085" t="inlineStr">
        <is>
          <t>VÄSTERBOTTENS LÄN</t>
        </is>
      </c>
      <c r="E8085" t="inlineStr">
        <is>
          <t>SKELLEFTEÅ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1980-2025</t>
        </is>
      </c>
      <c r="B8086" s="1" t="n">
        <v>45671</v>
      </c>
      <c r="C8086" s="1" t="n">
        <v>45971</v>
      </c>
      <c r="D8086" t="inlineStr">
        <is>
          <t>VÄSTERBOTTENS LÄN</t>
        </is>
      </c>
      <c r="E8086" t="inlineStr">
        <is>
          <t>SKELLEFTEÅ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28166-2023</t>
        </is>
      </c>
      <c r="B8087" s="1" t="n">
        <v>45096</v>
      </c>
      <c r="C8087" s="1" t="n">
        <v>45971</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1992-2025</t>
        </is>
      </c>
      <c r="B8088" s="1" t="n">
        <v>45672.43625</v>
      </c>
      <c r="C8088" s="1" t="n">
        <v>45971</v>
      </c>
      <c r="D8088" t="inlineStr">
        <is>
          <t>VÄSTERBOTTENS LÄN</t>
        </is>
      </c>
      <c r="E8088" t="inlineStr">
        <is>
          <t>DOROTEA</t>
        </is>
      </c>
      <c r="F8088" t="inlineStr">
        <is>
          <t>Kommuner</t>
        </is>
      </c>
      <c r="G8088" t="n">
        <v>11.1</v>
      </c>
      <c r="H8088" t="n">
        <v>0</v>
      </c>
      <c r="I8088" t="n">
        <v>0</v>
      </c>
      <c r="J8088" t="n">
        <v>0</v>
      </c>
      <c r="K8088" t="n">
        <v>0</v>
      </c>
      <c r="L8088" t="n">
        <v>0</v>
      </c>
      <c r="M8088" t="n">
        <v>0</v>
      </c>
      <c r="N8088" t="n">
        <v>0</v>
      </c>
      <c r="O8088" t="n">
        <v>0</v>
      </c>
      <c r="P8088" t="n">
        <v>0</v>
      </c>
      <c r="Q8088" t="n">
        <v>0</v>
      </c>
      <c r="R8088" s="2" t="inlineStr"/>
    </row>
    <row r="8089" ht="15" customHeight="1">
      <c r="A8089" t="inlineStr">
        <is>
          <t>A 42234-2025</t>
        </is>
      </c>
      <c r="B8089" s="1" t="n">
        <v>45903</v>
      </c>
      <c r="C8089" s="1" t="n">
        <v>45971</v>
      </c>
      <c r="D8089" t="inlineStr">
        <is>
          <t>VÄSTERBOTTENS LÄN</t>
        </is>
      </c>
      <c r="E8089" t="inlineStr">
        <is>
          <t>SKELLEFTEÅ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48954-2024</t>
        </is>
      </c>
      <c r="B8090" s="1" t="n">
        <v>45594.43673611111</v>
      </c>
      <c r="C8090" s="1" t="n">
        <v>45971</v>
      </c>
      <c r="D8090" t="inlineStr">
        <is>
          <t>VÄSTERBOTTENS LÄN</t>
        </is>
      </c>
      <c r="E8090" t="inlineStr">
        <is>
          <t>NORSJÖ</t>
        </is>
      </c>
      <c r="F8090" t="inlineStr">
        <is>
          <t>Holmen skog AB</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60714-2022</t>
        </is>
      </c>
      <c r="B8091" s="1" t="n">
        <v>44912.69100694444</v>
      </c>
      <c r="C8091" s="1" t="n">
        <v>45971</v>
      </c>
      <c r="D8091" t="inlineStr">
        <is>
          <t>VÄSTERBOTTENS LÄN</t>
        </is>
      </c>
      <c r="E8091" t="inlineStr">
        <is>
          <t>LYCKSELE</t>
        </is>
      </c>
      <c r="F8091" t="inlineStr">
        <is>
          <t>Sveaskog</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26045-2025</t>
        </is>
      </c>
      <c r="B8092" s="1" t="n">
        <v>45804.70626157407</v>
      </c>
      <c r="C8092" s="1" t="n">
        <v>45971</v>
      </c>
      <c r="D8092" t="inlineStr">
        <is>
          <t>VÄSTERBOTTENS LÄN</t>
        </is>
      </c>
      <c r="E8092" t="inlineStr">
        <is>
          <t>SKELLEFTEÅ</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39156-2023</t>
        </is>
      </c>
      <c r="B8093" s="1" t="n">
        <v>45166</v>
      </c>
      <c r="C8093" s="1" t="n">
        <v>45971</v>
      </c>
      <c r="D8093" t="inlineStr">
        <is>
          <t>VÄSTERBOTTENS LÄN</t>
        </is>
      </c>
      <c r="E8093" t="inlineStr">
        <is>
          <t>SKELLEFTEÅ</t>
        </is>
      </c>
      <c r="F8093" t="inlineStr">
        <is>
          <t>Sveaskog</t>
        </is>
      </c>
      <c r="G8093" t="n">
        <v>43.7</v>
      </c>
      <c r="H8093" t="n">
        <v>0</v>
      </c>
      <c r="I8093" t="n">
        <v>0</v>
      </c>
      <c r="J8093" t="n">
        <v>0</v>
      </c>
      <c r="K8093" t="n">
        <v>0</v>
      </c>
      <c r="L8093" t="n">
        <v>0</v>
      </c>
      <c r="M8093" t="n">
        <v>0</v>
      </c>
      <c r="N8093" t="n">
        <v>0</v>
      </c>
      <c r="O8093" t="n">
        <v>0</v>
      </c>
      <c r="P8093" t="n">
        <v>0</v>
      </c>
      <c r="Q8093" t="n">
        <v>0</v>
      </c>
      <c r="R8093" s="2" t="inlineStr"/>
    </row>
    <row r="8094" ht="15" customHeight="1">
      <c r="A8094" t="inlineStr">
        <is>
          <t>A 25942-2025</t>
        </is>
      </c>
      <c r="B8094" s="1" t="n">
        <v>45804.59461805555</v>
      </c>
      <c r="C8094" s="1" t="n">
        <v>45971</v>
      </c>
      <c r="D8094" t="inlineStr">
        <is>
          <t>VÄSTERBOTTENS LÄN</t>
        </is>
      </c>
      <c r="E8094" t="inlineStr">
        <is>
          <t>VILHELMINA</t>
        </is>
      </c>
      <c r="F8094" t="inlineStr">
        <is>
          <t>SCA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61806-2024</t>
        </is>
      </c>
      <c r="B8095" s="1" t="n">
        <v>45649.57627314814</v>
      </c>
      <c r="C8095" s="1" t="n">
        <v>45971</v>
      </c>
      <c r="D8095" t="inlineStr">
        <is>
          <t>VÄSTERBOTTENS LÄN</t>
        </is>
      </c>
      <c r="E8095" t="inlineStr">
        <is>
          <t>BJURHOLM</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25657-2025</t>
        </is>
      </c>
      <c r="B8096" s="1" t="n">
        <v>45803.61543981481</v>
      </c>
      <c r="C8096" s="1" t="n">
        <v>45971</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25514-2025</t>
        </is>
      </c>
      <c r="B8097" s="1" t="n">
        <v>45803.36482638889</v>
      </c>
      <c r="C8097" s="1" t="n">
        <v>45971</v>
      </c>
      <c r="D8097" t="inlineStr">
        <is>
          <t>VÄSTERBOTTENS LÄN</t>
        </is>
      </c>
      <c r="E8097" t="inlineStr">
        <is>
          <t>SKELLEFTEÅ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1257-2024</t>
        </is>
      </c>
      <c r="B8098" s="1" t="n">
        <v>45302</v>
      </c>
      <c r="C8098" s="1" t="n">
        <v>45971</v>
      </c>
      <c r="D8098" t="inlineStr">
        <is>
          <t>VÄSTERBOTTENS LÄN</t>
        </is>
      </c>
      <c r="E8098" t="inlineStr">
        <is>
          <t>SKELLEFTEÅ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25523-2025</t>
        </is>
      </c>
      <c r="B8099" s="1" t="n">
        <v>45803.38633101852</v>
      </c>
      <c r="C8099" s="1" t="n">
        <v>45971</v>
      </c>
      <c r="D8099" t="inlineStr">
        <is>
          <t>VÄSTERBOTTENS LÄN</t>
        </is>
      </c>
      <c r="E8099" t="inlineStr">
        <is>
          <t>DOROTEA</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25525-2025</t>
        </is>
      </c>
      <c r="B8100" s="1" t="n">
        <v>45803.3865162037</v>
      </c>
      <c r="C8100" s="1" t="n">
        <v>45971</v>
      </c>
      <c r="D8100" t="inlineStr">
        <is>
          <t>VÄSTERBOTTENS LÄN</t>
        </is>
      </c>
      <c r="E8100" t="inlineStr">
        <is>
          <t>SKELLEFTEÅ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2767-2025</t>
        </is>
      </c>
      <c r="B8101" s="1" t="n">
        <v>45677</v>
      </c>
      <c r="C8101" s="1" t="n">
        <v>45971</v>
      </c>
      <c r="D8101" t="inlineStr">
        <is>
          <t>VÄSTERBOTTENS LÄN</t>
        </is>
      </c>
      <c r="E8101" t="inlineStr">
        <is>
          <t>UMEÅ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26892-2022</t>
        </is>
      </c>
      <c r="B8102" s="1" t="n">
        <v>44740</v>
      </c>
      <c r="C8102" s="1" t="n">
        <v>45971</v>
      </c>
      <c r="D8102" t="inlineStr">
        <is>
          <t>VÄSTERBOTTENS LÄN</t>
        </is>
      </c>
      <c r="E8102" t="inlineStr">
        <is>
          <t>MALÅ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46908-2024</t>
        </is>
      </c>
      <c r="B8103" s="1" t="n">
        <v>45583</v>
      </c>
      <c r="C8103" s="1" t="n">
        <v>45971</v>
      </c>
      <c r="D8103" t="inlineStr">
        <is>
          <t>VÄSTERBOTTENS LÄN</t>
        </is>
      </c>
      <c r="E8103" t="inlineStr">
        <is>
          <t>VILHELMINA</t>
        </is>
      </c>
      <c r="F8103" t="inlineStr">
        <is>
          <t>SCA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26307-2025</t>
        </is>
      </c>
      <c r="B8104" s="1" t="n">
        <v>45805.64918981482</v>
      </c>
      <c r="C8104" s="1" t="n">
        <v>45971</v>
      </c>
      <c r="D8104" t="inlineStr">
        <is>
          <t>VÄSTERBOTTENS LÄN</t>
        </is>
      </c>
      <c r="E8104" t="inlineStr">
        <is>
          <t>VINDELN</t>
        </is>
      </c>
      <c r="F8104" t="inlineStr">
        <is>
          <t>Holmen skog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53075-2022</t>
        </is>
      </c>
      <c r="B8105" s="1" t="n">
        <v>44876</v>
      </c>
      <c r="C8105" s="1" t="n">
        <v>45971</v>
      </c>
      <c r="D8105" t="inlineStr">
        <is>
          <t>VÄSTERBOTTENS LÄN</t>
        </is>
      </c>
      <c r="E8105" t="inlineStr">
        <is>
          <t>SKELLEFTEÅ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42054-2025</t>
        </is>
      </c>
      <c r="B8106" s="1" t="n">
        <v>45903</v>
      </c>
      <c r="C8106" s="1" t="n">
        <v>45971</v>
      </c>
      <c r="D8106" t="inlineStr">
        <is>
          <t>VÄSTERBOTTENS LÄN</t>
        </is>
      </c>
      <c r="E8106" t="inlineStr">
        <is>
          <t>NORDMALING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42059-2025</t>
        </is>
      </c>
      <c r="B8107" s="1" t="n">
        <v>45903</v>
      </c>
      <c r="C8107" s="1" t="n">
        <v>45971</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26194-2025</t>
        </is>
      </c>
      <c r="B8108" s="1" t="n">
        <v>45805.48989583334</v>
      </c>
      <c r="C8108" s="1" t="n">
        <v>45971</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49879-2024</t>
        </is>
      </c>
      <c r="B8109" s="1" t="n">
        <v>45597.49931712963</v>
      </c>
      <c r="C8109" s="1" t="n">
        <v>45971</v>
      </c>
      <c r="D8109" t="inlineStr">
        <is>
          <t>VÄSTERBOTTENS LÄN</t>
        </is>
      </c>
      <c r="E8109" t="inlineStr">
        <is>
          <t>ÅSELE</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26483-2022</t>
        </is>
      </c>
      <c r="B8110" s="1" t="n">
        <v>44739</v>
      </c>
      <c r="C8110" s="1" t="n">
        <v>45971</v>
      </c>
      <c r="D8110" t="inlineStr">
        <is>
          <t>VÄSTERBOTTENS LÄN</t>
        </is>
      </c>
      <c r="E8110" t="inlineStr">
        <is>
          <t>SKELLEFTEÅ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50560-2025</t>
        </is>
      </c>
      <c r="B8111" s="1" t="n">
        <v>45945</v>
      </c>
      <c r="C8111" s="1" t="n">
        <v>45971</v>
      </c>
      <c r="D8111" t="inlineStr">
        <is>
          <t>VÄSTERBOTTENS LÄN</t>
        </is>
      </c>
      <c r="E8111" t="inlineStr">
        <is>
          <t>VINDELN</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26098-2025</t>
        </is>
      </c>
      <c r="B8112" s="1" t="n">
        <v>45805</v>
      </c>
      <c r="C8112" s="1" t="n">
        <v>45971</v>
      </c>
      <c r="D8112" t="inlineStr">
        <is>
          <t>VÄSTERBOTTENS LÄN</t>
        </is>
      </c>
      <c r="E8112" t="inlineStr">
        <is>
          <t>VILHELMINA</t>
        </is>
      </c>
      <c r="F8112" t="inlineStr">
        <is>
          <t>Övriga statliga verk och myndigheter</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26151-2025</t>
        </is>
      </c>
      <c r="B8113" s="1" t="n">
        <v>45805.43233796296</v>
      </c>
      <c r="C8113" s="1" t="n">
        <v>45971</v>
      </c>
      <c r="D8113" t="inlineStr">
        <is>
          <t>VÄSTERBOTTENS LÄN</t>
        </is>
      </c>
      <c r="E8113" t="inlineStr">
        <is>
          <t>LYCKSELE</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51949-2024</t>
        </is>
      </c>
      <c r="B8114" s="1" t="n">
        <v>45607.63787037037</v>
      </c>
      <c r="C8114" s="1" t="n">
        <v>45971</v>
      </c>
      <c r="D8114" t="inlineStr">
        <is>
          <t>VÄSTERBOTTENS LÄN</t>
        </is>
      </c>
      <c r="E8114" t="inlineStr">
        <is>
          <t>ROBERTSFORS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26168-2025</t>
        </is>
      </c>
      <c r="B8115" s="1" t="n">
        <v>45805.4591087963</v>
      </c>
      <c r="C8115" s="1" t="n">
        <v>45971</v>
      </c>
      <c r="D8115" t="inlineStr">
        <is>
          <t>VÄSTERBOTTENS LÄN</t>
        </is>
      </c>
      <c r="E8115" t="inlineStr">
        <is>
          <t>VINDELN</t>
        </is>
      </c>
      <c r="F8115" t="inlineStr">
        <is>
          <t>Holmen skog AB</t>
        </is>
      </c>
      <c r="G8115" t="n">
        <v>11.5</v>
      </c>
      <c r="H8115" t="n">
        <v>0</v>
      </c>
      <c r="I8115" t="n">
        <v>0</v>
      </c>
      <c r="J8115" t="n">
        <v>0</v>
      </c>
      <c r="K8115" t="n">
        <v>0</v>
      </c>
      <c r="L8115" t="n">
        <v>0</v>
      </c>
      <c r="M8115" t="n">
        <v>0</v>
      </c>
      <c r="N8115" t="n">
        <v>0</v>
      </c>
      <c r="O8115" t="n">
        <v>0</v>
      </c>
      <c r="P8115" t="n">
        <v>0</v>
      </c>
      <c r="Q8115" t="n">
        <v>0</v>
      </c>
      <c r="R8115" s="2" t="inlineStr"/>
    </row>
    <row r="8116" ht="15" customHeight="1">
      <c r="A8116" t="inlineStr">
        <is>
          <t>A 42137-2025</t>
        </is>
      </c>
      <c r="B8116" s="1" t="n">
        <v>45904.35496527778</v>
      </c>
      <c r="C8116" s="1" t="n">
        <v>45971</v>
      </c>
      <c r="D8116" t="inlineStr">
        <is>
          <t>VÄSTERBOTTENS LÄN</t>
        </is>
      </c>
      <c r="E8116" t="inlineStr">
        <is>
          <t>SKELLEFTEÅ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43649-2024</t>
        </is>
      </c>
      <c r="B8117" s="1" t="n">
        <v>45569.53054398148</v>
      </c>
      <c r="C8117" s="1" t="n">
        <v>45971</v>
      </c>
      <c r="D8117" t="inlineStr">
        <is>
          <t>VÄSTERBOTTENS LÄN</t>
        </is>
      </c>
      <c r="E8117" t="inlineStr">
        <is>
          <t>UMEÅ</t>
        </is>
      </c>
      <c r="F8117" t="inlineStr">
        <is>
          <t>Kommuner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26113-2025</t>
        </is>
      </c>
      <c r="B8118" s="1" t="n">
        <v>45805.36946759259</v>
      </c>
      <c r="C8118" s="1" t="n">
        <v>45971</v>
      </c>
      <c r="D8118" t="inlineStr">
        <is>
          <t>VÄSTERBOTTENS LÄN</t>
        </is>
      </c>
      <c r="E8118" t="inlineStr">
        <is>
          <t>ÅSELE</t>
        </is>
      </c>
      <c r="F8118" t="inlineStr">
        <is>
          <t>Sveaskog</t>
        </is>
      </c>
      <c r="G8118" t="n">
        <v>45.5</v>
      </c>
      <c r="H8118" t="n">
        <v>0</v>
      </c>
      <c r="I8118" t="n">
        <v>0</v>
      </c>
      <c r="J8118" t="n">
        <v>0</v>
      </c>
      <c r="K8118" t="n">
        <v>0</v>
      </c>
      <c r="L8118" t="n">
        <v>0</v>
      </c>
      <c r="M8118" t="n">
        <v>0</v>
      </c>
      <c r="N8118" t="n">
        <v>0</v>
      </c>
      <c r="O8118" t="n">
        <v>0</v>
      </c>
      <c r="P8118" t="n">
        <v>0</v>
      </c>
      <c r="Q8118" t="n">
        <v>0</v>
      </c>
      <c r="R8118" s="2" t="inlineStr"/>
    </row>
    <row r="8119" ht="15" customHeight="1">
      <c r="A8119" t="inlineStr">
        <is>
          <t>A 41123-2025</t>
        </is>
      </c>
      <c r="B8119" s="1" t="n">
        <v>45898</v>
      </c>
      <c r="C8119" s="1" t="n">
        <v>45971</v>
      </c>
      <c r="D8119" t="inlineStr">
        <is>
          <t>VÄSTERBOTTENS LÄN</t>
        </is>
      </c>
      <c r="E8119" t="inlineStr">
        <is>
          <t>NORSJÖ</t>
        </is>
      </c>
      <c r="G8119" t="n">
        <v>24.2</v>
      </c>
      <c r="H8119" t="n">
        <v>0</v>
      </c>
      <c r="I8119" t="n">
        <v>0</v>
      </c>
      <c r="J8119" t="n">
        <v>0</v>
      </c>
      <c r="K8119" t="n">
        <v>0</v>
      </c>
      <c r="L8119" t="n">
        <v>0</v>
      </c>
      <c r="M8119" t="n">
        <v>0</v>
      </c>
      <c r="N8119" t="n">
        <v>0</v>
      </c>
      <c r="O8119" t="n">
        <v>0</v>
      </c>
      <c r="P8119" t="n">
        <v>0</v>
      </c>
      <c r="Q8119" t="n">
        <v>0</v>
      </c>
      <c r="R8119" s="2" t="inlineStr"/>
    </row>
    <row r="8120" ht="15" customHeight="1">
      <c r="A8120" t="inlineStr">
        <is>
          <t>A 41953-2025</t>
        </is>
      </c>
      <c r="B8120" s="1" t="n">
        <v>45903.45978009259</v>
      </c>
      <c r="C8120" s="1" t="n">
        <v>45971</v>
      </c>
      <c r="D8120" t="inlineStr">
        <is>
          <t>VÄSTERBOTTENS LÄN</t>
        </is>
      </c>
      <c r="E8120" t="inlineStr">
        <is>
          <t>SKELLEFTEÅ</t>
        </is>
      </c>
      <c r="F8120" t="inlineStr">
        <is>
          <t>Holmen skog AB</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27355-2023</t>
        </is>
      </c>
      <c r="B8121" s="1" t="n">
        <v>45096</v>
      </c>
      <c r="C8121" s="1" t="n">
        <v>45971</v>
      </c>
      <c r="D8121" t="inlineStr">
        <is>
          <t>VÄSTERBOTTENS LÄN</t>
        </is>
      </c>
      <c r="E8121" t="inlineStr">
        <is>
          <t>VILHELMINA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56498-2024</t>
        </is>
      </c>
      <c r="B8122" s="1" t="n">
        <v>45625.49637731481</v>
      </c>
      <c r="C8122" s="1" t="n">
        <v>45971</v>
      </c>
      <c r="D8122" t="inlineStr">
        <is>
          <t>VÄSTERBOTTENS LÄN</t>
        </is>
      </c>
      <c r="E8122" t="inlineStr">
        <is>
          <t>NORSJÖ</t>
        </is>
      </c>
      <c r="F8122" t="inlineStr">
        <is>
          <t>Holmen skog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41961-2025</t>
        </is>
      </c>
      <c r="B8123" s="1" t="n">
        <v>45903</v>
      </c>
      <c r="C8123" s="1" t="n">
        <v>45971</v>
      </c>
      <c r="D8123" t="inlineStr">
        <is>
          <t>VÄSTERBOTTENS LÄN</t>
        </is>
      </c>
      <c r="E8123" t="inlineStr">
        <is>
          <t>ÅSELE</t>
        </is>
      </c>
      <c r="F8123" t="inlineStr">
        <is>
          <t>SCA</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41983-2025</t>
        </is>
      </c>
      <c r="B8124" s="1" t="n">
        <v>45903.53185185185</v>
      </c>
      <c r="C8124" s="1" t="n">
        <v>45971</v>
      </c>
      <c r="D8124" t="inlineStr">
        <is>
          <t>VÄSTERBOTTENS LÄN</t>
        </is>
      </c>
      <c r="E8124" t="inlineStr">
        <is>
          <t>NORDMALING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42007-2025</t>
        </is>
      </c>
      <c r="B8125" s="1" t="n">
        <v>45903.55988425926</v>
      </c>
      <c r="C8125" s="1" t="n">
        <v>45971</v>
      </c>
      <c r="D8125" t="inlineStr">
        <is>
          <t>VÄSTERBOTTENS LÄN</t>
        </is>
      </c>
      <c r="E8125" t="inlineStr">
        <is>
          <t>SKELLEFTEÅ</t>
        </is>
      </c>
      <c r="F8125" t="inlineStr">
        <is>
          <t>Holmen skog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26227-2025</t>
        </is>
      </c>
      <c r="B8126" s="1" t="n">
        <v>45805</v>
      </c>
      <c r="C8126" s="1" t="n">
        <v>45971</v>
      </c>
      <c r="D8126" t="inlineStr">
        <is>
          <t>VÄSTERBOTTENS LÄN</t>
        </is>
      </c>
      <c r="E8126" t="inlineStr">
        <is>
          <t>LYCKSELE</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26234-2025</t>
        </is>
      </c>
      <c r="B8127" s="1" t="n">
        <v>45805</v>
      </c>
      <c r="C8127" s="1" t="n">
        <v>45971</v>
      </c>
      <c r="D8127" t="inlineStr">
        <is>
          <t>VÄSTERBOTTENS LÄN</t>
        </is>
      </c>
      <c r="E8127" t="inlineStr">
        <is>
          <t>LYCKSELE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42019-2025</t>
        </is>
      </c>
      <c r="B8128" s="1" t="n">
        <v>45903.58563657408</v>
      </c>
      <c r="C8128" s="1" t="n">
        <v>45971</v>
      </c>
      <c r="D8128" t="inlineStr">
        <is>
          <t>VÄSTERBOTTENS LÄN</t>
        </is>
      </c>
      <c r="E8128" t="inlineStr">
        <is>
          <t>LYCKSELE</t>
        </is>
      </c>
      <c r="F8128" t="inlineStr">
        <is>
          <t>Holmen skog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56502-2024</t>
        </is>
      </c>
      <c r="B8129" s="1" t="n">
        <v>45625.50078703704</v>
      </c>
      <c r="C8129" s="1" t="n">
        <v>45971</v>
      </c>
      <c r="D8129" t="inlineStr">
        <is>
          <t>VÄSTERBOTTENS LÄN</t>
        </is>
      </c>
      <c r="E8129" t="inlineStr">
        <is>
          <t>ROBERTSFORS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31132-2023</t>
        </is>
      </c>
      <c r="B8130" s="1" t="n">
        <v>45103</v>
      </c>
      <c r="C8130" s="1" t="n">
        <v>45971</v>
      </c>
      <c r="D8130" t="inlineStr">
        <is>
          <t>VÄSTERBOTTENS LÄN</t>
        </is>
      </c>
      <c r="E8130" t="inlineStr">
        <is>
          <t>VÄNNÄS</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26315-2025</t>
        </is>
      </c>
      <c r="B8131" s="1" t="n">
        <v>45805.65696759259</v>
      </c>
      <c r="C8131" s="1" t="n">
        <v>45971</v>
      </c>
      <c r="D8131" t="inlineStr">
        <is>
          <t>VÄSTERBOTTENS LÄN</t>
        </is>
      </c>
      <c r="E8131" t="inlineStr">
        <is>
          <t>DOROTEA</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42118-2025</t>
        </is>
      </c>
      <c r="B8132" s="1" t="n">
        <v>45904.33653935185</v>
      </c>
      <c r="C8132" s="1" t="n">
        <v>45971</v>
      </c>
      <c r="D8132" t="inlineStr">
        <is>
          <t>VÄSTERBOTTENS LÄN</t>
        </is>
      </c>
      <c r="E8132" t="inlineStr">
        <is>
          <t>SKELLEFTEÅ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42176-2025</t>
        </is>
      </c>
      <c r="B8133" s="1" t="n">
        <v>45904.44513888889</v>
      </c>
      <c r="C8133" s="1" t="n">
        <v>45971</v>
      </c>
      <c r="D8133" t="inlineStr">
        <is>
          <t>VÄSTERBOTTENS LÄN</t>
        </is>
      </c>
      <c r="E8133" t="inlineStr">
        <is>
          <t>UMEÅ</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7312-2024</t>
        </is>
      </c>
      <c r="B8134" s="1" t="n">
        <v>45345.34260416667</v>
      </c>
      <c r="C8134" s="1" t="n">
        <v>45971</v>
      </c>
      <c r="D8134" t="inlineStr">
        <is>
          <t>VÄSTERBOTTENS LÄN</t>
        </is>
      </c>
      <c r="E8134" t="inlineStr">
        <is>
          <t>BJURHOLM</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42028-2025</t>
        </is>
      </c>
      <c r="B8135" s="1" t="n">
        <v>45903.59854166667</v>
      </c>
      <c r="C8135" s="1" t="n">
        <v>45971</v>
      </c>
      <c r="D8135" t="inlineStr">
        <is>
          <t>VÄSTERBOTTENS LÄN</t>
        </is>
      </c>
      <c r="E8135" t="inlineStr">
        <is>
          <t>LYCKSELE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26310-2025</t>
        </is>
      </c>
      <c r="B8136" s="1" t="n">
        <v>45805.65432870371</v>
      </c>
      <c r="C8136" s="1" t="n">
        <v>45971</v>
      </c>
      <c r="D8136" t="inlineStr">
        <is>
          <t>VÄSTERBOTTENS LÄN</t>
        </is>
      </c>
      <c r="E8136" t="inlineStr">
        <is>
          <t>UMEÅ</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3674-2025</t>
        </is>
      </c>
      <c r="B8137" s="1" t="n">
        <v>45681.43738425926</v>
      </c>
      <c r="C8137" s="1" t="n">
        <v>45971</v>
      </c>
      <c r="D8137" t="inlineStr">
        <is>
          <t>VÄSTERBOTTENS LÄN</t>
        </is>
      </c>
      <c r="E8137" t="inlineStr">
        <is>
          <t>SKELLEFTEÅ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26329-2025</t>
        </is>
      </c>
      <c r="B8138" s="1" t="n">
        <v>45805</v>
      </c>
      <c r="C8138" s="1" t="n">
        <v>45971</v>
      </c>
      <c r="D8138" t="inlineStr">
        <is>
          <t>VÄSTERBOTTENS LÄN</t>
        </is>
      </c>
      <c r="E8138" t="inlineStr">
        <is>
          <t>STORUMAN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26332-2025</t>
        </is>
      </c>
      <c r="B8139" s="1" t="n">
        <v>45805.68605324074</v>
      </c>
      <c r="C8139" s="1" t="n">
        <v>45971</v>
      </c>
      <c r="D8139" t="inlineStr">
        <is>
          <t>VÄSTERBOTTENS LÄN</t>
        </is>
      </c>
      <c r="E8139" t="inlineStr">
        <is>
          <t>VINDELN</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26159-2025</t>
        </is>
      </c>
      <c r="B8140" s="1" t="n">
        <v>45805.44869212963</v>
      </c>
      <c r="C8140" s="1" t="n">
        <v>45971</v>
      </c>
      <c r="D8140" t="inlineStr">
        <is>
          <t>VÄSTERBOTTENS LÄN</t>
        </is>
      </c>
      <c r="E8140" t="inlineStr">
        <is>
          <t>ÅSELE</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45101-2023</t>
        </is>
      </c>
      <c r="B8141" s="1" t="n">
        <v>45190</v>
      </c>
      <c r="C8141" s="1" t="n">
        <v>45971</v>
      </c>
      <c r="D8141" t="inlineStr">
        <is>
          <t>VÄSTERBOTTENS LÄN</t>
        </is>
      </c>
      <c r="E8141" t="inlineStr">
        <is>
          <t>MALÅ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44166-2024</t>
        </is>
      </c>
      <c r="B8142" s="1" t="n">
        <v>45572.73465277778</v>
      </c>
      <c r="C8142" s="1" t="n">
        <v>45971</v>
      </c>
      <c r="D8142" t="inlineStr">
        <is>
          <t>VÄSTERBOTTENS LÄN</t>
        </is>
      </c>
      <c r="E8142" t="inlineStr">
        <is>
          <t>UMEÅ</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57195-2021</t>
        </is>
      </c>
      <c r="B8143" s="1" t="n">
        <v>44482.9227662037</v>
      </c>
      <c r="C8143" s="1" t="n">
        <v>45971</v>
      </c>
      <c r="D8143" t="inlineStr">
        <is>
          <t>VÄSTERBOTTENS LÄN</t>
        </is>
      </c>
      <c r="E8143" t="inlineStr">
        <is>
          <t>NORSJÖ</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26104-2025</t>
        </is>
      </c>
      <c r="B8144" s="1" t="n">
        <v>45805.36008101852</v>
      </c>
      <c r="C8144" s="1" t="n">
        <v>45971</v>
      </c>
      <c r="D8144" t="inlineStr">
        <is>
          <t>VÄSTERBOTTENS LÄN</t>
        </is>
      </c>
      <c r="E8144" t="inlineStr">
        <is>
          <t>ÅSELE</t>
        </is>
      </c>
      <c r="F8144" t="inlineStr">
        <is>
          <t>Sveaskog</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42279-2025</t>
        </is>
      </c>
      <c r="B8145" s="1" t="n">
        <v>45904.61569444444</v>
      </c>
      <c r="C8145" s="1" t="n">
        <v>45971</v>
      </c>
      <c r="D8145" t="inlineStr">
        <is>
          <t>VÄSTERBOTTENS LÄN</t>
        </is>
      </c>
      <c r="E8145" t="inlineStr">
        <is>
          <t>DOROTEA</t>
        </is>
      </c>
      <c r="F8145" t="inlineStr">
        <is>
          <t>SCA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36149-2025</t>
        </is>
      </c>
      <c r="B8146" s="1" t="n">
        <v>45866</v>
      </c>
      <c r="C8146" s="1" t="n">
        <v>45971</v>
      </c>
      <c r="D8146" t="inlineStr">
        <is>
          <t>VÄSTERBOTTENS LÄN</t>
        </is>
      </c>
      <c r="E8146" t="inlineStr">
        <is>
          <t>SKELLEFTEÅ</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26075-2025</t>
        </is>
      </c>
      <c r="B8147" s="1" t="n">
        <v>45805.32921296296</v>
      </c>
      <c r="C8147" s="1" t="n">
        <v>45971</v>
      </c>
      <c r="D8147" t="inlineStr">
        <is>
          <t>VÄSTERBOTTENS LÄN</t>
        </is>
      </c>
      <c r="E8147" t="inlineStr">
        <is>
          <t>ÅSELE</t>
        </is>
      </c>
      <c r="F8147" t="inlineStr">
        <is>
          <t>Sveaskog</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26078-2025</t>
        </is>
      </c>
      <c r="B8148" s="1" t="n">
        <v>45805.3371412037</v>
      </c>
      <c r="C8148" s="1" t="n">
        <v>45971</v>
      </c>
      <c r="D8148" t="inlineStr">
        <is>
          <t>VÄSTERBOTTENS LÄN</t>
        </is>
      </c>
      <c r="E8148" t="inlineStr">
        <is>
          <t>ÅSELE</t>
        </is>
      </c>
      <c r="F8148" t="inlineStr">
        <is>
          <t>Sveaskog</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44483-2024</t>
        </is>
      </c>
      <c r="B8149" s="1" t="n">
        <v>45574</v>
      </c>
      <c r="C8149" s="1" t="n">
        <v>45971</v>
      </c>
      <c r="D8149" t="inlineStr">
        <is>
          <t>VÄSTERBOTTENS LÄN</t>
        </is>
      </c>
      <c r="E8149" t="inlineStr">
        <is>
          <t>SKELLEFTEÅ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50738-2025</t>
        </is>
      </c>
      <c r="B8150" s="1" t="n">
        <v>45946.37640046296</v>
      </c>
      <c r="C8150" s="1" t="n">
        <v>45971</v>
      </c>
      <c r="D8150" t="inlineStr">
        <is>
          <t>VÄSTERBOTTENS LÄN</t>
        </is>
      </c>
      <c r="E8150" t="inlineStr">
        <is>
          <t>STORUMAN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32234-2024</t>
        </is>
      </c>
      <c r="B8151" s="1" t="n">
        <v>45511.92890046296</v>
      </c>
      <c r="C8151" s="1" t="n">
        <v>45971</v>
      </c>
      <c r="D8151" t="inlineStr">
        <is>
          <t>VÄSTERBOTTENS LÄN</t>
        </is>
      </c>
      <c r="E8151" t="inlineStr">
        <is>
          <t>NORSJÖ</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32241-2024</t>
        </is>
      </c>
      <c r="B8152" s="1" t="n">
        <v>45511.92940972222</v>
      </c>
      <c r="C8152" s="1" t="n">
        <v>45971</v>
      </c>
      <c r="D8152" t="inlineStr">
        <is>
          <t>VÄSTERBOTTENS LÄN</t>
        </is>
      </c>
      <c r="E8152" t="inlineStr">
        <is>
          <t>NORSJÖ</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32282-2024</t>
        </is>
      </c>
      <c r="B8153" s="1" t="n">
        <v>45512</v>
      </c>
      <c r="C8153" s="1" t="n">
        <v>45971</v>
      </c>
      <c r="D8153" t="inlineStr">
        <is>
          <t>VÄSTERBOTTENS LÄN</t>
        </is>
      </c>
      <c r="E8153" t="inlineStr">
        <is>
          <t>UMEÅ</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50523-2025</t>
        </is>
      </c>
      <c r="B8154" s="1" t="n">
        <v>45945.46711805555</v>
      </c>
      <c r="C8154" s="1" t="n">
        <v>45971</v>
      </c>
      <c r="D8154" t="inlineStr">
        <is>
          <t>VÄSTERBOTTENS LÄN</t>
        </is>
      </c>
      <c r="E8154" t="inlineStr">
        <is>
          <t>LYCKSELE</t>
        </is>
      </c>
      <c r="G8154" t="n">
        <v>22.4</v>
      </c>
      <c r="H8154" t="n">
        <v>0</v>
      </c>
      <c r="I8154" t="n">
        <v>0</v>
      </c>
      <c r="J8154" t="n">
        <v>0</v>
      </c>
      <c r="K8154" t="n">
        <v>0</v>
      </c>
      <c r="L8154" t="n">
        <v>0</v>
      </c>
      <c r="M8154" t="n">
        <v>0</v>
      </c>
      <c r="N8154" t="n">
        <v>0</v>
      </c>
      <c r="O8154" t="n">
        <v>0</v>
      </c>
      <c r="P8154" t="n">
        <v>0</v>
      </c>
      <c r="Q8154" t="n">
        <v>0</v>
      </c>
      <c r="R8154" s="2" t="inlineStr"/>
    </row>
    <row r="8155" ht="15" customHeight="1">
      <c r="A8155" t="inlineStr">
        <is>
          <t>A 58946-2024</t>
        </is>
      </c>
      <c r="B8155" s="1" t="n">
        <v>45636.55063657407</v>
      </c>
      <c r="C8155" s="1" t="n">
        <v>45971</v>
      </c>
      <c r="D8155" t="inlineStr">
        <is>
          <t>VÄSTERBOTTENS LÄN</t>
        </is>
      </c>
      <c r="E8155" t="inlineStr">
        <is>
          <t>VILHELMINA</t>
        </is>
      </c>
      <c r="F8155" t="inlineStr">
        <is>
          <t>Kommuner</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58999-2024</t>
        </is>
      </c>
      <c r="B8156" s="1" t="n">
        <v>45636</v>
      </c>
      <c r="C8156" s="1" t="n">
        <v>45971</v>
      </c>
      <c r="D8156" t="inlineStr">
        <is>
          <t>VÄSTERBOTTENS LÄN</t>
        </is>
      </c>
      <c r="E8156" t="inlineStr">
        <is>
          <t>VILHELMINA</t>
        </is>
      </c>
      <c r="F8156" t="inlineStr">
        <is>
          <t>Allmännings- och besparingsskogar</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26295-2025</t>
        </is>
      </c>
      <c r="B8157" s="1" t="n">
        <v>45805.63583333333</v>
      </c>
      <c r="C8157" s="1" t="n">
        <v>45971</v>
      </c>
      <c r="D8157" t="inlineStr">
        <is>
          <t>VÄSTERBOTTENS LÄN</t>
        </is>
      </c>
      <c r="E8157" t="inlineStr">
        <is>
          <t>LYCKSELE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32942-2024</t>
        </is>
      </c>
      <c r="B8158" s="1" t="n">
        <v>45517</v>
      </c>
      <c r="C8158" s="1" t="n">
        <v>45971</v>
      </c>
      <c r="D8158" t="inlineStr">
        <is>
          <t>VÄSTERBOTTENS LÄN</t>
        </is>
      </c>
      <c r="E8158" t="inlineStr">
        <is>
          <t>ÅSELE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26352-2025</t>
        </is>
      </c>
      <c r="B8159" s="1" t="n">
        <v>45805.86056712963</v>
      </c>
      <c r="C8159" s="1" t="n">
        <v>45971</v>
      </c>
      <c r="D8159" t="inlineStr">
        <is>
          <t>VÄSTERBOTTENS LÄN</t>
        </is>
      </c>
      <c r="E8159" t="inlineStr">
        <is>
          <t>VINDELN</t>
        </is>
      </c>
      <c r="F8159" t="inlineStr">
        <is>
          <t>Holmen skog AB</t>
        </is>
      </c>
      <c r="G8159" t="n">
        <v>16.5</v>
      </c>
      <c r="H8159" t="n">
        <v>0</v>
      </c>
      <c r="I8159" t="n">
        <v>0</v>
      </c>
      <c r="J8159" t="n">
        <v>0</v>
      </c>
      <c r="K8159" t="n">
        <v>0</v>
      </c>
      <c r="L8159" t="n">
        <v>0</v>
      </c>
      <c r="M8159" t="n">
        <v>0</v>
      </c>
      <c r="N8159" t="n">
        <v>0</v>
      </c>
      <c r="O8159" t="n">
        <v>0</v>
      </c>
      <c r="P8159" t="n">
        <v>0</v>
      </c>
      <c r="Q8159" t="n">
        <v>0</v>
      </c>
      <c r="R8159" s="2" t="inlineStr"/>
    </row>
    <row r="8160" ht="15" customHeight="1">
      <c r="A8160" t="inlineStr">
        <is>
          <t>A 3924-2022</t>
        </is>
      </c>
      <c r="B8160" s="1" t="n">
        <v>44587</v>
      </c>
      <c r="C8160" s="1" t="n">
        <v>45971</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26245-2025</t>
        </is>
      </c>
      <c r="B8161" s="1" t="n">
        <v>45805</v>
      </c>
      <c r="C8161" s="1" t="n">
        <v>45971</v>
      </c>
      <c r="D8161" t="inlineStr">
        <is>
          <t>VÄSTERBOTTENS LÄN</t>
        </is>
      </c>
      <c r="E8161" t="inlineStr">
        <is>
          <t>ÅSELE</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42066-2025</t>
        </is>
      </c>
      <c r="B8162" s="1" t="n">
        <v>45903.65673611111</v>
      </c>
      <c r="C8162" s="1" t="n">
        <v>45971</v>
      </c>
      <c r="D8162" t="inlineStr">
        <is>
          <t>VÄSTERBOTTENS LÄN</t>
        </is>
      </c>
      <c r="E8162" t="inlineStr">
        <is>
          <t>ÅSELE</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13762-2025</t>
        </is>
      </c>
      <c r="B8163" s="1" t="n">
        <v>45737.43103009259</v>
      </c>
      <c r="C8163" s="1" t="n">
        <v>45971</v>
      </c>
      <c r="D8163" t="inlineStr">
        <is>
          <t>VÄSTERBOTTENS LÄN</t>
        </is>
      </c>
      <c r="E8163" t="inlineStr">
        <is>
          <t>VÄNNÄS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26169-2025</t>
        </is>
      </c>
      <c r="B8164" s="1" t="n">
        <v>45805.46100694445</v>
      </c>
      <c r="C8164" s="1" t="n">
        <v>45971</v>
      </c>
      <c r="D8164" t="inlineStr">
        <is>
          <t>VÄSTERBOTTENS LÄN</t>
        </is>
      </c>
      <c r="E8164" t="inlineStr">
        <is>
          <t>VINDELN</t>
        </is>
      </c>
      <c r="F8164" t="inlineStr">
        <is>
          <t>Holmen skog AB</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26199-2025</t>
        </is>
      </c>
      <c r="B8165" s="1" t="n">
        <v>45805.50157407407</v>
      </c>
      <c r="C8165" s="1" t="n">
        <v>45971</v>
      </c>
      <c r="D8165" t="inlineStr">
        <is>
          <t>VÄSTERBOTTENS LÄN</t>
        </is>
      </c>
      <c r="E8165" t="inlineStr">
        <is>
          <t>LYCKSELE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39589-2021</t>
        </is>
      </c>
      <c r="B8166" s="1" t="n">
        <v>44413</v>
      </c>
      <c r="C8166" s="1" t="n">
        <v>45971</v>
      </c>
      <c r="D8166" t="inlineStr">
        <is>
          <t>VÄSTERBOTTENS LÄN</t>
        </is>
      </c>
      <c r="E8166" t="inlineStr">
        <is>
          <t>SKELLEFTEÅ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13822-2025</t>
        </is>
      </c>
      <c r="B8167" s="1" t="n">
        <v>45737.53160879629</v>
      </c>
      <c r="C8167" s="1" t="n">
        <v>45971</v>
      </c>
      <c r="D8167" t="inlineStr">
        <is>
          <t>VÄSTERBOTTENS LÄN</t>
        </is>
      </c>
      <c r="E8167" t="inlineStr">
        <is>
          <t>UMEÅ</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13829-2025</t>
        </is>
      </c>
      <c r="B8168" s="1" t="n">
        <v>45737</v>
      </c>
      <c r="C8168" s="1" t="n">
        <v>45971</v>
      </c>
      <c r="D8168" t="inlineStr">
        <is>
          <t>VÄSTERBOTTENS LÄN</t>
        </is>
      </c>
      <c r="E8168" t="inlineStr">
        <is>
          <t>VILHELMINA</t>
        </is>
      </c>
      <c r="F8168" t="inlineStr">
        <is>
          <t>Övriga statliga verk och myndigheter</t>
        </is>
      </c>
      <c r="G8168" t="n">
        <v>39.7</v>
      </c>
      <c r="H8168" t="n">
        <v>0</v>
      </c>
      <c r="I8168" t="n">
        <v>0</v>
      </c>
      <c r="J8168" t="n">
        <v>0</v>
      </c>
      <c r="K8168" t="n">
        <v>0</v>
      </c>
      <c r="L8168" t="n">
        <v>0</v>
      </c>
      <c r="M8168" t="n">
        <v>0</v>
      </c>
      <c r="N8168" t="n">
        <v>0</v>
      </c>
      <c r="O8168" t="n">
        <v>0</v>
      </c>
      <c r="P8168" t="n">
        <v>0</v>
      </c>
      <c r="Q8168" t="n">
        <v>0</v>
      </c>
      <c r="R8168" s="2" t="inlineStr"/>
    </row>
    <row r="8169" ht="15" customHeight="1">
      <c r="A8169" t="inlineStr">
        <is>
          <t>A 50494-2025</t>
        </is>
      </c>
      <c r="B8169" s="1" t="n">
        <v>45945.40693287037</v>
      </c>
      <c r="C8169" s="1" t="n">
        <v>45971</v>
      </c>
      <c r="D8169" t="inlineStr">
        <is>
          <t>VÄSTERBOTTENS LÄN</t>
        </is>
      </c>
      <c r="E8169" t="inlineStr">
        <is>
          <t>BJURHOLM</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60909-2021</t>
        </is>
      </c>
      <c r="B8170" s="1" t="n">
        <v>44496</v>
      </c>
      <c r="C8170" s="1" t="n">
        <v>45971</v>
      </c>
      <c r="D8170" t="inlineStr">
        <is>
          <t>VÄSTERBOTTENS LÄN</t>
        </is>
      </c>
      <c r="E8170" t="inlineStr">
        <is>
          <t>SORSELE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52178-2022</t>
        </is>
      </c>
      <c r="B8171" s="1" t="n">
        <v>44868</v>
      </c>
      <c r="C8171" s="1" t="n">
        <v>45971</v>
      </c>
      <c r="D8171" t="inlineStr">
        <is>
          <t>VÄSTERBOTTENS LÄN</t>
        </is>
      </c>
      <c r="E8171" t="inlineStr">
        <is>
          <t>VINDELN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7476-2021</t>
        </is>
      </c>
      <c r="B8172" s="1" t="n">
        <v>44239</v>
      </c>
      <c r="C8172" s="1" t="n">
        <v>45971</v>
      </c>
      <c r="D8172" t="inlineStr">
        <is>
          <t>VÄSTERBOTTENS LÄN</t>
        </is>
      </c>
      <c r="E8172" t="inlineStr">
        <is>
          <t>ROBERTSFORS</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31419-2021</t>
        </is>
      </c>
      <c r="B8173" s="1" t="n">
        <v>44368</v>
      </c>
      <c r="C8173" s="1" t="n">
        <v>45971</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50530-2025</t>
        </is>
      </c>
      <c r="B8174" s="1" t="n">
        <v>45945.47358796297</v>
      </c>
      <c r="C8174" s="1" t="n">
        <v>45971</v>
      </c>
      <c r="D8174" t="inlineStr">
        <is>
          <t>VÄSTERBOTTENS LÄN</t>
        </is>
      </c>
      <c r="E8174" t="inlineStr">
        <is>
          <t>DOROTEA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17825-2024</t>
        </is>
      </c>
      <c r="B8175" s="1" t="n">
        <v>45418</v>
      </c>
      <c r="C8175" s="1" t="n">
        <v>45971</v>
      </c>
      <c r="D8175" t="inlineStr">
        <is>
          <t>VÄSTERBOTTENS LÄN</t>
        </is>
      </c>
      <c r="E8175" t="inlineStr">
        <is>
          <t>DOROTEA</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53419-2024</t>
        </is>
      </c>
      <c r="B8176" s="1" t="n">
        <v>45614.51157407407</v>
      </c>
      <c r="C8176" s="1" t="n">
        <v>45971</v>
      </c>
      <c r="D8176" t="inlineStr">
        <is>
          <t>VÄSTERBOTTENS LÄN</t>
        </is>
      </c>
      <c r="E8176" t="inlineStr">
        <is>
          <t>SKELLEFTEÅ</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64035-2020</t>
        </is>
      </c>
      <c r="B8177" s="1" t="n">
        <v>44165</v>
      </c>
      <c r="C8177" s="1" t="n">
        <v>45971</v>
      </c>
      <c r="D8177" t="inlineStr">
        <is>
          <t>VÄSTERBOTTENS LÄN</t>
        </is>
      </c>
      <c r="E8177" t="inlineStr">
        <is>
          <t>ROBERTSFORS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50559-2025</t>
        </is>
      </c>
      <c r="B8178" s="1" t="n">
        <v>45945</v>
      </c>
      <c r="C8178" s="1" t="n">
        <v>45971</v>
      </c>
      <c r="D8178" t="inlineStr">
        <is>
          <t>VÄSTERBOTTENS LÄN</t>
        </is>
      </c>
      <c r="E8178" t="inlineStr">
        <is>
          <t>VINDELN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13852-2025</t>
        </is>
      </c>
      <c r="B8179" s="1" t="n">
        <v>45742</v>
      </c>
      <c r="C8179" s="1" t="n">
        <v>45971</v>
      </c>
      <c r="D8179" t="inlineStr">
        <is>
          <t>VÄSTERBOTTENS LÄN</t>
        </is>
      </c>
      <c r="E8179" t="inlineStr">
        <is>
          <t>DOROTEA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26286-2025</t>
        </is>
      </c>
      <c r="B8180" s="1" t="n">
        <v>45805.62082175926</v>
      </c>
      <c r="C8180" s="1" t="n">
        <v>45971</v>
      </c>
      <c r="D8180" t="inlineStr">
        <is>
          <t>VÄSTERBOTTENS LÄN</t>
        </is>
      </c>
      <c r="E8180" t="inlineStr">
        <is>
          <t>SKELLEFTEÅ</t>
        </is>
      </c>
      <c r="F8180" t="inlineStr">
        <is>
          <t>Sveaskog</t>
        </is>
      </c>
      <c r="G8180" t="n">
        <v>10.9</v>
      </c>
      <c r="H8180" t="n">
        <v>0</v>
      </c>
      <c r="I8180" t="n">
        <v>0</v>
      </c>
      <c r="J8180" t="n">
        <v>0</v>
      </c>
      <c r="K8180" t="n">
        <v>0</v>
      </c>
      <c r="L8180" t="n">
        <v>0</v>
      </c>
      <c r="M8180" t="n">
        <v>0</v>
      </c>
      <c r="N8180" t="n">
        <v>0</v>
      </c>
      <c r="O8180" t="n">
        <v>0</v>
      </c>
      <c r="P8180" t="n">
        <v>0</v>
      </c>
      <c r="Q8180" t="n">
        <v>0</v>
      </c>
      <c r="R8180" s="2" t="inlineStr"/>
    </row>
    <row r="8181" ht="15" customHeight="1">
      <c r="A8181" t="inlineStr">
        <is>
          <t>A 50923-2025</t>
        </is>
      </c>
      <c r="B8181" s="1" t="n">
        <v>45946.67513888889</v>
      </c>
      <c r="C8181" s="1" t="n">
        <v>45971</v>
      </c>
      <c r="D8181" t="inlineStr">
        <is>
          <t>VÄSTERBOTTENS LÄN</t>
        </is>
      </c>
      <c r="E8181" t="inlineStr">
        <is>
          <t>UMEÅ</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21862-2024</t>
        </is>
      </c>
      <c r="B8182" s="1" t="n">
        <v>45443</v>
      </c>
      <c r="C8182" s="1" t="n">
        <v>45971</v>
      </c>
      <c r="D8182" t="inlineStr">
        <is>
          <t>VÄSTERBOTTENS LÄN</t>
        </is>
      </c>
      <c r="E8182" t="inlineStr">
        <is>
          <t>NORDMALING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52521-2024</t>
        </is>
      </c>
      <c r="B8183" s="1" t="n">
        <v>45609.60005787037</v>
      </c>
      <c r="C8183" s="1" t="n">
        <v>45971</v>
      </c>
      <c r="D8183" t="inlineStr">
        <is>
          <t>VÄSTERBOTTENS LÄN</t>
        </is>
      </c>
      <c r="E8183" t="inlineStr">
        <is>
          <t>STORUMAN</t>
        </is>
      </c>
      <c r="F8183" t="inlineStr">
        <is>
          <t>Sveaskog</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40368-2024</t>
        </is>
      </c>
      <c r="B8184" s="1" t="n">
        <v>45555.39041666667</v>
      </c>
      <c r="C8184" s="1" t="n">
        <v>45971</v>
      </c>
      <c r="D8184" t="inlineStr">
        <is>
          <t>VÄSTERBOTTENS LÄN</t>
        </is>
      </c>
      <c r="E8184" t="inlineStr">
        <is>
          <t>STORUMAN</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52535-2024</t>
        </is>
      </c>
      <c r="B8185" s="1" t="n">
        <v>45609.61846064815</v>
      </c>
      <c r="C8185" s="1" t="n">
        <v>45971</v>
      </c>
      <c r="D8185" t="inlineStr">
        <is>
          <t>VÄSTERBOTTENS LÄN</t>
        </is>
      </c>
      <c r="E8185" t="inlineStr">
        <is>
          <t>BJURHOLM</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29573-2023</t>
        </is>
      </c>
      <c r="B8186" s="1" t="n">
        <v>45098</v>
      </c>
      <c r="C8186" s="1" t="n">
        <v>45971</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34082-2022</t>
        </is>
      </c>
      <c r="B8187" s="1" t="n">
        <v>44791</v>
      </c>
      <c r="C8187" s="1" t="n">
        <v>45971</v>
      </c>
      <c r="D8187" t="inlineStr">
        <is>
          <t>VÄSTERBOTTENS LÄN</t>
        </is>
      </c>
      <c r="E8187" t="inlineStr">
        <is>
          <t>SKELLEFTEÅ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40908-2024</t>
        </is>
      </c>
      <c r="B8188" s="1" t="n">
        <v>45558.62386574074</v>
      </c>
      <c r="C8188" s="1" t="n">
        <v>45971</v>
      </c>
      <c r="D8188" t="inlineStr">
        <is>
          <t>VÄSTERBOTTENS LÄN</t>
        </is>
      </c>
      <c r="E8188" t="inlineStr">
        <is>
          <t>LYCKSELE</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40912-2024</t>
        </is>
      </c>
      <c r="B8189" s="1" t="n">
        <v>45558.62707175926</v>
      </c>
      <c r="C8189" s="1" t="n">
        <v>45971</v>
      </c>
      <c r="D8189" t="inlineStr">
        <is>
          <t>VÄSTERBOTTENS LÄN</t>
        </is>
      </c>
      <c r="E8189" t="inlineStr">
        <is>
          <t>LYCKSELE</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26318-2024</t>
        </is>
      </c>
      <c r="B8190" s="1" t="n">
        <v>45468.97400462963</v>
      </c>
      <c r="C8190" s="1" t="n">
        <v>45971</v>
      </c>
      <c r="D8190" t="inlineStr">
        <is>
          <t>VÄSTERBOTTENS LÄN</t>
        </is>
      </c>
      <c r="E8190" t="inlineStr">
        <is>
          <t>LYCKSELE</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26967-2023</t>
        </is>
      </c>
      <c r="B8191" s="1" t="n">
        <v>45091</v>
      </c>
      <c r="C8191" s="1" t="n">
        <v>45971</v>
      </c>
      <c r="D8191" t="inlineStr">
        <is>
          <t>VÄSTERBOTTENS LÄN</t>
        </is>
      </c>
      <c r="E8191" t="inlineStr">
        <is>
          <t>UMEÅ</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12118-2025</t>
        </is>
      </c>
      <c r="B8192" s="1" t="n">
        <v>45729.36533564814</v>
      </c>
      <c r="C8192" s="1" t="n">
        <v>45971</v>
      </c>
      <c r="D8192" t="inlineStr">
        <is>
          <t>VÄSTERBOTTENS LÄN</t>
        </is>
      </c>
      <c r="E8192" t="inlineStr">
        <is>
          <t>DOROTEA</t>
        </is>
      </c>
      <c r="F8192" t="inlineStr">
        <is>
          <t>SCA</t>
        </is>
      </c>
      <c r="G8192" t="n">
        <v>13.5</v>
      </c>
      <c r="H8192" t="n">
        <v>0</v>
      </c>
      <c r="I8192" t="n">
        <v>0</v>
      </c>
      <c r="J8192" t="n">
        <v>0</v>
      </c>
      <c r="K8192" t="n">
        <v>0</v>
      </c>
      <c r="L8192" t="n">
        <v>0</v>
      </c>
      <c r="M8192" t="n">
        <v>0</v>
      </c>
      <c r="N8192" t="n">
        <v>0</v>
      </c>
      <c r="O8192" t="n">
        <v>0</v>
      </c>
      <c r="P8192" t="n">
        <v>0</v>
      </c>
      <c r="Q8192" t="n">
        <v>0</v>
      </c>
      <c r="R8192" s="2" t="inlineStr"/>
    </row>
    <row r="8193" ht="15" customHeight="1">
      <c r="A8193" t="inlineStr">
        <is>
          <t>A 26228-2025</t>
        </is>
      </c>
      <c r="B8193" s="1" t="n">
        <v>45805.56206018518</v>
      </c>
      <c r="C8193" s="1" t="n">
        <v>45971</v>
      </c>
      <c r="D8193" t="inlineStr">
        <is>
          <t>VÄSTERBOTTENS LÄN</t>
        </is>
      </c>
      <c r="E8193" t="inlineStr">
        <is>
          <t>LYCKSELE</t>
        </is>
      </c>
      <c r="F8193" t="inlineStr">
        <is>
          <t>Sveaskog</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21345-2024</t>
        </is>
      </c>
      <c r="B8194" s="1" t="n">
        <v>45440.92866898148</v>
      </c>
      <c r="C8194" s="1" t="n">
        <v>45971</v>
      </c>
      <c r="D8194" t="inlineStr">
        <is>
          <t>VÄSTERBOTTENS LÄN</t>
        </is>
      </c>
      <c r="E8194" t="inlineStr">
        <is>
          <t>VILHELMINA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26115-2025</t>
        </is>
      </c>
      <c r="B8195" s="1" t="n">
        <v>45805.37388888889</v>
      </c>
      <c r="C8195" s="1" t="n">
        <v>45971</v>
      </c>
      <c r="D8195" t="inlineStr">
        <is>
          <t>VÄSTERBOTTENS LÄN</t>
        </is>
      </c>
      <c r="E8195" t="inlineStr">
        <is>
          <t>ÅSELE</t>
        </is>
      </c>
      <c r="F8195" t="inlineStr">
        <is>
          <t>Sveaskog</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26999-2023</t>
        </is>
      </c>
      <c r="B8196" s="1" t="n">
        <v>45093</v>
      </c>
      <c r="C8196" s="1" t="n">
        <v>45971</v>
      </c>
      <c r="D8196" t="inlineStr">
        <is>
          <t>VÄSTERBOTTENS LÄN</t>
        </is>
      </c>
      <c r="E8196" t="inlineStr">
        <is>
          <t>LYCKSELE</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36742-2023</t>
        </is>
      </c>
      <c r="B8197" s="1" t="n">
        <v>45153</v>
      </c>
      <c r="C8197" s="1" t="n">
        <v>45971</v>
      </c>
      <c r="D8197" t="inlineStr">
        <is>
          <t>VÄSTERBOTTENS LÄN</t>
        </is>
      </c>
      <c r="E8197" t="inlineStr">
        <is>
          <t>MALÅ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36747-2023</t>
        </is>
      </c>
      <c r="B8198" s="1" t="n">
        <v>45153</v>
      </c>
      <c r="C8198" s="1" t="n">
        <v>45971</v>
      </c>
      <c r="D8198" t="inlineStr">
        <is>
          <t>VÄSTERBOTTENS LÄN</t>
        </is>
      </c>
      <c r="E8198" t="inlineStr">
        <is>
          <t>MALÅ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33738-2024</t>
        </is>
      </c>
      <c r="B8199" s="1" t="n">
        <v>45520</v>
      </c>
      <c r="C8199" s="1" t="n">
        <v>45971</v>
      </c>
      <c r="D8199" t="inlineStr">
        <is>
          <t>VÄSTERBOTTENS LÄN</t>
        </is>
      </c>
      <c r="E8199" t="inlineStr">
        <is>
          <t>DOROTEA</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26215-2025</t>
        </is>
      </c>
      <c r="B8200" s="1" t="n">
        <v>45805.54438657407</v>
      </c>
      <c r="C8200" s="1" t="n">
        <v>45971</v>
      </c>
      <c r="D8200" t="inlineStr">
        <is>
          <t>VÄSTERBOTTENS LÄN</t>
        </is>
      </c>
      <c r="E8200" t="inlineStr">
        <is>
          <t>SKELLEFTEÅ</t>
        </is>
      </c>
      <c r="G8200" t="n">
        <v>10</v>
      </c>
      <c r="H8200" t="n">
        <v>0</v>
      </c>
      <c r="I8200" t="n">
        <v>0</v>
      </c>
      <c r="J8200" t="n">
        <v>0</v>
      </c>
      <c r="K8200" t="n">
        <v>0</v>
      </c>
      <c r="L8200" t="n">
        <v>0</v>
      </c>
      <c r="M8200" t="n">
        <v>0</v>
      </c>
      <c r="N8200" t="n">
        <v>0</v>
      </c>
      <c r="O8200" t="n">
        <v>0</v>
      </c>
      <c r="P8200" t="n">
        <v>0</v>
      </c>
      <c r="Q8200" t="n">
        <v>0</v>
      </c>
      <c r="R8200" s="2" t="inlineStr"/>
    </row>
    <row r="8201" ht="15" customHeight="1">
      <c r="A8201" t="inlineStr">
        <is>
          <t>A 26344-2025</t>
        </is>
      </c>
      <c r="B8201" s="1" t="n">
        <v>45805</v>
      </c>
      <c r="C8201" s="1" t="n">
        <v>45971</v>
      </c>
      <c r="D8201" t="inlineStr">
        <is>
          <t>VÄSTERBOTTENS LÄN</t>
        </is>
      </c>
      <c r="E8201" t="inlineStr">
        <is>
          <t>STORUMAN</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58856-2024</t>
        </is>
      </c>
      <c r="B8202" s="1" t="n">
        <v>45636.39815972222</v>
      </c>
      <c r="C8202" s="1" t="n">
        <v>45971</v>
      </c>
      <c r="D8202" t="inlineStr">
        <is>
          <t>VÄSTERBOTTENS LÄN</t>
        </is>
      </c>
      <c r="E8202" t="inlineStr">
        <is>
          <t>MALÅ</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26183-2025</t>
        </is>
      </c>
      <c r="B8203" s="1" t="n">
        <v>45805.47530092593</v>
      </c>
      <c r="C8203" s="1" t="n">
        <v>45971</v>
      </c>
      <c r="D8203" t="inlineStr">
        <is>
          <t>VÄSTERBOTTENS LÄN</t>
        </is>
      </c>
      <c r="E8203" t="inlineStr">
        <is>
          <t>UMEÅ</t>
        </is>
      </c>
      <c r="F8203" t="inlineStr">
        <is>
          <t>Holmen skog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58858-2024</t>
        </is>
      </c>
      <c r="B8204" s="1" t="n">
        <v>45636.39973379629</v>
      </c>
      <c r="C8204" s="1" t="n">
        <v>45971</v>
      </c>
      <c r="D8204" t="inlineStr">
        <is>
          <t>VÄSTERBOTTENS LÄN</t>
        </is>
      </c>
      <c r="E8204" t="inlineStr">
        <is>
          <t>MALÅ</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26475-2025</t>
        </is>
      </c>
      <c r="B8205" s="1" t="n">
        <v>45807</v>
      </c>
      <c r="C8205" s="1" t="n">
        <v>45971</v>
      </c>
      <c r="D8205" t="inlineStr">
        <is>
          <t>VÄSTERBOTTENS LÄN</t>
        </is>
      </c>
      <c r="E8205" t="inlineStr">
        <is>
          <t>DOROTEA</t>
        </is>
      </c>
      <c r="F8205" t="inlineStr">
        <is>
          <t>SCA</t>
        </is>
      </c>
      <c r="G8205" t="n">
        <v>18.5</v>
      </c>
      <c r="H8205" t="n">
        <v>0</v>
      </c>
      <c r="I8205" t="n">
        <v>0</v>
      </c>
      <c r="J8205" t="n">
        <v>0</v>
      </c>
      <c r="K8205" t="n">
        <v>0</v>
      </c>
      <c r="L8205" t="n">
        <v>0</v>
      </c>
      <c r="M8205" t="n">
        <v>0</v>
      </c>
      <c r="N8205" t="n">
        <v>0</v>
      </c>
      <c r="O8205" t="n">
        <v>0</v>
      </c>
      <c r="P8205" t="n">
        <v>0</v>
      </c>
      <c r="Q8205" t="n">
        <v>0</v>
      </c>
      <c r="R8205" s="2" t="inlineStr"/>
    </row>
    <row r="8206" ht="15" customHeight="1">
      <c r="A8206" t="inlineStr">
        <is>
          <t>A 55250-2024</t>
        </is>
      </c>
      <c r="B8206" s="1" t="n">
        <v>45621.595</v>
      </c>
      <c r="C8206" s="1" t="n">
        <v>45971</v>
      </c>
      <c r="D8206" t="inlineStr">
        <is>
          <t>VÄSTERBOTTENS LÄN</t>
        </is>
      </c>
      <c r="E8206" t="inlineStr">
        <is>
          <t>LYCKSELE</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42265-2025</t>
        </is>
      </c>
      <c r="B8207" s="1" t="n">
        <v>45904.59950231481</v>
      </c>
      <c r="C8207" s="1" t="n">
        <v>45971</v>
      </c>
      <c r="D8207" t="inlineStr">
        <is>
          <t>VÄSTERBOTTENS LÄN</t>
        </is>
      </c>
      <c r="E8207" t="inlineStr">
        <is>
          <t>ROBERTSFORS</t>
        </is>
      </c>
      <c r="F8207" t="inlineStr">
        <is>
          <t>Holmen skog AB</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42133-2025</t>
        </is>
      </c>
      <c r="B8208" s="1" t="n">
        <v>45904.34597222223</v>
      </c>
      <c r="C8208" s="1" t="n">
        <v>45971</v>
      </c>
      <c r="D8208" t="inlineStr">
        <is>
          <t>VÄSTERBOTTENS LÄN</t>
        </is>
      </c>
      <c r="E8208" t="inlineStr">
        <is>
          <t>SKELLEFTEÅ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41908-2025</t>
        </is>
      </c>
      <c r="B8209" s="1" t="n">
        <v>45903.40730324074</v>
      </c>
      <c r="C8209" s="1" t="n">
        <v>45971</v>
      </c>
      <c r="D8209" t="inlineStr">
        <is>
          <t>VÄSTERBOTTENS LÄN</t>
        </is>
      </c>
      <c r="E8209" t="inlineStr">
        <is>
          <t>SKELLEFTEÅ</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42057-2025</t>
        </is>
      </c>
      <c r="B8210" s="1" t="n">
        <v>45903.64262731482</v>
      </c>
      <c r="C8210" s="1" t="n">
        <v>45971</v>
      </c>
      <c r="D8210" t="inlineStr">
        <is>
          <t>VÄSTERBOTTENS LÄN</t>
        </is>
      </c>
      <c r="E8210" t="inlineStr">
        <is>
          <t>LYCKSELE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50506-2025</t>
        </is>
      </c>
      <c r="B8211" s="1" t="n">
        <v>45945.42958333333</v>
      </c>
      <c r="C8211" s="1" t="n">
        <v>45971</v>
      </c>
      <c r="D8211" t="inlineStr">
        <is>
          <t>VÄSTERBOTTENS LÄN</t>
        </is>
      </c>
      <c r="E8211" t="inlineStr">
        <is>
          <t>SKELLEFTEÅ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50507-2025</t>
        </is>
      </c>
      <c r="B8212" s="1" t="n">
        <v>45945.43255787037</v>
      </c>
      <c r="C8212" s="1" t="n">
        <v>45971</v>
      </c>
      <c r="D8212" t="inlineStr">
        <is>
          <t>VÄSTERBOTTENS LÄN</t>
        </is>
      </c>
      <c r="E8212" t="inlineStr">
        <is>
          <t>SKELLEFTEÅ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50811-2025</t>
        </is>
      </c>
      <c r="B8213" s="1" t="n">
        <v>45946.51122685185</v>
      </c>
      <c r="C8213" s="1" t="n">
        <v>45971</v>
      </c>
      <c r="D8213" t="inlineStr">
        <is>
          <t>VÄSTERBOTTENS LÄN</t>
        </is>
      </c>
      <c r="E8213" t="inlineStr">
        <is>
          <t>BJURHOLM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41909-2025</t>
        </is>
      </c>
      <c r="B8214" s="1" t="n">
        <v>45903.4078125</v>
      </c>
      <c r="C8214" s="1" t="n">
        <v>45971</v>
      </c>
      <c r="D8214" t="inlineStr">
        <is>
          <t>VÄSTERBOTTENS LÄN</t>
        </is>
      </c>
      <c r="E8214" t="inlineStr">
        <is>
          <t>SKELLEFTEÅ</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15028-2025</t>
        </is>
      </c>
      <c r="B8215" s="1" t="n">
        <v>45743.65723379629</v>
      </c>
      <c r="C8215" s="1" t="n">
        <v>45971</v>
      </c>
      <c r="D8215" t="inlineStr">
        <is>
          <t>VÄSTERBOTTENS LÄN</t>
        </is>
      </c>
      <c r="E8215" t="inlineStr">
        <is>
          <t>NORDMALING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52671-2024</t>
        </is>
      </c>
      <c r="B8216" s="1" t="n">
        <v>45610.38056712963</v>
      </c>
      <c r="C8216" s="1" t="n">
        <v>45971</v>
      </c>
      <c r="D8216" t="inlineStr">
        <is>
          <t>VÄSTERBOTTENS LÄN</t>
        </is>
      </c>
      <c r="E8216" t="inlineStr">
        <is>
          <t>BJURHOLM</t>
        </is>
      </c>
      <c r="F8216" t="inlineStr">
        <is>
          <t>Holmen skog AB</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50694-2025</t>
        </is>
      </c>
      <c r="B8217" s="1" t="n">
        <v>45945.86091435186</v>
      </c>
      <c r="C8217" s="1" t="n">
        <v>45971</v>
      </c>
      <c r="D8217" t="inlineStr">
        <is>
          <t>VÄSTERBOTTENS LÄN</t>
        </is>
      </c>
      <c r="E8217" t="inlineStr">
        <is>
          <t>NORDMALING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50705-2025</t>
        </is>
      </c>
      <c r="B8218" s="1" t="n">
        <v>45946.28255787037</v>
      </c>
      <c r="C8218" s="1" t="n">
        <v>45971</v>
      </c>
      <c r="D8218" t="inlineStr">
        <is>
          <t>VÄSTERBOTTENS LÄN</t>
        </is>
      </c>
      <c r="E8218" t="inlineStr">
        <is>
          <t>VINDELN</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50707-2025</t>
        </is>
      </c>
      <c r="B8219" s="1" t="n">
        <v>45946.30732638889</v>
      </c>
      <c r="C8219" s="1" t="n">
        <v>45971</v>
      </c>
      <c r="D8219" t="inlineStr">
        <is>
          <t>VÄSTERBOTTENS LÄN</t>
        </is>
      </c>
      <c r="E8219" t="inlineStr">
        <is>
          <t>VINDELN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42020-2025</t>
        </is>
      </c>
      <c r="B8220" s="1" t="n">
        <v>45903.58728009259</v>
      </c>
      <c r="C8220" s="1" t="n">
        <v>45971</v>
      </c>
      <c r="D8220" t="inlineStr">
        <is>
          <t>VÄSTERBOTTENS LÄN</t>
        </is>
      </c>
      <c r="E8220" t="inlineStr">
        <is>
          <t>SKELLEFTEÅ</t>
        </is>
      </c>
      <c r="F8220" t="inlineStr">
        <is>
          <t>Holmen skog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26622-2025</t>
        </is>
      </c>
      <c r="B8221" s="1" t="n">
        <v>45810.32515046297</v>
      </c>
      <c r="C8221" s="1" t="n">
        <v>45971</v>
      </c>
      <c r="D8221" t="inlineStr">
        <is>
          <t>VÄSTERBOTTENS LÄN</t>
        </is>
      </c>
      <c r="E8221" t="inlineStr">
        <is>
          <t>LYCKSELE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50635-2025</t>
        </is>
      </c>
      <c r="B8222" s="1" t="n">
        <v>45945.65</v>
      </c>
      <c r="C8222" s="1" t="n">
        <v>45971</v>
      </c>
      <c r="D8222" t="inlineStr">
        <is>
          <t>VÄSTERBOTTENS LÄN</t>
        </is>
      </c>
      <c r="E8222" t="inlineStr">
        <is>
          <t>VINDELN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26601-2025</t>
        </is>
      </c>
      <c r="B8223" s="1" t="n">
        <v>45808.88428240741</v>
      </c>
      <c r="C8223" s="1" t="n">
        <v>45971</v>
      </c>
      <c r="D8223" t="inlineStr">
        <is>
          <t>VÄSTERBOTTENS LÄN</t>
        </is>
      </c>
      <c r="E8223" t="inlineStr">
        <is>
          <t>SKELLEFTEÅ</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50653-2025</t>
        </is>
      </c>
      <c r="B8224" s="1" t="n">
        <v>45945</v>
      </c>
      <c r="C8224" s="1" t="n">
        <v>45971</v>
      </c>
      <c r="D8224" t="inlineStr">
        <is>
          <t>VÄSTERBOTTENS LÄN</t>
        </is>
      </c>
      <c r="E8224" t="inlineStr">
        <is>
          <t>VINDELN</t>
        </is>
      </c>
      <c r="G8224" t="n">
        <v>13.4</v>
      </c>
      <c r="H8224" t="n">
        <v>0</v>
      </c>
      <c r="I8224" t="n">
        <v>0</v>
      </c>
      <c r="J8224" t="n">
        <v>0</v>
      </c>
      <c r="K8224" t="n">
        <v>0</v>
      </c>
      <c r="L8224" t="n">
        <v>0</v>
      </c>
      <c r="M8224" t="n">
        <v>0</v>
      </c>
      <c r="N8224" t="n">
        <v>0</v>
      </c>
      <c r="O8224" t="n">
        <v>0</v>
      </c>
      <c r="P8224" t="n">
        <v>0</v>
      </c>
      <c r="Q8224" t="n">
        <v>0</v>
      </c>
      <c r="R8224" s="2" t="inlineStr"/>
    </row>
    <row r="8225" ht="15" customHeight="1">
      <c r="A8225" t="inlineStr">
        <is>
          <t>A 50661-2025</t>
        </is>
      </c>
      <c r="B8225" s="1" t="n">
        <v>45945</v>
      </c>
      <c r="C8225" s="1" t="n">
        <v>45971</v>
      </c>
      <c r="D8225" t="inlineStr">
        <is>
          <t>VÄSTERBOTTENS LÄN</t>
        </is>
      </c>
      <c r="E8225" t="inlineStr">
        <is>
          <t>VINDELN</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8859-2023</t>
        </is>
      </c>
      <c r="B8226" s="1" t="n">
        <v>44978</v>
      </c>
      <c r="C8226" s="1" t="n">
        <v>45971</v>
      </c>
      <c r="D8226" t="inlineStr">
        <is>
          <t>VÄSTERBOTTENS LÄN</t>
        </is>
      </c>
      <c r="E8226" t="inlineStr">
        <is>
          <t>VILHELMINA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26718-2025</t>
        </is>
      </c>
      <c r="B8227" s="1" t="n">
        <v>45810.47646990741</v>
      </c>
      <c r="C8227" s="1" t="n">
        <v>45971</v>
      </c>
      <c r="D8227" t="inlineStr">
        <is>
          <t>VÄSTERBOTTENS LÄN</t>
        </is>
      </c>
      <c r="E8227" t="inlineStr">
        <is>
          <t>STORUMAN</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26722-2025</t>
        </is>
      </c>
      <c r="B8228" s="1" t="n">
        <v>45810</v>
      </c>
      <c r="C8228" s="1" t="n">
        <v>45971</v>
      </c>
      <c r="D8228" t="inlineStr">
        <is>
          <t>VÄSTERBOTTENS LÄN</t>
        </is>
      </c>
      <c r="E8228" t="inlineStr">
        <is>
          <t>VILHELMINA</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50864-2025</t>
        </is>
      </c>
      <c r="B8229" s="1" t="n">
        <v>45946.59537037037</v>
      </c>
      <c r="C8229" s="1" t="n">
        <v>45971</v>
      </c>
      <c r="D8229" t="inlineStr">
        <is>
          <t>VÄSTERBOTTENS LÄN</t>
        </is>
      </c>
      <c r="E8229" t="inlineStr">
        <is>
          <t>ÅSELE</t>
        </is>
      </c>
      <c r="F8229" t="inlineStr">
        <is>
          <t>SCA</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61778-2023</t>
        </is>
      </c>
      <c r="B8230" s="1" t="n">
        <v>45265.95667824074</v>
      </c>
      <c r="C8230" s="1" t="n">
        <v>45971</v>
      </c>
      <c r="D8230" t="inlineStr">
        <is>
          <t>VÄSTERBOTTENS LÄN</t>
        </is>
      </c>
      <c r="E8230" t="inlineStr">
        <is>
          <t>VILHELMINA</t>
        </is>
      </c>
      <c r="F8230" t="inlineStr">
        <is>
          <t>SCA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42250-2025</t>
        </is>
      </c>
      <c r="B8231" s="1" t="n">
        <v>45903</v>
      </c>
      <c r="C8231" s="1" t="n">
        <v>45971</v>
      </c>
      <c r="D8231" t="inlineStr">
        <is>
          <t>VÄSTERBOTTENS LÄN</t>
        </is>
      </c>
      <c r="E8231" t="inlineStr">
        <is>
          <t>SKELLEFTEÅ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30266-2023</t>
        </is>
      </c>
      <c r="B8232" s="1" t="n">
        <v>45110</v>
      </c>
      <c r="C8232" s="1" t="n">
        <v>45971</v>
      </c>
      <c r="D8232" t="inlineStr">
        <is>
          <t>VÄSTERBOTTENS LÄN</t>
        </is>
      </c>
      <c r="E8232" t="inlineStr">
        <is>
          <t>UMEÅ</t>
        </is>
      </c>
      <c r="F8232" t="inlineStr">
        <is>
          <t>Holmen skog AB</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7768-2023</t>
        </is>
      </c>
      <c r="B8233" s="1" t="n">
        <v>44973.39023148148</v>
      </c>
      <c r="C8233" s="1" t="n">
        <v>45971</v>
      </c>
      <c r="D8233" t="inlineStr">
        <is>
          <t>VÄSTERBOTTENS LÄN</t>
        </is>
      </c>
      <c r="E8233" t="inlineStr">
        <is>
          <t>LYCKSELE</t>
        </is>
      </c>
      <c r="G8233" t="n">
        <v>2.3</v>
      </c>
      <c r="H8233" t="n">
        <v>0</v>
      </c>
      <c r="I8233" t="n">
        <v>0</v>
      </c>
      <c r="J8233" t="n">
        <v>0</v>
      </c>
      <c r="K8233" t="n">
        <v>0</v>
      </c>
      <c r="L8233" t="n">
        <v>0</v>
      </c>
      <c r="M8233" t="n">
        <v>0</v>
      </c>
      <c r="N8233" t="n">
        <v>0</v>
      </c>
      <c r="O8233" t="n">
        <v>0</v>
      </c>
      <c r="P8233" t="n">
        <v>0</v>
      </c>
      <c r="Q8233" t="n">
        <v>0</v>
      </c>
      <c r="R8233" s="2" t="inlineStr"/>
      <c r="U8233">
        <f>HYPERLINK("https://klasma.github.io/Logging_2481/knärot/A 7768-2023 karta knärot.png", "A 7768-2023")</f>
        <v/>
      </c>
      <c r="V8233">
        <f>HYPERLINK("https://klasma.github.io/Logging_2481/klagomål/A 7768-2023 FSC-klagomål.docx", "A 7768-2023")</f>
        <v/>
      </c>
      <c r="W8233">
        <f>HYPERLINK("https://klasma.github.io/Logging_2481/klagomålsmail/A 7768-2023 FSC-klagomål mail.docx", "A 7768-2023")</f>
        <v/>
      </c>
      <c r="X8233">
        <f>HYPERLINK("https://klasma.github.io/Logging_2481/tillsyn/A 7768-2023 tillsynsbegäran.docx", "A 7768-2023")</f>
        <v/>
      </c>
      <c r="Y8233">
        <f>HYPERLINK("https://klasma.github.io/Logging_2481/tillsynsmail/A 7768-2023 tillsynsbegäran mail.docx", "A 7768-2023")</f>
        <v/>
      </c>
    </row>
    <row r="8234" ht="15" customHeight="1">
      <c r="A8234" t="inlineStr">
        <is>
          <t>A 50646-2025</t>
        </is>
      </c>
      <c r="B8234" s="1" t="n">
        <v>45945.65694444445</v>
      </c>
      <c r="C8234" s="1" t="n">
        <v>45971</v>
      </c>
      <c r="D8234" t="inlineStr">
        <is>
          <t>VÄSTERBOTTENS LÄN</t>
        </is>
      </c>
      <c r="E8234" t="inlineStr">
        <is>
          <t>UMEÅ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46377-2023</t>
        </is>
      </c>
      <c r="B8235" s="1" t="n">
        <v>45193</v>
      </c>
      <c r="C8235" s="1" t="n">
        <v>45971</v>
      </c>
      <c r="D8235" t="inlineStr">
        <is>
          <t>VÄSTERBOTTENS LÄN</t>
        </is>
      </c>
      <c r="E8235" t="inlineStr">
        <is>
          <t>MALÅ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46393-2023</t>
        </is>
      </c>
      <c r="B8236" s="1" t="n">
        <v>45193</v>
      </c>
      <c r="C8236" s="1" t="n">
        <v>45971</v>
      </c>
      <c r="D8236" t="inlineStr">
        <is>
          <t>VÄSTERBOTTENS LÄN</t>
        </is>
      </c>
      <c r="E8236" t="inlineStr">
        <is>
          <t>MALÅ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61530-2024</t>
        </is>
      </c>
      <c r="B8237" s="1" t="n">
        <v>45645</v>
      </c>
      <c r="C8237" s="1" t="n">
        <v>45971</v>
      </c>
      <c r="D8237" t="inlineStr">
        <is>
          <t>VÄSTERBOTTENS LÄN</t>
        </is>
      </c>
      <c r="E8237" t="inlineStr">
        <is>
          <t>ÅSELE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27157-2025</t>
        </is>
      </c>
      <c r="B8238" s="1" t="n">
        <v>45812.33298611111</v>
      </c>
      <c r="C8238" s="1" t="n">
        <v>45971</v>
      </c>
      <c r="D8238" t="inlineStr">
        <is>
          <t>VÄSTERBOTTENS LÄN</t>
        </is>
      </c>
      <c r="E8238" t="inlineStr">
        <is>
          <t>SKELLEFTEÅ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1003-2025</t>
        </is>
      </c>
      <c r="B8239" s="1" t="n">
        <v>45666.47462962963</v>
      </c>
      <c r="C8239" s="1" t="n">
        <v>45971</v>
      </c>
      <c r="D8239" t="inlineStr">
        <is>
          <t>VÄSTERBOTTENS LÄN</t>
        </is>
      </c>
      <c r="E8239" t="inlineStr">
        <is>
          <t>UMEÅ</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42205-2025</t>
        </is>
      </c>
      <c r="B8240" s="1" t="n">
        <v>45904.49059027778</v>
      </c>
      <c r="C8240" s="1" t="n">
        <v>45971</v>
      </c>
      <c r="D8240" t="inlineStr">
        <is>
          <t>VÄSTERBOTTENS LÄN</t>
        </is>
      </c>
      <c r="E8240" t="inlineStr">
        <is>
          <t>MALÅ</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50695-2025</t>
        </is>
      </c>
      <c r="B8241" s="1" t="n">
        <v>45945.8869212963</v>
      </c>
      <c r="C8241" s="1" t="n">
        <v>45971</v>
      </c>
      <c r="D8241" t="inlineStr">
        <is>
          <t>VÄSTERBOTTENS LÄN</t>
        </is>
      </c>
      <c r="E8241" t="inlineStr">
        <is>
          <t>VINDELN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50726-2025</t>
        </is>
      </c>
      <c r="B8242" s="1" t="n">
        <v>45946.3472337963</v>
      </c>
      <c r="C8242" s="1" t="n">
        <v>45971</v>
      </c>
      <c r="D8242" t="inlineStr">
        <is>
          <t>VÄSTERBOTTENS LÄN</t>
        </is>
      </c>
      <c r="E8242" t="inlineStr">
        <is>
          <t>NORDMALING</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50734-2025</t>
        </is>
      </c>
      <c r="B8243" s="1" t="n">
        <v>45946.36549768518</v>
      </c>
      <c r="C8243" s="1" t="n">
        <v>45971</v>
      </c>
      <c r="D8243" t="inlineStr">
        <is>
          <t>VÄSTERBOTTENS LÄN</t>
        </is>
      </c>
      <c r="E8243" t="inlineStr">
        <is>
          <t>NORDMALING</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30437-2023</t>
        </is>
      </c>
      <c r="B8244" s="1" t="n">
        <v>45099</v>
      </c>
      <c r="C8244" s="1" t="n">
        <v>45971</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72888-2021</t>
        </is>
      </c>
      <c r="B8245" s="1" t="n">
        <v>44546</v>
      </c>
      <c r="C8245" s="1" t="n">
        <v>45971</v>
      </c>
      <c r="D8245" t="inlineStr">
        <is>
          <t>VÄSTERBOTTENS LÄN</t>
        </is>
      </c>
      <c r="E8245" t="inlineStr">
        <is>
          <t>SORSELE</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72892-2021</t>
        </is>
      </c>
      <c r="B8246" s="1" t="n">
        <v>44546</v>
      </c>
      <c r="C8246" s="1" t="n">
        <v>45971</v>
      </c>
      <c r="D8246" t="inlineStr">
        <is>
          <t>VÄSTERBOTTENS LÄN</t>
        </is>
      </c>
      <c r="E8246" t="inlineStr">
        <is>
          <t>SORSELE</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51295-2025</t>
        </is>
      </c>
      <c r="B8247" s="1" t="n">
        <v>45950.35725694444</v>
      </c>
      <c r="C8247" s="1" t="n">
        <v>45971</v>
      </c>
      <c r="D8247" t="inlineStr">
        <is>
          <t>VÄSTERBOTTENS LÄN</t>
        </is>
      </c>
      <c r="E8247" t="inlineStr">
        <is>
          <t>LYCKSELE</t>
        </is>
      </c>
      <c r="G8247" t="n">
        <v>22.8</v>
      </c>
      <c r="H8247" t="n">
        <v>0</v>
      </c>
      <c r="I8247" t="n">
        <v>0</v>
      </c>
      <c r="J8247" t="n">
        <v>0</v>
      </c>
      <c r="K8247" t="n">
        <v>0</v>
      </c>
      <c r="L8247" t="n">
        <v>0</v>
      </c>
      <c r="M8247" t="n">
        <v>0</v>
      </c>
      <c r="N8247" t="n">
        <v>0</v>
      </c>
      <c r="O8247" t="n">
        <v>0</v>
      </c>
      <c r="P8247" t="n">
        <v>0</v>
      </c>
      <c r="Q8247" t="n">
        <v>0</v>
      </c>
      <c r="R8247" s="2" t="inlineStr"/>
    </row>
    <row r="8248" ht="15" customHeight="1">
      <c r="A8248" t="inlineStr">
        <is>
          <t>A 37109-2025</t>
        </is>
      </c>
      <c r="B8248" s="1" t="n">
        <v>45875.49266203704</v>
      </c>
      <c r="C8248" s="1" t="n">
        <v>45971</v>
      </c>
      <c r="D8248" t="inlineStr">
        <is>
          <t>VÄSTERBOTTENS LÄN</t>
        </is>
      </c>
      <c r="E8248" t="inlineStr">
        <is>
          <t>VINDELN</t>
        </is>
      </c>
      <c r="F8248" t="inlineStr">
        <is>
          <t>Sveaskog</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42500-2025</t>
        </is>
      </c>
      <c r="B8249" s="1" t="n">
        <v>45905.52245370371</v>
      </c>
      <c r="C8249" s="1" t="n">
        <v>45971</v>
      </c>
      <c r="D8249" t="inlineStr">
        <is>
          <t>VÄSTERBOTTENS LÄN</t>
        </is>
      </c>
      <c r="E8249" t="inlineStr">
        <is>
          <t>LYCKSELE</t>
        </is>
      </c>
      <c r="F8249" t="inlineStr">
        <is>
          <t>Sveaskog</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60493-2024</t>
        </is>
      </c>
      <c r="B8250" s="1" t="n">
        <v>45643.65672453704</v>
      </c>
      <c r="C8250" s="1" t="n">
        <v>45971</v>
      </c>
      <c r="D8250" t="inlineStr">
        <is>
          <t>VÄSTERBOTTENS LÄN</t>
        </is>
      </c>
      <c r="E8250" t="inlineStr">
        <is>
          <t>ÅSELE</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5403-2025</t>
        </is>
      </c>
      <c r="B8251" s="1" t="n">
        <v>45692.64475694444</v>
      </c>
      <c r="C8251" s="1" t="n">
        <v>45971</v>
      </c>
      <c r="D8251" t="inlineStr">
        <is>
          <t>VÄSTERBOTTENS LÄN</t>
        </is>
      </c>
      <c r="E8251" t="inlineStr">
        <is>
          <t>VILHELMINA</t>
        </is>
      </c>
      <c r="F8251" t="inlineStr">
        <is>
          <t>Kommuner</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42535-2025</t>
        </is>
      </c>
      <c r="B8252" s="1" t="n">
        <v>45905.56924768518</v>
      </c>
      <c r="C8252" s="1" t="n">
        <v>45971</v>
      </c>
      <c r="D8252" t="inlineStr">
        <is>
          <t>VÄSTERBOTTENS LÄN</t>
        </is>
      </c>
      <c r="E8252" t="inlineStr">
        <is>
          <t>NORSJÖ</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42553-2025</t>
        </is>
      </c>
      <c r="B8253" s="1" t="n">
        <v>45905.59423611111</v>
      </c>
      <c r="C8253" s="1" t="n">
        <v>45971</v>
      </c>
      <c r="D8253" t="inlineStr">
        <is>
          <t>VÄSTERBOTTENS LÄN</t>
        </is>
      </c>
      <c r="E8253" t="inlineStr">
        <is>
          <t>DOROTEA</t>
        </is>
      </c>
      <c r="F8253" t="inlineStr">
        <is>
          <t>SCA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51350-2025</t>
        </is>
      </c>
      <c r="B8254" s="1" t="n">
        <v>45950.43576388889</v>
      </c>
      <c r="C8254" s="1" t="n">
        <v>45971</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51352-2025</t>
        </is>
      </c>
      <c r="B8255" s="1" t="n">
        <v>45950.43679398148</v>
      </c>
      <c r="C8255" s="1" t="n">
        <v>45971</v>
      </c>
      <c r="D8255" t="inlineStr">
        <is>
          <t>VÄSTERBOTTENS LÄN</t>
        </is>
      </c>
      <c r="E8255" t="inlineStr">
        <is>
          <t>UMEÅ</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55627-2023</t>
        </is>
      </c>
      <c r="B8256" s="1" t="n">
        <v>45238.92649305556</v>
      </c>
      <c r="C8256" s="1" t="n">
        <v>45971</v>
      </c>
      <c r="D8256" t="inlineStr">
        <is>
          <t>VÄSTERBOTTENS LÄN</t>
        </is>
      </c>
      <c r="E8256" t="inlineStr">
        <is>
          <t>NORDMALING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61534-2024</t>
        </is>
      </c>
      <c r="B8257" s="1" t="n">
        <v>45645</v>
      </c>
      <c r="C8257" s="1" t="n">
        <v>45971</v>
      </c>
      <c r="D8257" t="inlineStr">
        <is>
          <t>VÄSTERBOTTENS LÄN</t>
        </is>
      </c>
      <c r="E8257" t="inlineStr">
        <is>
          <t>ÅSELE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50448-2024</t>
        </is>
      </c>
      <c r="B8258" s="1" t="n">
        <v>45601.43474537037</v>
      </c>
      <c r="C8258" s="1" t="n">
        <v>45971</v>
      </c>
      <c r="D8258" t="inlineStr">
        <is>
          <t>VÄSTERBOTTENS LÄN</t>
        </is>
      </c>
      <c r="E8258" t="inlineStr">
        <is>
          <t>ROBERTSFORS</t>
        </is>
      </c>
      <c r="F8258" t="inlineStr">
        <is>
          <t>Holmen skog AB</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42902-2025</t>
        </is>
      </c>
      <c r="B8259" s="1" t="n">
        <v>45908.67744212963</v>
      </c>
      <c r="C8259" s="1" t="n">
        <v>45971</v>
      </c>
      <c r="D8259" t="inlineStr">
        <is>
          <t>VÄSTERBOTTENS LÄN</t>
        </is>
      </c>
      <c r="E8259" t="inlineStr">
        <is>
          <t>VÄNNÄS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26646-2025</t>
        </is>
      </c>
      <c r="B8260" s="1" t="n">
        <v>45810.38410879629</v>
      </c>
      <c r="C8260" s="1" t="n">
        <v>45971</v>
      </c>
      <c r="D8260" t="inlineStr">
        <is>
          <t>VÄSTERBOTTENS LÄN</t>
        </is>
      </c>
      <c r="E8260" t="inlineStr">
        <is>
          <t>SKELLEFTEÅ</t>
        </is>
      </c>
      <c r="F8260" t="inlineStr">
        <is>
          <t>Holmen skog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12545-2025</t>
        </is>
      </c>
      <c r="B8261" s="1" t="n">
        <v>45730.86586805555</v>
      </c>
      <c r="C8261" s="1" t="n">
        <v>45971</v>
      </c>
      <c r="D8261" t="inlineStr">
        <is>
          <t>VÄSTERBOTTENS LÄN</t>
        </is>
      </c>
      <c r="E8261" t="inlineStr">
        <is>
          <t>SKELLEFTEÅ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51129-2025</t>
        </is>
      </c>
      <c r="B8262" s="1" t="n">
        <v>45947.55290509259</v>
      </c>
      <c r="C8262" s="1" t="n">
        <v>45971</v>
      </c>
      <c r="D8262" t="inlineStr">
        <is>
          <t>VÄSTERBOTTENS LÄN</t>
        </is>
      </c>
      <c r="E8262" t="inlineStr">
        <is>
          <t>NORSJÖ</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51207-2025</t>
        </is>
      </c>
      <c r="B8263" s="1" t="n">
        <v>45947.6377199074</v>
      </c>
      <c r="C8263" s="1" t="n">
        <v>45971</v>
      </c>
      <c r="D8263" t="inlineStr">
        <is>
          <t>VÄSTERBOTTENS LÄN</t>
        </is>
      </c>
      <c r="E8263" t="inlineStr">
        <is>
          <t>LYCKSELE</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3303-2024</t>
        </is>
      </c>
      <c r="B8264" s="1" t="n">
        <v>45316</v>
      </c>
      <c r="C8264" s="1" t="n">
        <v>45971</v>
      </c>
      <c r="D8264" t="inlineStr">
        <is>
          <t>VÄSTERBOTTENS LÄN</t>
        </is>
      </c>
      <c r="E8264" t="inlineStr">
        <is>
          <t>LYCKSELE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26782-2025</t>
        </is>
      </c>
      <c r="B8265" s="1" t="n">
        <v>45810</v>
      </c>
      <c r="C8265" s="1" t="n">
        <v>45971</v>
      </c>
      <c r="D8265" t="inlineStr">
        <is>
          <t>VÄSTERBOTTENS LÄN</t>
        </is>
      </c>
      <c r="E8265" t="inlineStr">
        <is>
          <t>ÅSELE</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53011-2024</t>
        </is>
      </c>
      <c r="B8266" s="1" t="n">
        <v>45611.40226851852</v>
      </c>
      <c r="C8266" s="1" t="n">
        <v>45971</v>
      </c>
      <c r="D8266" t="inlineStr">
        <is>
          <t>VÄSTERBOTTENS LÄN</t>
        </is>
      </c>
      <c r="E8266" t="inlineStr">
        <is>
          <t>LYCKSELE</t>
        </is>
      </c>
      <c r="F8266" t="inlineStr">
        <is>
          <t>Sveaskog</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24988-2025</t>
        </is>
      </c>
      <c r="B8267" s="1" t="n">
        <v>45799</v>
      </c>
      <c r="C8267" s="1" t="n">
        <v>45971</v>
      </c>
      <c r="D8267" t="inlineStr">
        <is>
          <t>VÄSTERBOTTENS LÄN</t>
        </is>
      </c>
      <c r="E8267" t="inlineStr">
        <is>
          <t>VILHELMINA</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51518-2025</t>
        </is>
      </c>
      <c r="B8268" s="1" t="n">
        <v>45950.65675925926</v>
      </c>
      <c r="C8268" s="1" t="n">
        <v>45971</v>
      </c>
      <c r="D8268" t="inlineStr">
        <is>
          <t>VÄSTERBOTTENS LÄN</t>
        </is>
      </c>
      <c r="E8268" t="inlineStr">
        <is>
          <t>ÅSELE</t>
        </is>
      </c>
      <c r="F8268" t="inlineStr">
        <is>
          <t>SCA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55039-2024</t>
        </is>
      </c>
      <c r="B8269" s="1" t="n">
        <v>45621.38637731481</v>
      </c>
      <c r="C8269" s="1" t="n">
        <v>45971</v>
      </c>
      <c r="D8269" t="inlineStr">
        <is>
          <t>VÄSTERBOTTENS LÄN</t>
        </is>
      </c>
      <c r="E8269" t="inlineStr">
        <is>
          <t>NORSJÖ</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26481-2025</t>
        </is>
      </c>
      <c r="B8270" s="1" t="n">
        <v>45807.47043981482</v>
      </c>
      <c r="C8270" s="1" t="n">
        <v>45971</v>
      </c>
      <c r="D8270" t="inlineStr">
        <is>
          <t>VÄSTERBOTTENS LÄN</t>
        </is>
      </c>
      <c r="E8270" t="inlineStr">
        <is>
          <t>DOROTEA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26665-2025</t>
        </is>
      </c>
      <c r="B8271" s="1" t="n">
        <v>45810</v>
      </c>
      <c r="C8271" s="1" t="n">
        <v>45971</v>
      </c>
      <c r="D8271" t="inlineStr">
        <is>
          <t>VÄSTERBOTTENS LÄN</t>
        </is>
      </c>
      <c r="E8271" t="inlineStr">
        <is>
          <t>VÄNNÄS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55067-2024</t>
        </is>
      </c>
      <c r="B8272" s="1" t="n">
        <v>45621.41216435185</v>
      </c>
      <c r="C8272" s="1" t="n">
        <v>45971</v>
      </c>
      <c r="D8272" t="inlineStr">
        <is>
          <t>VÄSTERBOTTENS LÄN</t>
        </is>
      </c>
      <c r="E8272" t="inlineStr">
        <is>
          <t>MALÅ</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13190-2025</t>
        </is>
      </c>
      <c r="B8273" s="1" t="n">
        <v>45735.39761574074</v>
      </c>
      <c r="C8273" s="1" t="n">
        <v>45971</v>
      </c>
      <c r="D8273" t="inlineStr">
        <is>
          <t>VÄSTERBOTTENS LÄN</t>
        </is>
      </c>
      <c r="E8273" t="inlineStr">
        <is>
          <t>UMEÅ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13197-2025</t>
        </is>
      </c>
      <c r="B8274" s="1" t="n">
        <v>45735</v>
      </c>
      <c r="C8274" s="1" t="n">
        <v>45971</v>
      </c>
      <c r="D8274" t="inlineStr">
        <is>
          <t>VÄSTERBOTTENS LÄN</t>
        </is>
      </c>
      <c r="E8274" t="inlineStr">
        <is>
          <t>UMEÅ</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51099-2025</t>
        </is>
      </c>
      <c r="B8275" s="1" t="n">
        <v>45947.48685185185</v>
      </c>
      <c r="C8275" s="1" t="n">
        <v>45971</v>
      </c>
      <c r="D8275" t="inlineStr">
        <is>
          <t>VÄSTERBOTTENS LÄN</t>
        </is>
      </c>
      <c r="E8275" t="inlineStr">
        <is>
          <t>ÅSELE</t>
        </is>
      </c>
      <c r="F8275" t="inlineStr">
        <is>
          <t>Holmen skog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36771-2022</t>
        </is>
      </c>
      <c r="B8276" s="1" t="n">
        <v>44805</v>
      </c>
      <c r="C8276" s="1" t="n">
        <v>45971</v>
      </c>
      <c r="D8276" t="inlineStr">
        <is>
          <t>VÄSTERBOTTENS LÄN</t>
        </is>
      </c>
      <c r="E8276" t="inlineStr">
        <is>
          <t>ROBERTSFORS</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32479-2024</t>
        </is>
      </c>
      <c r="B8277" s="1" t="n">
        <v>45513</v>
      </c>
      <c r="C8277" s="1" t="n">
        <v>45971</v>
      </c>
      <c r="D8277" t="inlineStr">
        <is>
          <t>VÄSTERBOTTENS LÄN</t>
        </is>
      </c>
      <c r="E8277" t="inlineStr">
        <is>
          <t>VINDELN</t>
        </is>
      </c>
      <c r="F8277" t="inlineStr">
        <is>
          <t>Holmen skog AB</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26768-2025</t>
        </is>
      </c>
      <c r="B8278" s="1" t="n">
        <v>45810.56736111111</v>
      </c>
      <c r="C8278" s="1" t="n">
        <v>45971</v>
      </c>
      <c r="D8278" t="inlineStr">
        <is>
          <t>VÄSTERBOTTENS LÄN</t>
        </is>
      </c>
      <c r="E8278" t="inlineStr">
        <is>
          <t>STORUMAN</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42426-2025</t>
        </is>
      </c>
      <c r="B8279" s="1" t="n">
        <v>45904</v>
      </c>
      <c r="C8279" s="1" t="n">
        <v>45971</v>
      </c>
      <c r="D8279" t="inlineStr">
        <is>
          <t>VÄSTERBOTTENS LÄN</t>
        </is>
      </c>
      <c r="E8279" t="inlineStr">
        <is>
          <t>MALÅ</t>
        </is>
      </c>
      <c r="G8279" t="n">
        <v>11.5</v>
      </c>
      <c r="H8279" t="n">
        <v>0</v>
      </c>
      <c r="I8279" t="n">
        <v>0</v>
      </c>
      <c r="J8279" t="n">
        <v>0</v>
      </c>
      <c r="K8279" t="n">
        <v>0</v>
      </c>
      <c r="L8279" t="n">
        <v>0</v>
      </c>
      <c r="M8279" t="n">
        <v>0</v>
      </c>
      <c r="N8279" t="n">
        <v>0</v>
      </c>
      <c r="O8279" t="n">
        <v>0</v>
      </c>
      <c r="P8279" t="n">
        <v>0</v>
      </c>
      <c r="Q8279" t="n">
        <v>0</v>
      </c>
      <c r="R8279" s="2" t="inlineStr"/>
    </row>
    <row r="8280" ht="15" customHeight="1">
      <c r="A8280" t="inlineStr">
        <is>
          <t>A 42401-2025</t>
        </is>
      </c>
      <c r="B8280" s="1" t="n">
        <v>45905.37298611111</v>
      </c>
      <c r="C8280" s="1" t="n">
        <v>45971</v>
      </c>
      <c r="D8280" t="inlineStr">
        <is>
          <t>VÄSTERBOTTENS LÄN</t>
        </is>
      </c>
      <c r="E8280" t="inlineStr">
        <is>
          <t>SKELLEFTEÅ</t>
        </is>
      </c>
      <c r="F8280" t="inlineStr">
        <is>
          <t>Holmen skog AB</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52441-2023</t>
        </is>
      </c>
      <c r="B8281" s="1" t="n">
        <v>45225.36881944445</v>
      </c>
      <c r="C8281" s="1" t="n">
        <v>45971</v>
      </c>
      <c r="D8281" t="inlineStr">
        <is>
          <t>VÄSTERBOTTENS LÄN</t>
        </is>
      </c>
      <c r="E8281" t="inlineStr">
        <is>
          <t>SKELLEFTEÅ</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26512-2025</t>
        </is>
      </c>
      <c r="B8282" s="1" t="n">
        <v>45807.54668981482</v>
      </c>
      <c r="C8282" s="1" t="n">
        <v>45971</v>
      </c>
      <c r="D8282" t="inlineStr">
        <is>
          <t>VÄSTERBOTTENS LÄN</t>
        </is>
      </c>
      <c r="E8282" t="inlineStr">
        <is>
          <t>VINDELN</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26576-2025</t>
        </is>
      </c>
      <c r="B8283" s="1" t="n">
        <v>45807.68725694445</v>
      </c>
      <c r="C8283" s="1" t="n">
        <v>45971</v>
      </c>
      <c r="D8283" t="inlineStr">
        <is>
          <t>VÄSTERBOTTENS LÄN</t>
        </is>
      </c>
      <c r="E8283" t="inlineStr">
        <is>
          <t>VÄNNÄS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26744-2025</t>
        </is>
      </c>
      <c r="B8284" s="1" t="n">
        <v>45810.53185185185</v>
      </c>
      <c r="C8284" s="1" t="n">
        <v>45971</v>
      </c>
      <c r="D8284" t="inlineStr">
        <is>
          <t>VÄSTERBOTTENS LÄN</t>
        </is>
      </c>
      <c r="E8284" t="inlineStr">
        <is>
          <t>VILHELMINA</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26764-2025</t>
        </is>
      </c>
      <c r="B8285" s="1" t="n">
        <v>45810.56498842593</v>
      </c>
      <c r="C8285" s="1" t="n">
        <v>45971</v>
      </c>
      <c r="D8285" t="inlineStr">
        <is>
          <t>VÄSTERBOTTENS LÄN</t>
        </is>
      </c>
      <c r="E8285" t="inlineStr">
        <is>
          <t>STORUMAN</t>
        </is>
      </c>
      <c r="F8285" t="inlineStr">
        <is>
          <t>Sveaskog</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4602-2025</t>
        </is>
      </c>
      <c r="B8286" s="1" t="n">
        <v>45687.56137731481</v>
      </c>
      <c r="C8286" s="1" t="n">
        <v>45971</v>
      </c>
      <c r="D8286" t="inlineStr">
        <is>
          <t>VÄSTERBOTTENS LÄN</t>
        </is>
      </c>
      <c r="E8286" t="inlineStr">
        <is>
          <t>ROBERTSFORS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26774-2025</t>
        </is>
      </c>
      <c r="B8287" s="1" t="n">
        <v>45810.57378472222</v>
      </c>
      <c r="C8287" s="1" t="n">
        <v>45971</v>
      </c>
      <c r="D8287" t="inlineStr">
        <is>
          <t>VÄSTERBOTTENS LÄN</t>
        </is>
      </c>
      <c r="E8287" t="inlineStr">
        <is>
          <t>ÅSELE</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26790-2025</t>
        </is>
      </c>
      <c r="B8288" s="1" t="n">
        <v>45810.59417824074</v>
      </c>
      <c r="C8288" s="1" t="n">
        <v>45971</v>
      </c>
      <c r="D8288" t="inlineStr">
        <is>
          <t>VÄSTERBOTTENS LÄN</t>
        </is>
      </c>
      <c r="E8288" t="inlineStr">
        <is>
          <t>VILHELMINA</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51544-2025</t>
        </is>
      </c>
      <c r="B8289" s="1" t="n">
        <v>45950.74530092593</v>
      </c>
      <c r="C8289" s="1" t="n">
        <v>45971</v>
      </c>
      <c r="D8289" t="inlineStr">
        <is>
          <t>VÄSTERBOTTENS LÄN</t>
        </is>
      </c>
      <c r="E8289" t="inlineStr">
        <is>
          <t>NORDMALING</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51021-2025</t>
        </is>
      </c>
      <c r="B8290" s="1" t="n">
        <v>45947.38876157408</v>
      </c>
      <c r="C8290" s="1" t="n">
        <v>45971</v>
      </c>
      <c r="D8290" t="inlineStr">
        <is>
          <t>VÄSTERBOTTENS LÄN</t>
        </is>
      </c>
      <c r="E8290" t="inlineStr">
        <is>
          <t>SKELLEFTEÅ</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51796-2024</t>
        </is>
      </c>
      <c r="B8291" s="1" t="n">
        <v>45604</v>
      </c>
      <c r="C8291" s="1" t="n">
        <v>45971</v>
      </c>
      <c r="D8291" t="inlineStr">
        <is>
          <t>VÄSTERBOTTENS LÄN</t>
        </is>
      </c>
      <c r="E8291" t="inlineStr">
        <is>
          <t>STORUMAN</t>
        </is>
      </c>
      <c r="F8291" t="inlineStr">
        <is>
          <t>Allmännings- och besparingsskogar</t>
        </is>
      </c>
      <c r="G8291" t="n">
        <v>37.6</v>
      </c>
      <c r="H8291" t="n">
        <v>0</v>
      </c>
      <c r="I8291" t="n">
        <v>0</v>
      </c>
      <c r="J8291" t="n">
        <v>0</v>
      </c>
      <c r="K8291" t="n">
        <v>0</v>
      </c>
      <c r="L8291" t="n">
        <v>0</v>
      </c>
      <c r="M8291" t="n">
        <v>0</v>
      </c>
      <c r="N8291" t="n">
        <v>0</v>
      </c>
      <c r="O8291" t="n">
        <v>0</v>
      </c>
      <c r="P8291" t="n">
        <v>0</v>
      </c>
      <c r="Q8291" t="n">
        <v>0</v>
      </c>
      <c r="R8291" s="2" t="inlineStr"/>
    </row>
    <row r="8292" ht="15" customHeight="1">
      <c r="A8292" t="inlineStr">
        <is>
          <t>A 44301-2023</t>
        </is>
      </c>
      <c r="B8292" s="1" t="n">
        <v>45188</v>
      </c>
      <c r="C8292" s="1" t="n">
        <v>45971</v>
      </c>
      <c r="D8292" t="inlineStr">
        <is>
          <t>VÄSTERBOTTENS LÄN</t>
        </is>
      </c>
      <c r="E8292" t="inlineStr">
        <is>
          <t>SKELLEFTEÅ</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2552-2024</t>
        </is>
      </c>
      <c r="B8293" s="1" t="n">
        <v>45313</v>
      </c>
      <c r="C8293" s="1" t="n">
        <v>45971</v>
      </c>
      <c r="D8293" t="inlineStr">
        <is>
          <t>VÄSTERBOTTENS LÄN</t>
        </is>
      </c>
      <c r="E8293" t="inlineStr">
        <is>
          <t>LYCKSELE</t>
        </is>
      </c>
      <c r="F8293" t="inlineStr">
        <is>
          <t>Naturvårdsverket</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36707-2024</t>
        </is>
      </c>
      <c r="B8294" s="1" t="n">
        <v>45537</v>
      </c>
      <c r="C8294" s="1" t="n">
        <v>45971</v>
      </c>
      <c r="D8294" t="inlineStr">
        <is>
          <t>VÄSTERBOTTENS LÄN</t>
        </is>
      </c>
      <c r="E8294" t="inlineStr">
        <is>
          <t>BJURHOLM</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33866-2025</t>
        </is>
      </c>
      <c r="B8295" s="1" t="n">
        <v>45842.53322916666</v>
      </c>
      <c r="C8295" s="1" t="n">
        <v>45971</v>
      </c>
      <c r="D8295" t="inlineStr">
        <is>
          <t>VÄSTERBOTTENS LÄN</t>
        </is>
      </c>
      <c r="E8295" t="inlineStr">
        <is>
          <t>VINDELN</t>
        </is>
      </c>
      <c r="F8295" t="inlineStr">
        <is>
          <t>Sveaskog</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51290-2025</t>
        </is>
      </c>
      <c r="B8296" s="1" t="n">
        <v>45950.34587962963</v>
      </c>
      <c r="C8296" s="1" t="n">
        <v>45971</v>
      </c>
      <c r="D8296" t="inlineStr">
        <is>
          <t>VÄSTERBOTTENS LÄN</t>
        </is>
      </c>
      <c r="E8296" t="inlineStr">
        <is>
          <t>SKELLEFTEÅ</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51291-2025</t>
        </is>
      </c>
      <c r="B8297" s="1" t="n">
        <v>45950.34607638889</v>
      </c>
      <c r="C8297" s="1" t="n">
        <v>45971</v>
      </c>
      <c r="D8297" t="inlineStr">
        <is>
          <t>VÄSTERBOTTENS LÄN</t>
        </is>
      </c>
      <c r="E8297" t="inlineStr">
        <is>
          <t>VINDELN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42376-2025</t>
        </is>
      </c>
      <c r="B8298" s="1" t="n">
        <v>45905.33974537037</v>
      </c>
      <c r="C8298" s="1" t="n">
        <v>45971</v>
      </c>
      <c r="D8298" t="inlineStr">
        <is>
          <t>VÄSTERBOTTENS LÄN</t>
        </is>
      </c>
      <c r="E8298" t="inlineStr">
        <is>
          <t>NORSJÖ</t>
        </is>
      </c>
      <c r="F8298" t="inlineStr">
        <is>
          <t>Holmen skog AB</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25565-2025</t>
        </is>
      </c>
      <c r="B8299" s="1" t="n">
        <v>45803.45731481481</v>
      </c>
      <c r="C8299" s="1" t="n">
        <v>45971</v>
      </c>
      <c r="D8299" t="inlineStr">
        <is>
          <t>VÄSTERBOTTENS LÄN</t>
        </is>
      </c>
      <c r="E8299" t="inlineStr">
        <is>
          <t>LYCKSELE</t>
        </is>
      </c>
      <c r="G8299" t="n">
        <v>21.9</v>
      </c>
      <c r="H8299" t="n">
        <v>0</v>
      </c>
      <c r="I8299" t="n">
        <v>0</v>
      </c>
      <c r="J8299" t="n">
        <v>0</v>
      </c>
      <c r="K8299" t="n">
        <v>0</v>
      </c>
      <c r="L8299" t="n">
        <v>0</v>
      </c>
      <c r="M8299" t="n">
        <v>0</v>
      </c>
      <c r="N8299" t="n">
        <v>0</v>
      </c>
      <c r="O8299" t="n">
        <v>0</v>
      </c>
      <c r="P8299" t="n">
        <v>0</v>
      </c>
      <c r="Q8299" t="n">
        <v>0</v>
      </c>
      <c r="R8299" s="2" t="inlineStr"/>
    </row>
    <row r="8300" ht="15" customHeight="1">
      <c r="A8300" t="inlineStr">
        <is>
          <t>A 51120-2025</t>
        </is>
      </c>
      <c r="B8300" s="1" t="n">
        <v>45947.53204861111</v>
      </c>
      <c r="C8300" s="1" t="n">
        <v>45971</v>
      </c>
      <c r="D8300" t="inlineStr">
        <is>
          <t>VÄSTERBOTTENS LÄN</t>
        </is>
      </c>
      <c r="E8300" t="inlineStr">
        <is>
          <t>NORSJÖ</t>
        </is>
      </c>
      <c r="G8300" t="n">
        <v>18.6</v>
      </c>
      <c r="H8300" t="n">
        <v>0</v>
      </c>
      <c r="I8300" t="n">
        <v>0</v>
      </c>
      <c r="J8300" t="n">
        <v>0</v>
      </c>
      <c r="K8300" t="n">
        <v>0</v>
      </c>
      <c r="L8300" t="n">
        <v>0</v>
      </c>
      <c r="M8300" t="n">
        <v>0</v>
      </c>
      <c r="N8300" t="n">
        <v>0</v>
      </c>
      <c r="O8300" t="n">
        <v>0</v>
      </c>
      <c r="P8300" t="n">
        <v>0</v>
      </c>
      <c r="Q8300" t="n">
        <v>0</v>
      </c>
      <c r="R8300" s="2" t="inlineStr"/>
    </row>
    <row r="8301" ht="15" customHeight="1">
      <c r="A8301" t="inlineStr">
        <is>
          <t>A 51159-2025</t>
        </is>
      </c>
      <c r="B8301" s="1" t="n">
        <v>45947.58113425926</v>
      </c>
      <c r="C8301" s="1" t="n">
        <v>45971</v>
      </c>
      <c r="D8301" t="inlineStr">
        <is>
          <t>VÄSTERBOTTENS LÄN</t>
        </is>
      </c>
      <c r="E8301" t="inlineStr">
        <is>
          <t>NORSJÖ</t>
        </is>
      </c>
      <c r="F8301" t="inlineStr">
        <is>
          <t>Sveaskog</t>
        </is>
      </c>
      <c r="G8301" t="n">
        <v>18.5</v>
      </c>
      <c r="H8301" t="n">
        <v>0</v>
      </c>
      <c r="I8301" t="n">
        <v>0</v>
      </c>
      <c r="J8301" t="n">
        <v>0</v>
      </c>
      <c r="K8301" t="n">
        <v>0</v>
      </c>
      <c r="L8301" t="n">
        <v>0</v>
      </c>
      <c r="M8301" t="n">
        <v>0</v>
      </c>
      <c r="N8301" t="n">
        <v>0</v>
      </c>
      <c r="O8301" t="n">
        <v>0</v>
      </c>
      <c r="P8301" t="n">
        <v>0</v>
      </c>
      <c r="Q8301" t="n">
        <v>0</v>
      </c>
      <c r="R8301" s="2" t="inlineStr"/>
    </row>
    <row r="8302" ht="15" customHeight="1">
      <c r="A8302" t="inlineStr">
        <is>
          <t>A 57325-2024</t>
        </is>
      </c>
      <c r="B8302" s="1" t="n">
        <v>45629.62143518519</v>
      </c>
      <c r="C8302" s="1" t="n">
        <v>45971</v>
      </c>
      <c r="D8302" t="inlineStr">
        <is>
          <t>VÄSTERBOTTENS LÄN</t>
        </is>
      </c>
      <c r="E8302" t="inlineStr">
        <is>
          <t>VINDELN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51512-2025</t>
        </is>
      </c>
      <c r="B8303" s="1" t="n">
        <v>45950.65011574074</v>
      </c>
      <c r="C8303" s="1" t="n">
        <v>45971</v>
      </c>
      <c r="D8303" t="inlineStr">
        <is>
          <t>VÄSTERBOTTENS LÄN</t>
        </is>
      </c>
      <c r="E8303" t="inlineStr">
        <is>
          <t>NORDMALING</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26439-2025</t>
        </is>
      </c>
      <c r="B8304" s="1" t="n">
        <v>45807.40659722222</v>
      </c>
      <c r="C8304" s="1" t="n">
        <v>45971</v>
      </c>
      <c r="D8304" t="inlineStr">
        <is>
          <t>VÄSTERBOTTENS LÄN</t>
        </is>
      </c>
      <c r="E8304" t="inlineStr">
        <is>
          <t>DOROTEA</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47591-2024</t>
        </is>
      </c>
      <c r="B8305" s="1" t="n">
        <v>45587.83815972223</v>
      </c>
      <c r="C8305" s="1" t="n">
        <v>45971</v>
      </c>
      <c r="D8305" t="inlineStr">
        <is>
          <t>VÄSTERBOTTENS LÄN</t>
        </is>
      </c>
      <c r="E8305" t="inlineStr">
        <is>
          <t>BJURHOLM</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51250-2025</t>
        </is>
      </c>
      <c r="B8306" s="1" t="n">
        <v>45948.46230324074</v>
      </c>
      <c r="C8306" s="1" t="n">
        <v>45971</v>
      </c>
      <c r="D8306" t="inlineStr">
        <is>
          <t>VÄSTERBOTTENS LÄN</t>
        </is>
      </c>
      <c r="E8306" t="inlineStr">
        <is>
          <t>SKELLEFTEÅ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26480-2025</t>
        </is>
      </c>
      <c r="B8307" s="1" t="n">
        <v>45807.47040509259</v>
      </c>
      <c r="C8307" s="1" t="n">
        <v>45971</v>
      </c>
      <c r="D8307" t="inlineStr">
        <is>
          <t>VÄSTERBOTTENS LÄN</t>
        </is>
      </c>
      <c r="E8307" t="inlineStr">
        <is>
          <t>DOROTEA</t>
        </is>
      </c>
      <c r="F8307" t="inlineStr">
        <is>
          <t>SCA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51164-2025</t>
        </is>
      </c>
      <c r="B8308" s="1" t="n">
        <v>45947.59458333333</v>
      </c>
      <c r="C8308" s="1" t="n">
        <v>45971</v>
      </c>
      <c r="D8308" t="inlineStr">
        <is>
          <t>VÄSTERBOTTENS LÄN</t>
        </is>
      </c>
      <c r="E8308" t="inlineStr">
        <is>
          <t>NORSJÖ</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42774-2025</t>
        </is>
      </c>
      <c r="B8309" s="1" t="n">
        <v>45908</v>
      </c>
      <c r="C8309" s="1" t="n">
        <v>45971</v>
      </c>
      <c r="D8309" t="inlineStr">
        <is>
          <t>VÄSTERBOTTENS LÄN</t>
        </is>
      </c>
      <c r="E8309" t="inlineStr">
        <is>
          <t>NORDMALING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51396-2023</t>
        </is>
      </c>
      <c r="B8310" s="1" t="n">
        <v>45219.67503472222</v>
      </c>
      <c r="C8310" s="1" t="n">
        <v>45971</v>
      </c>
      <c r="D8310" t="inlineStr">
        <is>
          <t>VÄSTERBOTTENS LÄN</t>
        </is>
      </c>
      <c r="E8310" t="inlineStr">
        <is>
          <t>SKELLEFTEÅ</t>
        </is>
      </c>
      <c r="F8310" t="inlineStr">
        <is>
          <t>Holmen skog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21044-2025</t>
        </is>
      </c>
      <c r="B8311" s="1" t="n">
        <v>45777.55259259259</v>
      </c>
      <c r="C8311" s="1" t="n">
        <v>45971</v>
      </c>
      <c r="D8311" t="inlineStr">
        <is>
          <t>VÄSTERBOTTENS LÄN</t>
        </is>
      </c>
      <c r="E8311" t="inlineStr">
        <is>
          <t>ÅSELE</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45552-2023</t>
        </is>
      </c>
      <c r="B8312" s="1" t="n">
        <v>45194.57376157407</v>
      </c>
      <c r="C8312" s="1" t="n">
        <v>45971</v>
      </c>
      <c r="D8312" t="inlineStr">
        <is>
          <t>VÄSTERBOTTENS LÄN</t>
        </is>
      </c>
      <c r="E8312" t="inlineStr">
        <is>
          <t>SKELLEFTEÅ</t>
        </is>
      </c>
      <c r="G8312" t="n">
        <v>18.3</v>
      </c>
      <c r="H8312" t="n">
        <v>0</v>
      </c>
      <c r="I8312" t="n">
        <v>0</v>
      </c>
      <c r="J8312" t="n">
        <v>0</v>
      </c>
      <c r="K8312" t="n">
        <v>0</v>
      </c>
      <c r="L8312" t="n">
        <v>0</v>
      </c>
      <c r="M8312" t="n">
        <v>0</v>
      </c>
      <c r="N8312" t="n">
        <v>0</v>
      </c>
      <c r="O8312" t="n">
        <v>0</v>
      </c>
      <c r="P8312" t="n">
        <v>0</v>
      </c>
      <c r="Q8312" t="n">
        <v>0</v>
      </c>
      <c r="R8312" s="2" t="inlineStr"/>
    </row>
    <row r="8313" ht="15" customHeight="1">
      <c r="A8313" t="inlineStr">
        <is>
          <t>A 42616-2025</t>
        </is>
      </c>
      <c r="B8313" s="1" t="n">
        <v>45905.71912037037</v>
      </c>
      <c r="C8313" s="1" t="n">
        <v>45971</v>
      </c>
      <c r="D8313" t="inlineStr">
        <is>
          <t>VÄSTERBOTTENS LÄN</t>
        </is>
      </c>
      <c r="E8313" t="inlineStr">
        <is>
          <t>LYCKSELE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42617-2025</t>
        </is>
      </c>
      <c r="B8314" s="1" t="n">
        <v>45905.71921296296</v>
      </c>
      <c r="C8314" s="1" t="n">
        <v>45971</v>
      </c>
      <c r="D8314" t="inlineStr">
        <is>
          <t>VÄSTERBOTTENS LÄN</t>
        </is>
      </c>
      <c r="E8314" t="inlineStr">
        <is>
          <t>UMEÅ</t>
        </is>
      </c>
      <c r="G8314" t="n">
        <v>9.800000000000001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42883-2025</t>
        </is>
      </c>
      <c r="B8315" s="1" t="n">
        <v>45908.6425</v>
      </c>
      <c r="C8315" s="1" t="n">
        <v>45971</v>
      </c>
      <c r="D8315" t="inlineStr">
        <is>
          <t>VÄSTERBOTTENS LÄN</t>
        </is>
      </c>
      <c r="E8315" t="inlineStr">
        <is>
          <t>ÅSELE</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42832-2025</t>
        </is>
      </c>
      <c r="B8316" s="1" t="n">
        <v>45908</v>
      </c>
      <c r="C8316" s="1" t="n">
        <v>45971</v>
      </c>
      <c r="D8316" t="inlineStr">
        <is>
          <t>VÄSTERBOTTENS LÄN</t>
        </is>
      </c>
      <c r="E8316" t="inlineStr">
        <is>
          <t>UMEÅ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51045-2025</t>
        </is>
      </c>
      <c r="B8317" s="1" t="n">
        <v>45947.4275462963</v>
      </c>
      <c r="C8317" s="1" t="n">
        <v>45971</v>
      </c>
      <c r="D8317" t="inlineStr">
        <is>
          <t>VÄSTERBOTTENS LÄN</t>
        </is>
      </c>
      <c r="E8317" t="inlineStr">
        <is>
          <t>STORUMAN</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22617-2025</t>
        </is>
      </c>
      <c r="B8318" s="1" t="n">
        <v>45789</v>
      </c>
      <c r="C8318" s="1" t="n">
        <v>45971</v>
      </c>
      <c r="D8318" t="inlineStr">
        <is>
          <t>VÄSTERBOTTENS LÄN</t>
        </is>
      </c>
      <c r="E8318" t="inlineStr">
        <is>
          <t>VILHELMINA</t>
        </is>
      </c>
      <c r="F8318" t="inlineStr">
        <is>
          <t>SCA</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26767-2025</t>
        </is>
      </c>
      <c r="B8319" s="1" t="n">
        <v>45810.56726851852</v>
      </c>
      <c r="C8319" s="1" t="n">
        <v>45971</v>
      </c>
      <c r="D8319" t="inlineStr">
        <is>
          <t>VÄSTERBOTTENS LÄN</t>
        </is>
      </c>
      <c r="E8319" t="inlineStr">
        <is>
          <t>SKELLEFTEÅ</t>
        </is>
      </c>
      <c r="F8319" t="inlineStr">
        <is>
          <t>Holmen skog AB</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51348-2025</t>
        </is>
      </c>
      <c r="B8320" s="1" t="n">
        <v>45950.43511574074</v>
      </c>
      <c r="C8320" s="1" t="n">
        <v>45971</v>
      </c>
      <c r="D8320" t="inlineStr">
        <is>
          <t>VÄSTERBOTTENS LÄN</t>
        </is>
      </c>
      <c r="E8320" t="inlineStr">
        <is>
          <t>SKELLEFTEÅ</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51351-2025</t>
        </is>
      </c>
      <c r="B8321" s="1" t="n">
        <v>45950.43614583334</v>
      </c>
      <c r="C8321" s="1" t="n">
        <v>45971</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62094-2023</t>
        </is>
      </c>
      <c r="B8322" s="1" t="n">
        <v>45266</v>
      </c>
      <c r="C8322" s="1" t="n">
        <v>45971</v>
      </c>
      <c r="D8322" t="inlineStr">
        <is>
          <t>VÄSTERBOTTENS LÄN</t>
        </is>
      </c>
      <c r="E8322" t="inlineStr">
        <is>
          <t>LYCKSELE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26745-2025</t>
        </is>
      </c>
      <c r="B8323" s="1" t="n">
        <v>45810.53188657408</v>
      </c>
      <c r="C8323" s="1" t="n">
        <v>45971</v>
      </c>
      <c r="D8323" t="inlineStr">
        <is>
          <t>VÄSTERBOTTENS LÄN</t>
        </is>
      </c>
      <c r="E8323" t="inlineStr">
        <is>
          <t>VILHELMINA</t>
        </is>
      </c>
      <c r="F8323" t="inlineStr">
        <is>
          <t>SCA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5371-2022</t>
        </is>
      </c>
      <c r="B8324" s="1" t="n">
        <v>44594</v>
      </c>
      <c r="C8324" s="1" t="n">
        <v>45971</v>
      </c>
      <c r="D8324" t="inlineStr">
        <is>
          <t>VÄSTERBOTTENS LÄN</t>
        </is>
      </c>
      <c r="E8324" t="inlineStr">
        <is>
          <t>NORSJÖ</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797-2025</t>
        </is>
      </c>
      <c r="B8325" s="1" t="n">
        <v>45664</v>
      </c>
      <c r="C8325" s="1" t="n">
        <v>45971</v>
      </c>
      <c r="D8325" t="inlineStr">
        <is>
          <t>VÄSTERBOTTENS LÄN</t>
        </is>
      </c>
      <c r="E8325" t="inlineStr">
        <is>
          <t>DOROTEA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43518-2023</t>
        </is>
      </c>
      <c r="B8326" s="1" t="n">
        <v>45181</v>
      </c>
      <c r="C8326" s="1" t="n">
        <v>45971</v>
      </c>
      <c r="D8326" t="inlineStr">
        <is>
          <t>VÄSTERBOTTENS LÄN</t>
        </is>
      </c>
      <c r="E8326" t="inlineStr">
        <is>
          <t>VINDELN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36585-2024</t>
        </is>
      </c>
      <c r="B8327" s="1" t="n">
        <v>45537.52844907407</v>
      </c>
      <c r="C8327" s="1" t="n">
        <v>45971</v>
      </c>
      <c r="D8327" t="inlineStr">
        <is>
          <t>VÄSTERBOTTENS LÄN</t>
        </is>
      </c>
      <c r="E8327" t="inlineStr">
        <is>
          <t>NORSJÖ</t>
        </is>
      </c>
      <c r="F8327" t="inlineStr">
        <is>
          <t>Holmen skog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51089-2025</t>
        </is>
      </c>
      <c r="B8328" s="1" t="n">
        <v>45947.4724074074</v>
      </c>
      <c r="C8328" s="1" t="n">
        <v>45971</v>
      </c>
      <c r="D8328" t="inlineStr">
        <is>
          <t>VÄSTERBOTTENS LÄN</t>
        </is>
      </c>
      <c r="E8328" t="inlineStr">
        <is>
          <t>VINDELN</t>
        </is>
      </c>
      <c r="F8328" t="inlineStr">
        <is>
          <t>Holmen skog AB</t>
        </is>
      </c>
      <c r="G8328" t="n">
        <v>13.3</v>
      </c>
      <c r="H8328" t="n">
        <v>0</v>
      </c>
      <c r="I8328" t="n">
        <v>0</v>
      </c>
      <c r="J8328" t="n">
        <v>0</v>
      </c>
      <c r="K8328" t="n">
        <v>0</v>
      </c>
      <c r="L8328" t="n">
        <v>0</v>
      </c>
      <c r="M8328" t="n">
        <v>0</v>
      </c>
      <c r="N8328" t="n">
        <v>0</v>
      </c>
      <c r="O8328" t="n">
        <v>0</v>
      </c>
      <c r="P8328" t="n">
        <v>0</v>
      </c>
      <c r="Q8328" t="n">
        <v>0</v>
      </c>
      <c r="R8328" s="2" t="inlineStr"/>
    </row>
    <row r="8329" ht="15" customHeight="1">
      <c r="A8329" t="inlineStr">
        <is>
          <t>A 26419-2025</t>
        </is>
      </c>
      <c r="B8329" s="1" t="n">
        <v>45807.36931712963</v>
      </c>
      <c r="C8329" s="1" t="n">
        <v>45971</v>
      </c>
      <c r="D8329" t="inlineStr">
        <is>
          <t>VÄSTERBOTTENS LÄN</t>
        </is>
      </c>
      <c r="E8329" t="inlineStr">
        <is>
          <t>LYCKSELE</t>
        </is>
      </c>
      <c r="F8329" t="inlineStr">
        <is>
          <t>Sveaskog</t>
        </is>
      </c>
      <c r="G8329" t="n">
        <v>9.4</v>
      </c>
      <c r="H8329" t="n">
        <v>0</v>
      </c>
      <c r="I8329" t="n">
        <v>0</v>
      </c>
      <c r="J8329" t="n">
        <v>0</v>
      </c>
      <c r="K8329" t="n">
        <v>0</v>
      </c>
      <c r="L8329" t="n">
        <v>0</v>
      </c>
      <c r="M8329" t="n">
        <v>0</v>
      </c>
      <c r="N8329" t="n">
        <v>0</v>
      </c>
      <c r="O8329" t="n">
        <v>0</v>
      </c>
      <c r="P8329" t="n">
        <v>0</v>
      </c>
      <c r="Q8329" t="n">
        <v>0</v>
      </c>
      <c r="R8329" s="2" t="inlineStr"/>
    </row>
    <row r="8330" ht="15" customHeight="1">
      <c r="A8330" t="inlineStr">
        <is>
          <t>A 51473-2025</t>
        </is>
      </c>
      <c r="B8330" s="1" t="n">
        <v>45950.61760416667</v>
      </c>
      <c r="C8330" s="1" t="n">
        <v>45971</v>
      </c>
      <c r="D8330" t="inlineStr">
        <is>
          <t>VÄSTERBOTTENS LÄN</t>
        </is>
      </c>
      <c r="E8330" t="inlineStr">
        <is>
          <t>LYCKSELE</t>
        </is>
      </c>
      <c r="F8330" t="inlineStr">
        <is>
          <t>Sveaskog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45603-2023</t>
        </is>
      </c>
      <c r="B8331" s="1" t="n">
        <v>45194.64578703704</v>
      </c>
      <c r="C8331" s="1" t="n">
        <v>45971</v>
      </c>
      <c r="D8331" t="inlineStr">
        <is>
          <t>VÄSTERBOTTENS LÄN</t>
        </is>
      </c>
      <c r="E8331" t="inlineStr">
        <is>
          <t>UMEÅ</t>
        </is>
      </c>
      <c r="F8331" t="inlineStr">
        <is>
          <t>Holmen skog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26440-2025</t>
        </is>
      </c>
      <c r="B8332" s="1" t="n">
        <v>45807</v>
      </c>
      <c r="C8332" s="1" t="n">
        <v>45971</v>
      </c>
      <c r="D8332" t="inlineStr">
        <is>
          <t>VÄSTERBOTTENS LÄN</t>
        </is>
      </c>
      <c r="E8332" t="inlineStr">
        <is>
          <t>DOROTEA</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51216-2025</t>
        </is>
      </c>
      <c r="B8333" s="1" t="n">
        <v>45947.6441550926</v>
      </c>
      <c r="C8333" s="1" t="n">
        <v>45971</v>
      </c>
      <c r="D8333" t="inlineStr">
        <is>
          <t>VÄSTERBOTTENS LÄN</t>
        </is>
      </c>
      <c r="E8333" t="inlineStr">
        <is>
          <t>SKELLEFTEÅ</t>
        </is>
      </c>
      <c r="F8333" t="inlineStr">
        <is>
          <t>Sveaskog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42383-2023</t>
        </is>
      </c>
      <c r="B8334" s="1" t="n">
        <v>45180</v>
      </c>
      <c r="C8334" s="1" t="n">
        <v>45971</v>
      </c>
      <c r="D8334" t="inlineStr">
        <is>
          <t>VÄSTERBOTTENS LÄN</t>
        </is>
      </c>
      <c r="E8334" t="inlineStr">
        <is>
          <t>MALÅ</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20287-2022</t>
        </is>
      </c>
      <c r="B8335" s="1" t="n">
        <v>44698</v>
      </c>
      <c r="C8335" s="1" t="n">
        <v>45971</v>
      </c>
      <c r="D8335" t="inlineStr">
        <is>
          <t>VÄSTERBOTTENS LÄN</t>
        </is>
      </c>
      <c r="E8335" t="inlineStr">
        <is>
          <t>LYCKSELE</t>
        </is>
      </c>
      <c r="F8335" t="inlineStr">
        <is>
          <t>Holmen skog AB</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53349-2024</t>
        </is>
      </c>
      <c r="B8336" s="1" t="n">
        <v>45614.44842592593</v>
      </c>
      <c r="C8336" s="1" t="n">
        <v>45971</v>
      </c>
      <c r="D8336" t="inlineStr">
        <is>
          <t>VÄSTERBOTTENS LÄN</t>
        </is>
      </c>
      <c r="E8336" t="inlineStr">
        <is>
          <t>VINDELN</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51126-2025</t>
        </is>
      </c>
      <c r="B8337" s="1" t="n">
        <v>45947.55268518518</v>
      </c>
      <c r="C8337" s="1" t="n">
        <v>45971</v>
      </c>
      <c r="D8337" t="inlineStr">
        <is>
          <t>VÄSTERBOTTENS LÄN</t>
        </is>
      </c>
      <c r="E8337" t="inlineStr">
        <is>
          <t>NORSJÖ</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51127-2025</t>
        </is>
      </c>
      <c r="B8338" s="1" t="n">
        <v>45947.55271990741</v>
      </c>
      <c r="C8338" s="1" t="n">
        <v>45971</v>
      </c>
      <c r="D8338" t="inlineStr">
        <is>
          <t>VÄSTERBOTTENS LÄN</t>
        </is>
      </c>
      <c r="E8338" t="inlineStr">
        <is>
          <t>NORSJÖ</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51165-2025</t>
        </is>
      </c>
      <c r="B8339" s="1" t="n">
        <v>45947.5946875</v>
      </c>
      <c r="C8339" s="1" t="n">
        <v>45971</v>
      </c>
      <c r="D8339" t="inlineStr">
        <is>
          <t>VÄSTERBOTTENS LÄN</t>
        </is>
      </c>
      <c r="E8339" t="inlineStr">
        <is>
          <t>MALÅ</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50082-2024</t>
        </is>
      </c>
      <c r="B8340" s="1" t="n">
        <v>45597</v>
      </c>
      <c r="C8340" s="1" t="n">
        <v>45971</v>
      </c>
      <c r="D8340" t="inlineStr">
        <is>
          <t>VÄSTERBOTTENS LÄN</t>
        </is>
      </c>
      <c r="E8340" t="inlineStr">
        <is>
          <t>SKELLEFTEÅ</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51445-2025</t>
        </is>
      </c>
      <c r="B8341" s="1" t="n">
        <v>45950.58671296296</v>
      </c>
      <c r="C8341" s="1" t="n">
        <v>45971</v>
      </c>
      <c r="D8341" t="inlineStr">
        <is>
          <t>VÄSTERBOTTENS LÄN</t>
        </is>
      </c>
      <c r="E8341" t="inlineStr">
        <is>
          <t>UMEÅ</t>
        </is>
      </c>
      <c r="F8341" t="inlineStr">
        <is>
          <t>Sveaskog</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51369-2025</t>
        </is>
      </c>
      <c r="B8342" s="1" t="n">
        <v>45947</v>
      </c>
      <c r="C8342" s="1" t="n">
        <v>45971</v>
      </c>
      <c r="D8342" t="inlineStr">
        <is>
          <t>VÄSTERBOTTENS LÄN</t>
        </is>
      </c>
      <c r="E8342" t="inlineStr">
        <is>
          <t>NORSJÖ</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53143-2024</t>
        </is>
      </c>
      <c r="B8343" s="1" t="n">
        <v>45611</v>
      </c>
      <c r="C8343" s="1" t="n">
        <v>45971</v>
      </c>
      <c r="D8343" t="inlineStr">
        <is>
          <t>VÄSTERBOTTENS LÄN</t>
        </is>
      </c>
      <c r="E8343" t="inlineStr">
        <is>
          <t>STORUMAN</t>
        </is>
      </c>
      <c r="F8343" t="inlineStr">
        <is>
          <t>Allmännings- och besparingsskogar</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45971</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51438-2025</t>
        </is>
      </c>
      <c r="B8345" s="1" t="n">
        <v>45950.56954861111</v>
      </c>
      <c r="C8345" s="1" t="n">
        <v>45971</v>
      </c>
      <c r="D8345" t="inlineStr">
        <is>
          <t>VÄSTERBOTTENS LÄN</t>
        </is>
      </c>
      <c r="E8345" t="inlineStr">
        <is>
          <t>SKELLEFTEÅ</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51543-2025</t>
        </is>
      </c>
      <c r="B8346" s="1" t="n">
        <v>45950.74270833333</v>
      </c>
      <c r="C8346" s="1" t="n">
        <v>45971</v>
      </c>
      <c r="D8346" t="inlineStr">
        <is>
          <t>VÄSTERBOTTENS LÄN</t>
        </is>
      </c>
      <c r="E8346" t="inlineStr">
        <is>
          <t>NORDMALING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51312-2025</t>
        </is>
      </c>
      <c r="B8347" s="1" t="n">
        <v>45950.37475694445</v>
      </c>
      <c r="C8347" s="1" t="n">
        <v>45971</v>
      </c>
      <c r="D8347" t="inlineStr">
        <is>
          <t>VÄSTERBOTTENS LÄN</t>
        </is>
      </c>
      <c r="E8347" t="inlineStr">
        <is>
          <t>SKELLEFTEÅ</t>
        </is>
      </c>
      <c r="F8347" t="inlineStr">
        <is>
          <t>Holmen skog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51327-2025</t>
        </is>
      </c>
      <c r="B8348" s="1" t="n">
        <v>45950.40690972222</v>
      </c>
      <c r="C8348" s="1" t="n">
        <v>45971</v>
      </c>
      <c r="D8348" t="inlineStr">
        <is>
          <t>VÄSTERBOTTENS LÄN</t>
        </is>
      </c>
      <c r="E8348" t="inlineStr">
        <is>
          <t>UMEÅ</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26474-2025</t>
        </is>
      </c>
      <c r="B8349" s="1" t="n">
        <v>45807</v>
      </c>
      <c r="C8349" s="1" t="n">
        <v>45971</v>
      </c>
      <c r="D8349" t="inlineStr">
        <is>
          <t>VÄSTERBOTTENS LÄN</t>
        </is>
      </c>
      <c r="E8349" t="inlineStr">
        <is>
          <t>ÅSELE</t>
        </is>
      </c>
      <c r="F8349" t="inlineStr">
        <is>
          <t>SCA</t>
        </is>
      </c>
      <c r="G8349" t="n">
        <v>11.5</v>
      </c>
      <c r="H8349" t="n">
        <v>0</v>
      </c>
      <c r="I8349" t="n">
        <v>0</v>
      </c>
      <c r="J8349" t="n">
        <v>0</v>
      </c>
      <c r="K8349" t="n">
        <v>0</v>
      </c>
      <c r="L8349" t="n">
        <v>0</v>
      </c>
      <c r="M8349" t="n">
        <v>0</v>
      </c>
      <c r="N8349" t="n">
        <v>0</v>
      </c>
      <c r="O8349" t="n">
        <v>0</v>
      </c>
      <c r="P8349" t="n">
        <v>0</v>
      </c>
      <c r="Q8349" t="n">
        <v>0</v>
      </c>
      <c r="R8349" s="2" t="inlineStr"/>
    </row>
    <row r="8350" ht="15" customHeight="1">
      <c r="A8350" t="inlineStr">
        <is>
          <t>A 22538-2024</t>
        </is>
      </c>
      <c r="B8350" s="1" t="n">
        <v>45447.46972222222</v>
      </c>
      <c r="C8350" s="1" t="n">
        <v>45971</v>
      </c>
      <c r="D8350" t="inlineStr">
        <is>
          <t>VÄSTERBOTTENS LÄN</t>
        </is>
      </c>
      <c r="E8350" t="inlineStr">
        <is>
          <t>UMEÅ</t>
        </is>
      </c>
      <c r="F8350" t="inlineStr">
        <is>
          <t>Holmen skog AB</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9620-2025</t>
        </is>
      </c>
      <c r="B8351" s="1" t="n">
        <v>45715.67895833333</v>
      </c>
      <c r="C8351" s="1" t="n">
        <v>45971</v>
      </c>
      <c r="D8351" t="inlineStr">
        <is>
          <t>VÄSTERBOTTENS LÄN</t>
        </is>
      </c>
      <c r="E8351" t="inlineStr">
        <is>
          <t>VINDELN</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26632-2025</t>
        </is>
      </c>
      <c r="B8352" s="1" t="n">
        <v>45810.35230324074</v>
      </c>
      <c r="C8352" s="1" t="n">
        <v>45971</v>
      </c>
      <c r="D8352" t="inlineStr">
        <is>
          <t>VÄSTERBOTTENS LÄN</t>
        </is>
      </c>
      <c r="E8352" t="inlineStr">
        <is>
          <t>NORDMALING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26644-2025</t>
        </is>
      </c>
      <c r="B8353" s="1" t="n">
        <v>45810.37159722222</v>
      </c>
      <c r="C8353" s="1" t="n">
        <v>45971</v>
      </c>
      <c r="D8353" t="inlineStr">
        <is>
          <t>VÄSTERBOTTENS LÄN</t>
        </is>
      </c>
      <c r="E8353" t="inlineStr">
        <is>
          <t>ROBERTSFORS</t>
        </is>
      </c>
      <c r="F8353" t="inlineStr">
        <is>
          <t>Holmen skog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26635-2025</t>
        </is>
      </c>
      <c r="B8354" s="1" t="n">
        <v>45810.35407407407</v>
      </c>
      <c r="C8354" s="1" t="n">
        <v>45971</v>
      </c>
      <c r="D8354" t="inlineStr">
        <is>
          <t>VÄSTERBOTTENS LÄN</t>
        </is>
      </c>
      <c r="E8354" t="inlineStr">
        <is>
          <t>NORDMALING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42796-2025</t>
        </is>
      </c>
      <c r="B8355" s="1" t="n">
        <v>45908.52939814814</v>
      </c>
      <c r="C8355" s="1" t="n">
        <v>45971</v>
      </c>
      <c r="D8355" t="inlineStr">
        <is>
          <t>VÄSTERBOTTENS LÄN</t>
        </is>
      </c>
      <c r="E8355" t="inlineStr">
        <is>
          <t>SKELLEFTEÅ</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9670-2025</t>
        </is>
      </c>
      <c r="B8356" s="1" t="n">
        <v>45716</v>
      </c>
      <c r="C8356" s="1" t="n">
        <v>45971</v>
      </c>
      <c r="D8356" t="inlineStr">
        <is>
          <t>VÄSTERBOTTENS LÄN</t>
        </is>
      </c>
      <c r="E8356" t="inlineStr">
        <is>
          <t>LYCKSELE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51289-2025</t>
        </is>
      </c>
      <c r="B8357" s="1" t="n">
        <v>45950.34569444445</v>
      </c>
      <c r="C8357" s="1" t="n">
        <v>45971</v>
      </c>
      <c r="D8357" t="inlineStr">
        <is>
          <t>VÄSTERBOTTENS LÄN</t>
        </is>
      </c>
      <c r="E8357" t="inlineStr">
        <is>
          <t>SKELLEFTEÅ</t>
        </is>
      </c>
      <c r="F8357" t="inlineStr">
        <is>
          <t>SCA</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51305-2025</t>
        </is>
      </c>
      <c r="B8358" s="1" t="n">
        <v>45950.36554398148</v>
      </c>
      <c r="C8358" s="1" t="n">
        <v>45971</v>
      </c>
      <c r="D8358" t="inlineStr">
        <is>
          <t>VÄSTERBOTTENS LÄN</t>
        </is>
      </c>
      <c r="E8358" t="inlineStr">
        <is>
          <t>ÅSELE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21143-2025</t>
        </is>
      </c>
      <c r="B8359" s="1" t="n">
        <v>45779</v>
      </c>
      <c r="C8359" s="1" t="n">
        <v>45971</v>
      </c>
      <c r="D8359" t="inlineStr">
        <is>
          <t>VÄSTERBOTTENS LÄN</t>
        </is>
      </c>
      <c r="E8359" t="inlineStr">
        <is>
          <t>ROBERTSFORS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28170-2025</t>
        </is>
      </c>
      <c r="B8360" s="1" t="n">
        <v>45818.37524305555</v>
      </c>
      <c r="C8360" s="1" t="n">
        <v>45971</v>
      </c>
      <c r="D8360" t="inlineStr">
        <is>
          <t>VÄSTERBOTTENS LÄN</t>
        </is>
      </c>
      <c r="E8360" t="inlineStr">
        <is>
          <t>LYCKSELE</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42855-2025</t>
        </is>
      </c>
      <c r="B8361" s="1" t="n">
        <v>45908</v>
      </c>
      <c r="C8361" s="1" t="n">
        <v>45971</v>
      </c>
      <c r="D8361" t="inlineStr">
        <is>
          <t>VÄSTERBOTTENS LÄN</t>
        </is>
      </c>
      <c r="E8361" t="inlineStr">
        <is>
          <t>UMEÅ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26522-2025</t>
        </is>
      </c>
      <c r="B8362" s="1" t="n">
        <v>45807.56353009259</v>
      </c>
      <c r="C8362" s="1" t="n">
        <v>45971</v>
      </c>
      <c r="D8362" t="inlineStr">
        <is>
          <t>VÄSTERBOTTENS LÄN</t>
        </is>
      </c>
      <c r="E8362" t="inlineStr">
        <is>
          <t>VINDELN</t>
        </is>
      </c>
      <c r="F8362" t="inlineStr">
        <is>
          <t>Holmen skog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26542-2025</t>
        </is>
      </c>
      <c r="B8363" s="1" t="n">
        <v>45807.58521990741</v>
      </c>
      <c r="C8363" s="1" t="n">
        <v>45971</v>
      </c>
      <c r="D8363" t="inlineStr">
        <is>
          <t>VÄSTERBOTTENS LÄN</t>
        </is>
      </c>
      <c r="E8363" t="inlineStr">
        <is>
          <t>SKELLEFTEÅ</t>
        </is>
      </c>
      <c r="F8363" t="inlineStr">
        <is>
          <t>Holmen skog AB</t>
        </is>
      </c>
      <c r="G8363" t="n">
        <v>11.8</v>
      </c>
      <c r="H8363" t="n">
        <v>0</v>
      </c>
      <c r="I8363" t="n">
        <v>0</v>
      </c>
      <c r="J8363" t="n">
        <v>0</v>
      </c>
      <c r="K8363" t="n">
        <v>0</v>
      </c>
      <c r="L8363" t="n">
        <v>0</v>
      </c>
      <c r="M8363" t="n">
        <v>0</v>
      </c>
      <c r="N8363" t="n">
        <v>0</v>
      </c>
      <c r="O8363" t="n">
        <v>0</v>
      </c>
      <c r="P8363" t="n">
        <v>0</v>
      </c>
      <c r="Q8363" t="n">
        <v>0</v>
      </c>
      <c r="R8363" s="2" t="inlineStr"/>
    </row>
    <row r="8364" ht="15" customHeight="1">
      <c r="A8364" t="inlineStr">
        <is>
          <t>A 51455-2025</t>
        </is>
      </c>
      <c r="B8364" s="1" t="n">
        <v>45950.59583333333</v>
      </c>
      <c r="C8364" s="1" t="n">
        <v>45971</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51502-2025</t>
        </is>
      </c>
      <c r="B8365" s="1" t="n">
        <v>45950.63775462963</v>
      </c>
      <c r="C8365" s="1" t="n">
        <v>45971</v>
      </c>
      <c r="D8365" t="inlineStr">
        <is>
          <t>VÄSTERBOTTENS LÄN</t>
        </is>
      </c>
      <c r="E8365" t="inlineStr">
        <is>
          <t>SKELLEFTEÅ</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42761-2025</t>
        </is>
      </c>
      <c r="B8366" s="1" t="n">
        <v>45908.46253472222</v>
      </c>
      <c r="C8366" s="1" t="n">
        <v>45971</v>
      </c>
      <c r="D8366" t="inlineStr">
        <is>
          <t>VÄSTERBOTTENS LÄN</t>
        </is>
      </c>
      <c r="E8366" t="inlineStr">
        <is>
          <t>NORSJÖ</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42779-2025</t>
        </is>
      </c>
      <c r="B8367" s="1" t="n">
        <v>45908.49655092593</v>
      </c>
      <c r="C8367" s="1" t="n">
        <v>45971</v>
      </c>
      <c r="D8367" t="inlineStr">
        <is>
          <t>VÄSTERBOTTENS LÄN</t>
        </is>
      </c>
      <c r="E8367" t="inlineStr">
        <is>
          <t>BJURHOLM</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32585-2024</t>
        </is>
      </c>
      <c r="B8368" s="1" t="n">
        <v>45513.58017361111</v>
      </c>
      <c r="C8368" s="1" t="n">
        <v>45971</v>
      </c>
      <c r="D8368" t="inlineStr">
        <is>
          <t>VÄSTERBOTTENS LÄN</t>
        </is>
      </c>
      <c r="E8368" t="inlineStr">
        <is>
          <t>LYCKSELE</t>
        </is>
      </c>
      <c r="F8368" t="inlineStr">
        <is>
          <t>Naturvårdsverket</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53679-2024</t>
        </is>
      </c>
      <c r="B8369" s="1" t="n">
        <v>45615</v>
      </c>
      <c r="C8369" s="1" t="n">
        <v>45971</v>
      </c>
      <c r="D8369" t="inlineStr">
        <is>
          <t>VÄSTERBOTTENS LÄN</t>
        </is>
      </c>
      <c r="E8369" t="inlineStr">
        <is>
          <t>ÅSELE</t>
        </is>
      </c>
      <c r="F8369" t="inlineStr">
        <is>
          <t>SCA</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57082-2024</t>
        </is>
      </c>
      <c r="B8370" s="1" t="n">
        <v>45629.3558449074</v>
      </c>
      <c r="C8370" s="1" t="n">
        <v>45971</v>
      </c>
      <c r="D8370" t="inlineStr">
        <is>
          <t>VÄSTERBOTTENS LÄN</t>
        </is>
      </c>
      <c r="E8370" t="inlineStr">
        <is>
          <t>DOROTEA</t>
        </is>
      </c>
      <c r="F8370" t="inlineStr">
        <is>
          <t>SCA</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51319-2025</t>
        </is>
      </c>
      <c r="B8371" s="1" t="n">
        <v>45950.38591435185</v>
      </c>
      <c r="C8371" s="1" t="n">
        <v>45971</v>
      </c>
      <c r="D8371" t="inlineStr">
        <is>
          <t>VÄSTERBOTTENS LÄN</t>
        </is>
      </c>
      <c r="E8371" t="inlineStr">
        <is>
          <t>ÅSELE</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51339-2025</t>
        </is>
      </c>
      <c r="B8372" s="1" t="n">
        <v>45950.42702546297</v>
      </c>
      <c r="C8372" s="1" t="n">
        <v>45971</v>
      </c>
      <c r="D8372" t="inlineStr">
        <is>
          <t>VÄSTERBOTTENS LÄN</t>
        </is>
      </c>
      <c r="E8372" t="inlineStr">
        <is>
          <t>UMEÅ</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51038-2025</t>
        </is>
      </c>
      <c r="B8373" s="1" t="n">
        <v>45947.40744212963</v>
      </c>
      <c r="C8373" s="1" t="n">
        <v>45971</v>
      </c>
      <c r="D8373" t="inlineStr">
        <is>
          <t>VÄSTERBOTTENS LÄN</t>
        </is>
      </c>
      <c r="E8373" t="inlineStr">
        <is>
          <t>STORUMAN</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51042-2025</t>
        </is>
      </c>
      <c r="B8374" s="1" t="n">
        <v>45947.42334490741</v>
      </c>
      <c r="C8374" s="1" t="n">
        <v>45971</v>
      </c>
      <c r="D8374" t="inlineStr">
        <is>
          <t>VÄSTERBOTTENS LÄN</t>
        </is>
      </c>
      <c r="E8374" t="inlineStr">
        <is>
          <t>VILHELMINA</t>
        </is>
      </c>
      <c r="G8374" t="n">
        <v>12.6</v>
      </c>
      <c r="H8374" t="n">
        <v>0</v>
      </c>
      <c r="I8374" t="n">
        <v>0</v>
      </c>
      <c r="J8374" t="n">
        <v>0</v>
      </c>
      <c r="K8374" t="n">
        <v>0</v>
      </c>
      <c r="L8374" t="n">
        <v>0</v>
      </c>
      <c r="M8374" t="n">
        <v>0</v>
      </c>
      <c r="N8374" t="n">
        <v>0</v>
      </c>
      <c r="O8374" t="n">
        <v>0</v>
      </c>
      <c r="P8374" t="n">
        <v>0</v>
      </c>
      <c r="Q8374" t="n">
        <v>0</v>
      </c>
      <c r="R8374" s="2" t="inlineStr"/>
    </row>
    <row r="8375" ht="15" customHeight="1">
      <c r="A8375" t="inlineStr">
        <is>
          <t>A 42660-2025</t>
        </is>
      </c>
      <c r="B8375" s="1" t="n">
        <v>45907.58118055556</v>
      </c>
      <c r="C8375" s="1" t="n">
        <v>45971</v>
      </c>
      <c r="D8375" t="inlineStr">
        <is>
          <t>VÄSTERBOTTENS LÄN</t>
        </is>
      </c>
      <c r="E8375" t="inlineStr">
        <is>
          <t>NORDMALING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35202-2025</t>
        </is>
      </c>
      <c r="B8376" s="1" t="n">
        <v>45852</v>
      </c>
      <c r="C8376" s="1" t="n">
        <v>45971</v>
      </c>
      <c r="D8376" t="inlineStr">
        <is>
          <t>VÄSTERBOTTENS LÄN</t>
        </is>
      </c>
      <c r="E8376" t="inlineStr">
        <is>
          <t>DOROTEA</t>
        </is>
      </c>
      <c r="F8376" t="inlineStr">
        <is>
          <t>Allmännings- och besparingsskogar</t>
        </is>
      </c>
      <c r="G8376" t="n">
        <v>22.1</v>
      </c>
      <c r="H8376" t="n">
        <v>0</v>
      </c>
      <c r="I8376" t="n">
        <v>0</v>
      </c>
      <c r="J8376" t="n">
        <v>0</v>
      </c>
      <c r="K8376" t="n">
        <v>0</v>
      </c>
      <c r="L8376" t="n">
        <v>0</v>
      </c>
      <c r="M8376" t="n">
        <v>0</v>
      </c>
      <c r="N8376" t="n">
        <v>0</v>
      </c>
      <c r="O8376" t="n">
        <v>0</v>
      </c>
      <c r="P8376" t="n">
        <v>0</v>
      </c>
      <c r="Q8376" t="n">
        <v>0</v>
      </c>
      <c r="R8376" s="2" t="inlineStr"/>
    </row>
    <row r="8377" ht="15" customHeight="1">
      <c r="A8377" t="inlineStr">
        <is>
          <t>A 11685-2022</t>
        </is>
      </c>
      <c r="B8377" s="1" t="n">
        <v>44634.31503472223</v>
      </c>
      <c r="C8377" s="1" t="n">
        <v>45971</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35203-2025</t>
        </is>
      </c>
      <c r="B8378" s="1" t="n">
        <v>45852</v>
      </c>
      <c r="C8378" s="1" t="n">
        <v>45971</v>
      </c>
      <c r="D8378" t="inlineStr">
        <is>
          <t>VÄSTERBOTTENS LÄN</t>
        </is>
      </c>
      <c r="E8378" t="inlineStr">
        <is>
          <t>DOROTEA</t>
        </is>
      </c>
      <c r="F8378" t="inlineStr">
        <is>
          <t>Allmännings- och besparingsskogar</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54162-2024</t>
        </is>
      </c>
      <c r="B8379" s="1" t="n">
        <v>45616</v>
      </c>
      <c r="C8379" s="1" t="n">
        <v>45971</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51511-2025</t>
        </is>
      </c>
      <c r="B8380" s="1" t="n">
        <v>45950.64607638889</v>
      </c>
      <c r="C8380" s="1" t="n">
        <v>45971</v>
      </c>
      <c r="D8380" t="inlineStr">
        <is>
          <t>VÄSTERBOTTENS LÄN</t>
        </is>
      </c>
      <c r="E8380" t="inlineStr">
        <is>
          <t>NORDMALING</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51506-2025</t>
        </is>
      </c>
      <c r="B8381" s="1" t="n">
        <v>45950.64244212963</v>
      </c>
      <c r="C8381" s="1" t="n">
        <v>45971</v>
      </c>
      <c r="D8381" t="inlineStr">
        <is>
          <t>VÄSTERBOTTENS LÄN</t>
        </is>
      </c>
      <c r="E8381" t="inlineStr">
        <is>
          <t>NORSJÖ</t>
        </is>
      </c>
      <c r="F8381" t="inlineStr">
        <is>
          <t>Holmen skog AB</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15792-2025</t>
        </is>
      </c>
      <c r="B8382" s="1" t="n">
        <v>45748.63356481482</v>
      </c>
      <c r="C8382" s="1" t="n">
        <v>45971</v>
      </c>
      <c r="D8382" t="inlineStr">
        <is>
          <t>VÄSTERBOTTENS LÄN</t>
        </is>
      </c>
      <c r="E8382" t="inlineStr">
        <is>
          <t>VILHELMINA</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22436-2025</t>
        </is>
      </c>
      <c r="B8383" s="1" t="n">
        <v>45786.5847337963</v>
      </c>
      <c r="C8383" s="1" t="n">
        <v>45971</v>
      </c>
      <c r="D8383" t="inlineStr">
        <is>
          <t>VÄSTERBOTTENS LÄN</t>
        </is>
      </c>
      <c r="E8383" t="inlineStr">
        <is>
          <t>VINDELN</t>
        </is>
      </c>
      <c r="F8383" t="inlineStr">
        <is>
          <t>Holmen skog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42394-2025</t>
        </is>
      </c>
      <c r="B8384" s="1" t="n">
        <v>45904</v>
      </c>
      <c r="C8384" s="1" t="n">
        <v>45971</v>
      </c>
      <c r="D8384" t="inlineStr">
        <is>
          <t>VÄSTERBOTTENS LÄN</t>
        </is>
      </c>
      <c r="E8384" t="inlineStr">
        <is>
          <t>MALÅ</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51119-2025</t>
        </is>
      </c>
      <c r="B8385" s="1" t="n">
        <v>45947.53201388889</v>
      </c>
      <c r="C8385" s="1" t="n">
        <v>45971</v>
      </c>
      <c r="D8385" t="inlineStr">
        <is>
          <t>VÄSTERBOTTENS LÄN</t>
        </is>
      </c>
      <c r="E8385" t="inlineStr">
        <is>
          <t>NORSJÖ</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51128-2025</t>
        </is>
      </c>
      <c r="B8386" s="1" t="n">
        <v>45947.55287037037</v>
      </c>
      <c r="C8386" s="1" t="n">
        <v>45971</v>
      </c>
      <c r="D8386" t="inlineStr">
        <is>
          <t>VÄSTERBOTTENS LÄN</t>
        </is>
      </c>
      <c r="E8386" t="inlineStr">
        <is>
          <t>NORSJÖ</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51130-2025</t>
        </is>
      </c>
      <c r="B8387" s="1" t="n">
        <v>45947.55298611111</v>
      </c>
      <c r="C8387" s="1" t="n">
        <v>45971</v>
      </c>
      <c r="D8387" t="inlineStr">
        <is>
          <t>VÄSTERBOTTENS LÄN</t>
        </is>
      </c>
      <c r="E8387" t="inlineStr">
        <is>
          <t>NORSJÖ</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11790-2022</t>
        </is>
      </c>
      <c r="B8388" s="1" t="n">
        <v>44634</v>
      </c>
      <c r="C8388" s="1" t="n">
        <v>45971</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26394-2025</t>
        </is>
      </c>
      <c r="B8389" s="1" t="n">
        <v>45806.84342592592</v>
      </c>
      <c r="C8389" s="1" t="n">
        <v>45971</v>
      </c>
      <c r="D8389" t="inlineStr">
        <is>
          <t>VÄSTERBOTTENS LÄN</t>
        </is>
      </c>
      <c r="E8389" t="inlineStr">
        <is>
          <t>ROBERTSFORS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51150-2025</t>
        </is>
      </c>
      <c r="B8390" s="1" t="n">
        <v>45947.57334490741</v>
      </c>
      <c r="C8390" s="1" t="n">
        <v>45971</v>
      </c>
      <c r="D8390" t="inlineStr">
        <is>
          <t>VÄSTERBOTTENS LÄN</t>
        </is>
      </c>
      <c r="E8390" t="inlineStr">
        <is>
          <t>NORSJÖ</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50995-2025</t>
        </is>
      </c>
      <c r="B8391" s="1" t="n">
        <v>45947.34706018519</v>
      </c>
      <c r="C8391" s="1" t="n">
        <v>45971</v>
      </c>
      <c r="D8391" t="inlineStr">
        <is>
          <t>VÄSTERBOTTENS LÄN</t>
        </is>
      </c>
      <c r="E8391" t="inlineStr">
        <is>
          <t>ROBERTSFORS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42854-2025</t>
        </is>
      </c>
      <c r="B8392" s="1" t="n">
        <v>45908.60465277778</v>
      </c>
      <c r="C8392" s="1" t="n">
        <v>45971</v>
      </c>
      <c r="D8392" t="inlineStr">
        <is>
          <t>VÄSTERBOTTENS LÄN</t>
        </is>
      </c>
      <c r="E8392" t="inlineStr">
        <is>
          <t>UMEÅ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26398-2025</t>
        </is>
      </c>
      <c r="B8393" s="1" t="n">
        <v>45807.31575231482</v>
      </c>
      <c r="C8393" s="1" t="n">
        <v>45971</v>
      </c>
      <c r="D8393" t="inlineStr">
        <is>
          <t>VÄSTERBOTTENS LÄN</t>
        </is>
      </c>
      <c r="E8393" t="inlineStr">
        <is>
          <t>LYCKSELE</t>
        </is>
      </c>
      <c r="F8393" t="inlineStr">
        <is>
          <t>Holmen skog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52039-2023</t>
        </is>
      </c>
      <c r="B8394" s="1" t="n">
        <v>45223</v>
      </c>
      <c r="C8394" s="1" t="n">
        <v>45971</v>
      </c>
      <c r="D8394" t="inlineStr">
        <is>
          <t>VÄSTERBOTTENS LÄN</t>
        </is>
      </c>
      <c r="E8394" t="inlineStr">
        <is>
          <t>LYCKSELE</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42560-2025</t>
        </is>
      </c>
      <c r="B8395" s="1" t="n">
        <v>45905.59663194444</v>
      </c>
      <c r="C8395" s="1" t="n">
        <v>45971</v>
      </c>
      <c r="D8395" t="inlineStr">
        <is>
          <t>VÄSTERBOTTENS LÄN</t>
        </is>
      </c>
      <c r="E8395" t="inlineStr">
        <is>
          <t>ÅSELE</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29823-2025</t>
        </is>
      </c>
      <c r="B8396" s="1" t="n">
        <v>45825.85599537037</v>
      </c>
      <c r="C8396" s="1" t="n">
        <v>45971</v>
      </c>
      <c r="D8396" t="inlineStr">
        <is>
          <t>VÄSTERBOTTENS LÄN</t>
        </is>
      </c>
      <c r="E8396" t="inlineStr">
        <is>
          <t>VÄNNÄS</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23596-2024</t>
        </is>
      </c>
      <c r="B8397" s="1" t="n">
        <v>45454.38533564815</v>
      </c>
      <c r="C8397" s="1" t="n">
        <v>45971</v>
      </c>
      <c r="D8397" t="inlineStr">
        <is>
          <t>VÄSTERBOTTENS LÄN</t>
        </is>
      </c>
      <c r="E8397" t="inlineStr">
        <is>
          <t>LYCKSELE</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47011-2024</t>
        </is>
      </c>
      <c r="B8398" s="1" t="n">
        <v>45586.38592592593</v>
      </c>
      <c r="C8398" s="1" t="n">
        <v>45971</v>
      </c>
      <c r="D8398" t="inlineStr">
        <is>
          <t>VÄSTERBOTTENS LÄN</t>
        </is>
      </c>
      <c r="E8398" t="inlineStr">
        <is>
          <t>VILHELMINA</t>
        </is>
      </c>
      <c r="F8398" t="inlineStr">
        <is>
          <t>SCA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55697-2024</t>
        </is>
      </c>
      <c r="B8399" s="1" t="n">
        <v>45622</v>
      </c>
      <c r="C8399" s="1" t="n">
        <v>45971</v>
      </c>
      <c r="D8399" t="inlineStr">
        <is>
          <t>VÄSTERBOTTENS LÄN</t>
        </is>
      </c>
      <c r="E8399" t="inlineStr">
        <is>
          <t>VILHELMINA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8141-2025</t>
        </is>
      </c>
      <c r="B8400" s="1" t="n">
        <v>45708.27729166667</v>
      </c>
      <c r="C8400" s="1" t="n">
        <v>45971</v>
      </c>
      <c r="D8400" t="inlineStr">
        <is>
          <t>VÄSTERBOTTENS LÄN</t>
        </is>
      </c>
      <c r="E8400" t="inlineStr">
        <is>
          <t>SKELLEFTEÅ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61082-2024</t>
        </is>
      </c>
      <c r="B8401" s="1" t="n">
        <v>45644</v>
      </c>
      <c r="C8401" s="1" t="n">
        <v>45971</v>
      </c>
      <c r="D8401" t="inlineStr">
        <is>
          <t>VÄSTERBOTTENS LÄN</t>
        </is>
      </c>
      <c r="E8401" t="inlineStr">
        <is>
          <t>DOROTEA</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53788-2024</t>
        </is>
      </c>
      <c r="B8402" s="1" t="n">
        <v>45615.57329861111</v>
      </c>
      <c r="C8402" s="1" t="n">
        <v>45971</v>
      </c>
      <c r="D8402" t="inlineStr">
        <is>
          <t>VÄSTERBOTTENS LÄN</t>
        </is>
      </c>
      <c r="E8402" t="inlineStr">
        <is>
          <t>LYCKSELE</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53790-2024</t>
        </is>
      </c>
      <c r="B8403" s="1" t="n">
        <v>45615.5746412037</v>
      </c>
      <c r="C8403" s="1" t="n">
        <v>45971</v>
      </c>
      <c r="D8403" t="inlineStr">
        <is>
          <t>VÄSTERBOTTENS LÄN</t>
        </is>
      </c>
      <c r="E8403" t="inlineStr">
        <is>
          <t>LYCKSELE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53791-2024</t>
        </is>
      </c>
      <c r="B8404" s="1" t="n">
        <v>45615.57478009259</v>
      </c>
      <c r="C8404" s="1" t="n">
        <v>45971</v>
      </c>
      <c r="D8404" t="inlineStr">
        <is>
          <t>VÄSTERBOTTENS LÄN</t>
        </is>
      </c>
      <c r="E8404" t="inlineStr">
        <is>
          <t>LYCKSELE</t>
        </is>
      </c>
      <c r="F8404" t="inlineStr">
        <is>
          <t>SCA</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51280-2025</t>
        </is>
      </c>
      <c r="B8405" s="1" t="n">
        <v>45950.3259837963</v>
      </c>
      <c r="C8405" s="1" t="n">
        <v>45971</v>
      </c>
      <c r="D8405" t="inlineStr">
        <is>
          <t>VÄSTERBOTTENS LÄN</t>
        </is>
      </c>
      <c r="E8405" t="inlineStr">
        <is>
          <t>UMEÅ</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42763-2025</t>
        </is>
      </c>
      <c r="B8406" s="1" t="n">
        <v>45908.46921296296</v>
      </c>
      <c r="C8406" s="1" t="n">
        <v>45971</v>
      </c>
      <c r="D8406" t="inlineStr">
        <is>
          <t>VÄSTERBOTTENS LÄN</t>
        </is>
      </c>
      <c r="E8406" t="inlineStr">
        <is>
          <t>STORUMAN</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54459-2024</t>
        </is>
      </c>
      <c r="B8407" s="1" t="n">
        <v>45617</v>
      </c>
      <c r="C8407" s="1" t="n">
        <v>45971</v>
      </c>
      <c r="D8407" t="inlineStr">
        <is>
          <t>VÄSTERBOTTENS LÄN</t>
        </is>
      </c>
      <c r="E8407" t="inlineStr">
        <is>
          <t>VILHELMINA</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51093-2025</t>
        </is>
      </c>
      <c r="B8408" s="1" t="n">
        <v>45947.4753125</v>
      </c>
      <c r="C8408" s="1" t="n">
        <v>45971</v>
      </c>
      <c r="D8408" t="inlineStr">
        <is>
          <t>VÄSTERBOTTENS LÄN</t>
        </is>
      </c>
      <c r="E8408" t="inlineStr">
        <is>
          <t>ÅSELE</t>
        </is>
      </c>
      <c r="F8408" t="inlineStr">
        <is>
          <t>Holmen skog AB</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5248-2024</t>
        </is>
      </c>
      <c r="B8409" s="1" t="n">
        <v>45330</v>
      </c>
      <c r="C8409" s="1" t="n">
        <v>45971</v>
      </c>
      <c r="D8409" t="inlineStr">
        <is>
          <t>VÄSTERBOTTENS LÄN</t>
        </is>
      </c>
      <c r="E8409" t="inlineStr">
        <is>
          <t>VINDELN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60549-2022</t>
        </is>
      </c>
      <c r="B8410" s="1" t="n">
        <v>44911.51318287037</v>
      </c>
      <c r="C8410" s="1" t="n">
        <v>45971</v>
      </c>
      <c r="D8410" t="inlineStr">
        <is>
          <t>VÄSTERBOTTENS LÄN</t>
        </is>
      </c>
      <c r="E8410" t="inlineStr">
        <is>
          <t>VILHELMINA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4732-2025</t>
        </is>
      </c>
      <c r="B8411" s="1" t="n">
        <v>45688.43670138889</v>
      </c>
      <c r="C8411" s="1" t="n">
        <v>45971</v>
      </c>
      <c r="D8411" t="inlineStr">
        <is>
          <t>VÄSTERBOTTENS LÄN</t>
        </is>
      </c>
      <c r="E8411" t="inlineStr">
        <is>
          <t>NORDMALING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47777-2022</t>
        </is>
      </c>
      <c r="B8412" s="1" t="n">
        <v>44854</v>
      </c>
      <c r="C8412" s="1" t="n">
        <v>45971</v>
      </c>
      <c r="D8412" t="inlineStr">
        <is>
          <t>VÄSTERBOTTENS LÄN</t>
        </is>
      </c>
      <c r="E8412" t="inlineStr">
        <is>
          <t>NORDMALING</t>
        </is>
      </c>
      <c r="G8412" t="n">
        <v>10.5</v>
      </c>
      <c r="H8412" t="n">
        <v>0</v>
      </c>
      <c r="I8412" t="n">
        <v>0</v>
      </c>
      <c r="J8412" t="n">
        <v>0</v>
      </c>
      <c r="K8412" t="n">
        <v>0</v>
      </c>
      <c r="L8412" t="n">
        <v>0</v>
      </c>
      <c r="M8412" t="n">
        <v>0</v>
      </c>
      <c r="N8412" t="n">
        <v>0</v>
      </c>
      <c r="O8412" t="n">
        <v>0</v>
      </c>
      <c r="P8412" t="n">
        <v>0</v>
      </c>
      <c r="Q8412" t="n">
        <v>0</v>
      </c>
      <c r="R8412" s="2" t="inlineStr"/>
    </row>
    <row r="8413" ht="15" customHeight="1">
      <c r="A8413" t="inlineStr">
        <is>
          <t>A 42800-2025</t>
        </is>
      </c>
      <c r="B8413" s="1" t="n">
        <v>45908.53167824074</v>
      </c>
      <c r="C8413" s="1" t="n">
        <v>45971</v>
      </c>
      <c r="D8413" t="inlineStr">
        <is>
          <t>VÄSTERBOTTENS LÄN</t>
        </is>
      </c>
      <c r="E8413" t="inlineStr">
        <is>
          <t>DOROTEA</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5078-2025</t>
        </is>
      </c>
      <c r="B8414" s="1" t="n">
        <v>45691.50020833333</v>
      </c>
      <c r="C8414" s="1" t="n">
        <v>45971</v>
      </c>
      <c r="D8414" t="inlineStr">
        <is>
          <t>VÄSTERBOTTENS LÄN</t>
        </is>
      </c>
      <c r="E8414" t="inlineStr">
        <is>
          <t>UMEÅ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26729-2025</t>
        </is>
      </c>
      <c r="B8415" s="1" t="n">
        <v>45810.50392361111</v>
      </c>
      <c r="C8415" s="1" t="n">
        <v>45971</v>
      </c>
      <c r="D8415" t="inlineStr">
        <is>
          <t>VÄSTERBOTTENS LÄN</t>
        </is>
      </c>
      <c r="E8415" t="inlineStr">
        <is>
          <t>STORUMAN</t>
        </is>
      </c>
      <c r="F8415" t="inlineStr">
        <is>
          <t>Sveaskog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37482-2024</t>
        </is>
      </c>
      <c r="B8416" s="1" t="n">
        <v>45541.33385416667</v>
      </c>
      <c r="C8416" s="1" t="n">
        <v>45971</v>
      </c>
      <c r="D8416" t="inlineStr">
        <is>
          <t>VÄSTERBOTTENS LÄN</t>
        </is>
      </c>
      <c r="E8416" t="inlineStr">
        <is>
          <t>ROBERTSFORS</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51059-2025</t>
        </is>
      </c>
      <c r="B8417" s="1" t="n">
        <v>45947.44662037037</v>
      </c>
      <c r="C8417" s="1" t="n">
        <v>45971</v>
      </c>
      <c r="D8417" t="inlineStr">
        <is>
          <t>VÄSTERBOTTENS LÄN</t>
        </is>
      </c>
      <c r="E8417" t="inlineStr">
        <is>
          <t>ÅSELE</t>
        </is>
      </c>
      <c r="F8417" t="inlineStr">
        <is>
          <t>Holmen skog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42564-2025</t>
        </is>
      </c>
      <c r="B8418" s="1" t="n">
        <v>45905</v>
      </c>
      <c r="C8418" s="1" t="n">
        <v>45971</v>
      </c>
      <c r="D8418" t="inlineStr">
        <is>
          <t>VÄSTERBOTTENS LÄN</t>
        </is>
      </c>
      <c r="E8418" t="inlineStr">
        <is>
          <t>VINDELN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42584-2025</t>
        </is>
      </c>
      <c r="B8419" s="1" t="n">
        <v>45905.62662037037</v>
      </c>
      <c r="C8419" s="1" t="n">
        <v>45971</v>
      </c>
      <c r="D8419" t="inlineStr">
        <is>
          <t>VÄSTERBOTTENS LÄN</t>
        </is>
      </c>
      <c r="E8419" t="inlineStr">
        <is>
          <t>VÄNNÄS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26769-2025</t>
        </is>
      </c>
      <c r="B8420" s="1" t="n">
        <v>45810.56748842593</v>
      </c>
      <c r="C8420" s="1" t="n">
        <v>45971</v>
      </c>
      <c r="D8420" t="inlineStr">
        <is>
          <t>VÄSTERBOTTENS LÄN</t>
        </is>
      </c>
      <c r="E8420" t="inlineStr">
        <is>
          <t>VINDELN</t>
        </is>
      </c>
      <c r="F8420" t="inlineStr">
        <is>
          <t>Holmen skog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42849-2025</t>
        </is>
      </c>
      <c r="B8421" s="1" t="n">
        <v>45908.59594907407</v>
      </c>
      <c r="C8421" s="1" t="n">
        <v>45971</v>
      </c>
      <c r="D8421" t="inlineStr">
        <is>
          <t>VÄSTERBOTTENS LÄN</t>
        </is>
      </c>
      <c r="E8421" t="inlineStr">
        <is>
          <t>ROBERTSFORS</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55817-2022</t>
        </is>
      </c>
      <c r="B8422" s="1" t="n">
        <v>44886</v>
      </c>
      <c r="C8422" s="1" t="n">
        <v>45971</v>
      </c>
      <c r="D8422" t="inlineStr">
        <is>
          <t>VÄSTERBOTTENS LÄN</t>
        </is>
      </c>
      <c r="E8422" t="inlineStr">
        <is>
          <t>SORSELE</t>
        </is>
      </c>
      <c r="G8422" t="n">
        <v>10</v>
      </c>
      <c r="H8422" t="n">
        <v>0</v>
      </c>
      <c r="I8422" t="n">
        <v>0</v>
      </c>
      <c r="J8422" t="n">
        <v>0</v>
      </c>
      <c r="K8422" t="n">
        <v>0</v>
      </c>
      <c r="L8422" t="n">
        <v>0</v>
      </c>
      <c r="M8422" t="n">
        <v>0</v>
      </c>
      <c r="N8422" t="n">
        <v>0</v>
      </c>
      <c r="O8422" t="n">
        <v>0</v>
      </c>
      <c r="P8422" t="n">
        <v>0</v>
      </c>
      <c r="Q8422" t="n">
        <v>0</v>
      </c>
      <c r="R8422" s="2" t="inlineStr"/>
    </row>
    <row r="8423" ht="15" customHeight="1">
      <c r="A8423" t="inlineStr">
        <is>
          <t>A 42752-2025</t>
        </is>
      </c>
      <c r="B8423" s="1" t="n">
        <v>45908.44136574074</v>
      </c>
      <c r="C8423" s="1" t="n">
        <v>45971</v>
      </c>
      <c r="D8423" t="inlineStr">
        <is>
          <t>VÄSTERBOTTENS LÄN</t>
        </is>
      </c>
      <c r="E8423" t="inlineStr">
        <is>
          <t>NORSJÖ</t>
        </is>
      </c>
      <c r="F8423" t="inlineStr">
        <is>
          <t>Holmen skog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42661-2025</t>
        </is>
      </c>
      <c r="B8424" s="1" t="n">
        <v>45907.60118055555</v>
      </c>
      <c r="C8424" s="1" t="n">
        <v>45971</v>
      </c>
      <c r="D8424" t="inlineStr">
        <is>
          <t>VÄSTERBOTTENS LÄN</t>
        </is>
      </c>
      <c r="E8424" t="inlineStr">
        <is>
          <t>SKELLEFTEÅ</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55053-2023</t>
        </is>
      </c>
      <c r="B8425" s="1" t="n">
        <v>45237</v>
      </c>
      <c r="C8425" s="1" t="n">
        <v>45971</v>
      </c>
      <c r="D8425" t="inlineStr">
        <is>
          <t>VÄSTERBOTTENS LÄN</t>
        </is>
      </c>
      <c r="E8425" t="inlineStr">
        <is>
          <t>UMEÅ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28942-2023</t>
        </is>
      </c>
      <c r="B8426" s="1" t="n">
        <v>45104</v>
      </c>
      <c r="C8426" s="1" t="n">
        <v>45971</v>
      </c>
      <c r="D8426" t="inlineStr">
        <is>
          <t>VÄSTERBOTTENS LÄN</t>
        </is>
      </c>
      <c r="E8426" t="inlineStr">
        <is>
          <t>NORSJÖ</t>
        </is>
      </c>
      <c r="F8426" t="inlineStr">
        <is>
          <t>Sveaskog</t>
        </is>
      </c>
      <c r="G8426" t="n">
        <v>15.9</v>
      </c>
      <c r="H8426" t="n">
        <v>0</v>
      </c>
      <c r="I8426" t="n">
        <v>0</v>
      </c>
      <c r="J8426" t="n">
        <v>0</v>
      </c>
      <c r="K8426" t="n">
        <v>0</v>
      </c>
      <c r="L8426" t="n">
        <v>0</v>
      </c>
      <c r="M8426" t="n">
        <v>0</v>
      </c>
      <c r="N8426" t="n">
        <v>0</v>
      </c>
      <c r="O8426" t="n">
        <v>0</v>
      </c>
      <c r="P8426" t="n">
        <v>0</v>
      </c>
      <c r="Q8426" t="n">
        <v>0</v>
      </c>
      <c r="R8426" s="2" t="inlineStr"/>
    </row>
    <row r="8427" ht="15" customHeight="1">
      <c r="A8427" t="inlineStr">
        <is>
          <t>A 51547-2025</t>
        </is>
      </c>
      <c r="B8427" s="1" t="n">
        <v>45950.78769675926</v>
      </c>
      <c r="C8427" s="1" t="n">
        <v>45971</v>
      </c>
      <c r="D8427" t="inlineStr">
        <is>
          <t>VÄSTERBOTTENS LÄN</t>
        </is>
      </c>
      <c r="E8427" t="inlineStr">
        <is>
          <t>UMEÅ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51553-2025</t>
        </is>
      </c>
      <c r="B8428" s="1" t="n">
        <v>45950.87297453704</v>
      </c>
      <c r="C8428" s="1" t="n">
        <v>45971</v>
      </c>
      <c r="D8428" t="inlineStr">
        <is>
          <t>VÄSTERBOTTENS LÄN</t>
        </is>
      </c>
      <c r="E8428" t="inlineStr">
        <is>
          <t>VÄNNÄS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17196-2025</t>
        </is>
      </c>
      <c r="B8429" s="1" t="n">
        <v>45756.4102199074</v>
      </c>
      <c r="C8429" s="1" t="n">
        <v>45971</v>
      </c>
      <c r="D8429" t="inlineStr">
        <is>
          <t>VÄSTERBOTTENS LÄN</t>
        </is>
      </c>
      <c r="E8429" t="inlineStr">
        <is>
          <t>BJURHOLM</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58119-2024</t>
        </is>
      </c>
      <c r="B8430" s="1" t="n">
        <v>45632.39261574074</v>
      </c>
      <c r="C8430" s="1" t="n">
        <v>45971</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59028-2024</t>
        </is>
      </c>
      <c r="B8431" s="1" t="n">
        <v>45636</v>
      </c>
      <c r="C8431" s="1" t="n">
        <v>45971</v>
      </c>
      <c r="D8431" t="inlineStr">
        <is>
          <t>VÄSTERBOTTENS LÄN</t>
        </is>
      </c>
      <c r="E8431" t="inlineStr">
        <is>
          <t>ROBERTSFORS</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22908-2025</t>
        </is>
      </c>
      <c r="B8432" s="1" t="n">
        <v>45790</v>
      </c>
      <c r="C8432" s="1" t="n">
        <v>45971</v>
      </c>
      <c r="D8432" t="inlineStr">
        <is>
          <t>VÄSTERBOTTENS LÄN</t>
        </is>
      </c>
      <c r="E8432" t="inlineStr">
        <is>
          <t>ÅSELE</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31485-2025</t>
        </is>
      </c>
      <c r="B8433" s="1" t="n">
        <v>45833</v>
      </c>
      <c r="C8433" s="1" t="n">
        <v>45971</v>
      </c>
      <c r="D8433" t="inlineStr">
        <is>
          <t>VÄSTERBOTTENS LÄN</t>
        </is>
      </c>
      <c r="E8433" t="inlineStr">
        <is>
          <t>VILHELMINA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14759-2025</t>
        </is>
      </c>
      <c r="B8434" s="1" t="n">
        <v>45742</v>
      </c>
      <c r="C8434" s="1" t="n">
        <v>45971</v>
      </c>
      <c r="D8434" t="inlineStr">
        <is>
          <t>VÄSTERBOTTENS LÄN</t>
        </is>
      </c>
      <c r="E8434" t="inlineStr">
        <is>
          <t>DOROTEA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12944-2025</t>
        </is>
      </c>
      <c r="B8435" s="1" t="n">
        <v>45734</v>
      </c>
      <c r="C8435" s="1" t="n">
        <v>45971</v>
      </c>
      <c r="D8435" t="inlineStr">
        <is>
          <t>VÄSTERBOTTENS LÄN</t>
        </is>
      </c>
      <c r="E8435" t="inlineStr">
        <is>
          <t>NORSJÖ</t>
        </is>
      </c>
      <c r="G8435" t="n">
        <v>13.7</v>
      </c>
      <c r="H8435" t="n">
        <v>0</v>
      </c>
      <c r="I8435" t="n">
        <v>0</v>
      </c>
      <c r="J8435" t="n">
        <v>0</v>
      </c>
      <c r="K8435" t="n">
        <v>0</v>
      </c>
      <c r="L8435" t="n">
        <v>0</v>
      </c>
      <c r="M8435" t="n">
        <v>0</v>
      </c>
      <c r="N8435" t="n">
        <v>0</v>
      </c>
      <c r="O8435" t="n">
        <v>0</v>
      </c>
      <c r="P8435" t="n">
        <v>0</v>
      </c>
      <c r="Q8435" t="n">
        <v>0</v>
      </c>
      <c r="R8435" s="2" t="inlineStr"/>
    </row>
    <row r="8436" ht="15" customHeight="1">
      <c r="A8436" t="inlineStr">
        <is>
          <t>A 29301-2025</t>
        </is>
      </c>
      <c r="B8436" s="1" t="n">
        <v>45824.45652777778</v>
      </c>
      <c r="C8436" s="1" t="n">
        <v>45971</v>
      </c>
      <c r="D8436" t="inlineStr">
        <is>
          <t>VÄSTERBOTTENS LÄN</t>
        </is>
      </c>
      <c r="E8436" t="inlineStr">
        <is>
          <t>BJURHOLM</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41172-2024</t>
        </is>
      </c>
      <c r="B8437" s="1" t="n">
        <v>45559.48717592593</v>
      </c>
      <c r="C8437" s="1" t="n">
        <v>45971</v>
      </c>
      <c r="D8437" t="inlineStr">
        <is>
          <t>VÄSTERBOTTENS LÄN</t>
        </is>
      </c>
      <c r="E8437" t="inlineStr">
        <is>
          <t>VINDELN</t>
        </is>
      </c>
      <c r="F8437" t="inlineStr">
        <is>
          <t>Sveaskog</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42037-2023</t>
        </is>
      </c>
      <c r="B8438" s="1" t="n">
        <v>45177.50853009259</v>
      </c>
      <c r="C8438" s="1" t="n">
        <v>45971</v>
      </c>
      <c r="D8438" t="inlineStr">
        <is>
          <t>VÄSTERBOTTENS LÄN</t>
        </is>
      </c>
      <c r="E8438" t="inlineStr">
        <is>
          <t>ÅSELE</t>
        </is>
      </c>
      <c r="F8438" t="inlineStr">
        <is>
          <t>Holmen skog AB</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29617-2023</t>
        </is>
      </c>
      <c r="B8439" s="1" t="n">
        <v>45106.94461805555</v>
      </c>
      <c r="C8439" s="1" t="n">
        <v>45971</v>
      </c>
      <c r="D8439" t="inlineStr">
        <is>
          <t>VÄSTERBOTTENS LÄN</t>
        </is>
      </c>
      <c r="E8439" t="inlineStr">
        <is>
          <t>ÅSELE</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51419-2025</t>
        </is>
      </c>
      <c r="B8440" s="1" t="n">
        <v>45950.51460648148</v>
      </c>
      <c r="C8440" s="1" t="n">
        <v>45971</v>
      </c>
      <c r="D8440" t="inlineStr">
        <is>
          <t>VÄSTERBOTTENS LÄN</t>
        </is>
      </c>
      <c r="E8440" t="inlineStr">
        <is>
          <t>ROBERTSFORS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51420-2025</t>
        </is>
      </c>
      <c r="B8441" s="1" t="n">
        <v>45950.51708333333</v>
      </c>
      <c r="C8441" s="1" t="n">
        <v>45971</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46691-2023</t>
        </is>
      </c>
      <c r="B8442" s="1" t="n">
        <v>45198.52241898148</v>
      </c>
      <c r="C8442" s="1" t="n">
        <v>45971</v>
      </c>
      <c r="D8442" t="inlineStr">
        <is>
          <t>VÄSTERBOTTENS LÄN</t>
        </is>
      </c>
      <c r="E8442" t="inlineStr">
        <is>
          <t>ÅSELE</t>
        </is>
      </c>
      <c r="F8442" t="inlineStr">
        <is>
          <t>Sveaskog</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43345-2023</t>
        </is>
      </c>
      <c r="B8443" s="1" t="n">
        <v>45181</v>
      </c>
      <c r="C8443" s="1" t="n">
        <v>45971</v>
      </c>
      <c r="D8443" t="inlineStr">
        <is>
          <t>VÄSTERBOTTENS LÄN</t>
        </is>
      </c>
      <c r="E8443" t="inlineStr">
        <is>
          <t>STORUMAN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37357-2024</t>
        </is>
      </c>
      <c r="B8444" s="1" t="n">
        <v>45540.54907407407</v>
      </c>
      <c r="C8444" s="1" t="n">
        <v>45971</v>
      </c>
      <c r="D8444" t="inlineStr">
        <is>
          <t>VÄSTERBOTTENS LÄN</t>
        </is>
      </c>
      <c r="E8444" t="inlineStr">
        <is>
          <t>ROBERTSFORS</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5636-2024</t>
        </is>
      </c>
      <c r="B8445" s="1" t="n">
        <v>45334.61045138889</v>
      </c>
      <c r="C8445" s="1" t="n">
        <v>45971</v>
      </c>
      <c r="D8445" t="inlineStr">
        <is>
          <t>VÄSTERBOTTENS LÄN</t>
        </is>
      </c>
      <c r="E8445" t="inlineStr">
        <is>
          <t>SKELLEFTEÅ</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2311-2025</t>
        </is>
      </c>
      <c r="B8446" s="1" t="n">
        <v>45673.60427083333</v>
      </c>
      <c r="C8446" s="1" t="n">
        <v>45971</v>
      </c>
      <c r="D8446" t="inlineStr">
        <is>
          <t>VÄSTERBOTTENS LÄN</t>
        </is>
      </c>
      <c r="E8446" t="inlineStr">
        <is>
          <t>NORDMALING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2814-2025</t>
        </is>
      </c>
      <c r="B8447" s="1" t="n">
        <v>45677</v>
      </c>
      <c r="C8447" s="1" t="n">
        <v>45971</v>
      </c>
      <c r="D8447" t="inlineStr">
        <is>
          <t>VÄSTERBOTTENS LÄN</t>
        </is>
      </c>
      <c r="E8447" t="inlineStr">
        <is>
          <t>DOROTEA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45576-2023</t>
        </is>
      </c>
      <c r="B8448" s="1" t="n">
        <v>45188</v>
      </c>
      <c r="C8448" s="1" t="n">
        <v>45971</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42405-2025</t>
        </is>
      </c>
      <c r="B8449" s="1" t="n">
        <v>45905.37756944444</v>
      </c>
      <c r="C8449" s="1" t="n">
        <v>45971</v>
      </c>
      <c r="D8449" t="inlineStr">
        <is>
          <t>VÄSTERBOTTENS LÄN</t>
        </is>
      </c>
      <c r="E8449" t="inlineStr">
        <is>
          <t>LYCKSELE</t>
        </is>
      </c>
      <c r="F8449" t="inlineStr">
        <is>
          <t>Sveaskog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62534-2021</t>
        </is>
      </c>
      <c r="B8450" s="1" t="n">
        <v>44503</v>
      </c>
      <c r="C8450" s="1" t="n">
        <v>45971</v>
      </c>
      <c r="D8450" t="inlineStr">
        <is>
          <t>VÄSTERBOTTENS LÄN</t>
        </is>
      </c>
      <c r="E8450" t="inlineStr">
        <is>
          <t>ÅSELE</t>
        </is>
      </c>
      <c r="F8450" t="inlineStr">
        <is>
          <t>Holmen skog AB</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48940-2022</t>
        </is>
      </c>
      <c r="B8451" s="1" t="n">
        <v>44859.9572337963</v>
      </c>
      <c r="C8451" s="1" t="n">
        <v>45971</v>
      </c>
      <c r="D8451" t="inlineStr">
        <is>
          <t>VÄSTERBOTTENS LÄN</t>
        </is>
      </c>
      <c r="E8451" t="inlineStr">
        <is>
          <t>NORDMALING</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11771-2023</t>
        </is>
      </c>
      <c r="B8452" s="1" t="n">
        <v>44994.6418287037</v>
      </c>
      <c r="C8452" s="1" t="n">
        <v>45971</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33872-2025</t>
        </is>
      </c>
      <c r="B8453" s="1" t="n">
        <v>45842.54907407407</v>
      </c>
      <c r="C8453" s="1" t="n">
        <v>45971</v>
      </c>
      <c r="D8453" t="inlineStr">
        <is>
          <t>VÄSTERBOTTENS LÄN</t>
        </is>
      </c>
      <c r="E8453" t="inlineStr">
        <is>
          <t>VINDELN</t>
        </is>
      </c>
      <c r="F8453" t="inlineStr">
        <is>
          <t>Sveaskog</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51194-2025</t>
        </is>
      </c>
      <c r="B8454" s="1" t="n">
        <v>45947.62954861111</v>
      </c>
      <c r="C8454" s="1" t="n">
        <v>45971</v>
      </c>
      <c r="D8454" t="inlineStr">
        <is>
          <t>VÄSTERBOTTENS LÄN</t>
        </is>
      </c>
      <c r="E8454" t="inlineStr">
        <is>
          <t>SKELLEFTEÅ</t>
        </is>
      </c>
      <c r="F8454" t="inlineStr">
        <is>
          <t>Sveaskog</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56838-2024</t>
        </is>
      </c>
      <c r="B8455" s="1" t="n">
        <v>45628.50866898148</v>
      </c>
      <c r="C8455" s="1" t="n">
        <v>45971</v>
      </c>
      <c r="D8455" t="inlineStr">
        <is>
          <t>VÄSTERBOTTENS LÄN</t>
        </is>
      </c>
      <c r="E8455" t="inlineStr">
        <is>
          <t>SKELLEFTEÅ</t>
        </is>
      </c>
      <c r="F8455" t="inlineStr">
        <is>
          <t>Holmen skog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30746-2025</t>
        </is>
      </c>
      <c r="B8456" s="1" t="n">
        <v>45831.58256944444</v>
      </c>
      <c r="C8456" s="1" t="n">
        <v>45971</v>
      </c>
      <c r="D8456" t="inlineStr">
        <is>
          <t>VÄSTERBOTTENS LÄN</t>
        </is>
      </c>
      <c r="E8456" t="inlineStr">
        <is>
          <t>VILHELMINA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51542-2025</t>
        </is>
      </c>
      <c r="B8457" s="1" t="n">
        <v>45950.73994212963</v>
      </c>
      <c r="C8457" s="1" t="n">
        <v>45971</v>
      </c>
      <c r="D8457" t="inlineStr">
        <is>
          <t>VÄSTERBOTTENS LÄN</t>
        </is>
      </c>
      <c r="E8457" t="inlineStr">
        <is>
          <t>NORDMALING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51408-2025</t>
        </is>
      </c>
      <c r="B8458" s="1" t="n">
        <v>45950.49023148148</v>
      </c>
      <c r="C8458" s="1" t="n">
        <v>45971</v>
      </c>
      <c r="D8458" t="inlineStr">
        <is>
          <t>VÄSTERBOTTENS LÄN</t>
        </is>
      </c>
      <c r="E8458" t="inlineStr">
        <is>
          <t>ÅSELE</t>
        </is>
      </c>
      <c r="F8458" t="inlineStr">
        <is>
          <t>SCA</t>
        </is>
      </c>
      <c r="G8458" t="n">
        <v>19.4</v>
      </c>
      <c r="H8458" t="n">
        <v>0</v>
      </c>
      <c r="I8458" t="n">
        <v>0</v>
      </c>
      <c r="J8458" t="n">
        <v>0</v>
      </c>
      <c r="K8458" t="n">
        <v>0</v>
      </c>
      <c r="L8458" t="n">
        <v>0</v>
      </c>
      <c r="M8458" t="n">
        <v>0</v>
      </c>
      <c r="N8458" t="n">
        <v>0</v>
      </c>
      <c r="O8458" t="n">
        <v>0</v>
      </c>
      <c r="P8458" t="n">
        <v>0</v>
      </c>
      <c r="Q8458" t="n">
        <v>0</v>
      </c>
      <c r="R8458" s="2" t="inlineStr"/>
    </row>
    <row r="8459" ht="15" customHeight="1">
      <c r="A8459" t="inlineStr">
        <is>
          <t>A 51695-2024</t>
        </is>
      </c>
      <c r="B8459" s="1" t="n">
        <v>45607.34743055556</v>
      </c>
      <c r="C8459" s="1" t="n">
        <v>45971</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22451-2025</t>
        </is>
      </c>
      <c r="B8460" s="1" t="n">
        <v>45786.60166666667</v>
      </c>
      <c r="C8460" s="1" t="n">
        <v>45971</v>
      </c>
      <c r="D8460" t="inlineStr">
        <is>
          <t>VÄSTERBOTTENS LÄN</t>
        </is>
      </c>
      <c r="E8460" t="inlineStr">
        <is>
          <t>VINDELN</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42517-2025</t>
        </is>
      </c>
      <c r="B8461" s="1" t="n">
        <v>45905.54627314815</v>
      </c>
      <c r="C8461" s="1" t="n">
        <v>45971</v>
      </c>
      <c r="D8461" t="inlineStr">
        <is>
          <t>VÄSTERBOTTENS LÄN</t>
        </is>
      </c>
      <c r="E8461" t="inlineStr">
        <is>
          <t>NORSJÖ</t>
        </is>
      </c>
      <c r="F8461" t="inlineStr">
        <is>
          <t>Sveaskog</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51552-2025</t>
        </is>
      </c>
      <c r="B8462" s="1" t="n">
        <v>45950.85929398148</v>
      </c>
      <c r="C8462" s="1" t="n">
        <v>45971</v>
      </c>
      <c r="D8462" t="inlineStr">
        <is>
          <t>VÄSTERBOTTENS LÄN</t>
        </is>
      </c>
      <c r="E8462" t="inlineStr">
        <is>
          <t>NORDMALING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26422-2025</t>
        </is>
      </c>
      <c r="B8463" s="1" t="n">
        <v>45807.37386574074</v>
      </c>
      <c r="C8463" s="1" t="n">
        <v>45971</v>
      </c>
      <c r="D8463" t="inlineStr">
        <is>
          <t>VÄSTERBOTTENS LÄN</t>
        </is>
      </c>
      <c r="E8463" t="inlineStr">
        <is>
          <t>LYCKSELE</t>
        </is>
      </c>
      <c r="F8463" t="inlineStr">
        <is>
          <t>Sveaskog</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26410-2025</t>
        </is>
      </c>
      <c r="B8464" s="1" t="n">
        <v>45807.34731481481</v>
      </c>
      <c r="C8464" s="1" t="n">
        <v>45971</v>
      </c>
      <c r="D8464" t="inlineStr">
        <is>
          <t>VÄSTERBOTTENS LÄN</t>
        </is>
      </c>
      <c r="E8464" t="inlineStr">
        <is>
          <t>LYCKSELE</t>
        </is>
      </c>
      <c r="F8464" t="inlineStr">
        <is>
          <t>Holmen skog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26425-2025</t>
        </is>
      </c>
      <c r="B8465" s="1" t="n">
        <v>45807.38453703704</v>
      </c>
      <c r="C8465" s="1" t="n">
        <v>45971</v>
      </c>
      <c r="D8465" t="inlineStr">
        <is>
          <t>VÄSTERBOTTENS LÄN</t>
        </is>
      </c>
      <c r="E8465" t="inlineStr">
        <is>
          <t>SKELLEFTEÅ</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51197-2025</t>
        </is>
      </c>
      <c r="B8466" s="1" t="n">
        <v>45947.63258101852</v>
      </c>
      <c r="C8466" s="1" t="n">
        <v>45971</v>
      </c>
      <c r="D8466" t="inlineStr">
        <is>
          <t>VÄSTERBOTTENS LÄN</t>
        </is>
      </c>
      <c r="E8466" t="inlineStr">
        <is>
          <t>ÅSELE</t>
        </is>
      </c>
      <c r="F8466" t="inlineStr">
        <is>
          <t>Holmen skog AB</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41430-2025</t>
        </is>
      </c>
      <c r="B8467" s="1" t="n">
        <v>45901</v>
      </c>
      <c r="C8467" s="1" t="n">
        <v>45971</v>
      </c>
      <c r="D8467" t="inlineStr">
        <is>
          <t>VÄSTERBOTTENS LÄN</t>
        </is>
      </c>
      <c r="E8467" t="inlineStr">
        <is>
          <t>UMEÅ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42990-2025</t>
        </is>
      </c>
      <c r="B8468" s="1" t="n">
        <v>45909.45178240741</v>
      </c>
      <c r="C8468" s="1" t="n">
        <v>45971</v>
      </c>
      <c r="D8468" t="inlineStr">
        <is>
          <t>VÄSTERBOTTENS LÄN</t>
        </is>
      </c>
      <c r="E8468" t="inlineStr">
        <is>
          <t>VÄNNÄS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43016-2025</t>
        </is>
      </c>
      <c r="B8469" s="1" t="n">
        <v>45909.49864583334</v>
      </c>
      <c r="C8469" s="1" t="n">
        <v>45971</v>
      </c>
      <c r="D8469" t="inlineStr">
        <is>
          <t>VÄSTERBOTTENS LÄN</t>
        </is>
      </c>
      <c r="E8469" t="inlineStr">
        <is>
          <t>UMEÅ</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51701-2025</t>
        </is>
      </c>
      <c r="B8470" s="1" t="n">
        <v>45951.55298611111</v>
      </c>
      <c r="C8470" s="1" t="n">
        <v>45971</v>
      </c>
      <c r="D8470" t="inlineStr">
        <is>
          <t>VÄSTERBOTTENS LÄN</t>
        </is>
      </c>
      <c r="E8470" t="inlineStr">
        <is>
          <t>VILHELMINA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51762-2025</t>
        </is>
      </c>
      <c r="B8471" s="1" t="n">
        <v>45951.63605324074</v>
      </c>
      <c r="C8471" s="1" t="n">
        <v>45971</v>
      </c>
      <c r="D8471" t="inlineStr">
        <is>
          <t>VÄSTERBOTTENS LÄN</t>
        </is>
      </c>
      <c r="E8471" t="inlineStr">
        <is>
          <t>NORDMALING</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51778-2025</t>
        </is>
      </c>
      <c r="B8472" s="1" t="n">
        <v>45951.65707175926</v>
      </c>
      <c r="C8472" s="1" t="n">
        <v>45971</v>
      </c>
      <c r="D8472" t="inlineStr">
        <is>
          <t>VÄSTERBOTTENS LÄN</t>
        </is>
      </c>
      <c r="E8472" t="inlineStr">
        <is>
          <t>ROBERTSFORS</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51842-2025</t>
        </is>
      </c>
      <c r="B8473" s="1" t="n">
        <v>45952.34488425926</v>
      </c>
      <c r="C8473" s="1" t="n">
        <v>45971</v>
      </c>
      <c r="D8473" t="inlineStr">
        <is>
          <t>VÄSTERBOTTENS LÄN</t>
        </is>
      </c>
      <c r="E8473" t="inlineStr">
        <is>
          <t>LYCKSELE</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51901-2025</t>
        </is>
      </c>
      <c r="B8474" s="1" t="n">
        <v>45952.44668981482</v>
      </c>
      <c r="C8474" s="1" t="n">
        <v>45971</v>
      </c>
      <c r="D8474" t="inlineStr">
        <is>
          <t>VÄSTERBOTTENS LÄN</t>
        </is>
      </c>
      <c r="E8474" t="inlineStr">
        <is>
          <t>UMEÅ</t>
        </is>
      </c>
      <c r="F8474" t="inlineStr">
        <is>
          <t>Holmen skog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51905-2025</t>
        </is>
      </c>
      <c r="B8475" s="1" t="n">
        <v>45952.44921296297</v>
      </c>
      <c r="C8475" s="1" t="n">
        <v>45971</v>
      </c>
      <c r="D8475" t="inlineStr">
        <is>
          <t>VÄSTERBOTTENS LÄN</t>
        </is>
      </c>
      <c r="E8475" t="inlineStr">
        <is>
          <t>NORSJÖ</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37576-2024</t>
        </is>
      </c>
      <c r="B8476" s="1" t="n">
        <v>45541</v>
      </c>
      <c r="C8476" s="1" t="n">
        <v>45971</v>
      </c>
      <c r="D8476" t="inlineStr">
        <is>
          <t>VÄSTERBOTTENS LÄN</t>
        </is>
      </c>
      <c r="E8476" t="inlineStr">
        <is>
          <t>ÅSELE</t>
        </is>
      </c>
      <c r="F8476" t="inlineStr">
        <is>
          <t>Holmen skog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26904-2025</t>
        </is>
      </c>
      <c r="B8477" s="1" t="n">
        <v>45811</v>
      </c>
      <c r="C8477" s="1" t="n">
        <v>45971</v>
      </c>
      <c r="D8477" t="inlineStr">
        <is>
          <t>VÄSTERBOTTENS LÄN</t>
        </is>
      </c>
      <c r="E8477" t="inlineStr">
        <is>
          <t>DOROTEA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51934-2025</t>
        </is>
      </c>
      <c r="B8478" s="1" t="n">
        <v>45952.51155092593</v>
      </c>
      <c r="C8478" s="1" t="n">
        <v>45971</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51936-2025</t>
        </is>
      </c>
      <c r="B8479" s="1" t="n">
        <v>45952.5119675926</v>
      </c>
      <c r="C8479" s="1" t="n">
        <v>45971</v>
      </c>
      <c r="D8479" t="inlineStr">
        <is>
          <t>VÄSTERBOTTENS LÄN</t>
        </is>
      </c>
      <c r="E8479" t="inlineStr">
        <is>
          <t>MALÅ</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56001-2024</t>
        </is>
      </c>
      <c r="B8480" s="1" t="n">
        <v>45623.70415509259</v>
      </c>
      <c r="C8480" s="1" t="n">
        <v>45971</v>
      </c>
      <c r="D8480" t="inlineStr">
        <is>
          <t>VÄSTERBOTTENS LÄN</t>
        </is>
      </c>
      <c r="E8480" t="inlineStr">
        <is>
          <t>VINDELN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51948-2025</t>
        </is>
      </c>
      <c r="B8481" s="1" t="n">
        <v>45952.53190972222</v>
      </c>
      <c r="C8481" s="1" t="n">
        <v>45971</v>
      </c>
      <c r="D8481" t="inlineStr">
        <is>
          <t>VÄSTERBOTTENS LÄN</t>
        </is>
      </c>
      <c r="E8481" t="inlineStr">
        <is>
          <t>MALÅ</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51950-2025</t>
        </is>
      </c>
      <c r="B8482" s="1" t="n">
        <v>45952.53225694445</v>
      </c>
      <c r="C8482" s="1" t="n">
        <v>45971</v>
      </c>
      <c r="D8482" t="inlineStr">
        <is>
          <t>VÄSTERBOTTENS LÄN</t>
        </is>
      </c>
      <c r="E8482" t="inlineStr">
        <is>
          <t>MALÅ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42984-2025</t>
        </is>
      </c>
      <c r="B8483" s="1" t="n">
        <v>45909.44195601852</v>
      </c>
      <c r="C8483" s="1" t="n">
        <v>45971</v>
      </c>
      <c r="D8483" t="inlineStr">
        <is>
          <t>VÄSTERBOTTENS LÄN</t>
        </is>
      </c>
      <c r="E8483" t="inlineStr">
        <is>
          <t>LYCKSELE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42987-2025</t>
        </is>
      </c>
      <c r="B8484" s="1" t="n">
        <v>45909</v>
      </c>
      <c r="C8484" s="1" t="n">
        <v>45971</v>
      </c>
      <c r="D8484" t="inlineStr">
        <is>
          <t>VÄSTERBOTTENS LÄN</t>
        </is>
      </c>
      <c r="E8484" t="inlineStr">
        <is>
          <t>UMEÅ</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51930-2025</t>
        </is>
      </c>
      <c r="B8485" s="1" t="n">
        <v>45952.49821759259</v>
      </c>
      <c r="C8485" s="1" t="n">
        <v>45971</v>
      </c>
      <c r="D8485" t="inlineStr">
        <is>
          <t>VÄSTERBOTTENS LÄN</t>
        </is>
      </c>
      <c r="E8485" t="inlineStr">
        <is>
          <t>UMEÅ</t>
        </is>
      </c>
      <c r="F8485" t="inlineStr">
        <is>
          <t>Holmen skog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51736-2025</t>
        </is>
      </c>
      <c r="B8486" s="1" t="n">
        <v>45951.595625</v>
      </c>
      <c r="C8486" s="1" t="n">
        <v>45971</v>
      </c>
      <c r="D8486" t="inlineStr">
        <is>
          <t>VÄSTERBOTTENS LÄN</t>
        </is>
      </c>
      <c r="E8486" t="inlineStr">
        <is>
          <t>NORDMALING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52039-2025</t>
        </is>
      </c>
      <c r="B8487" s="1" t="n">
        <v>45952.61512731481</v>
      </c>
      <c r="C8487" s="1" t="n">
        <v>45971</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43334-2025</t>
        </is>
      </c>
      <c r="B8488" s="1" t="n">
        <v>45910.71481481481</v>
      </c>
      <c r="C8488" s="1" t="n">
        <v>45971</v>
      </c>
      <c r="D8488" t="inlineStr">
        <is>
          <t>VÄSTERBOTTENS LÄN</t>
        </is>
      </c>
      <c r="E8488" t="inlineStr">
        <is>
          <t>ÅSELE</t>
        </is>
      </c>
      <c r="F8488" t="inlineStr">
        <is>
          <t>Holmen skog AB</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51977-2025</t>
        </is>
      </c>
      <c r="B8489" s="1" t="n">
        <v>45952.56453703704</v>
      </c>
      <c r="C8489" s="1" t="n">
        <v>45971</v>
      </c>
      <c r="D8489" t="inlineStr">
        <is>
          <t>VÄSTERBOTTENS LÄN</t>
        </is>
      </c>
      <c r="E8489" t="inlineStr">
        <is>
          <t>SKELLEFTEÅ</t>
        </is>
      </c>
      <c r="F8489" t="inlineStr">
        <is>
          <t>Holmen skog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52009-2025</t>
        </is>
      </c>
      <c r="B8490" s="1" t="n">
        <v>45952.59457175926</v>
      </c>
      <c r="C8490" s="1" t="n">
        <v>45971</v>
      </c>
      <c r="D8490" t="inlineStr">
        <is>
          <t>VÄSTERBOTTENS LÄN</t>
        </is>
      </c>
      <c r="E8490" t="inlineStr">
        <is>
          <t>SKELLEFTEÅ</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51669-2025</t>
        </is>
      </c>
      <c r="B8491" s="1" t="n">
        <v>45951.4962037037</v>
      </c>
      <c r="C8491" s="1" t="n">
        <v>45971</v>
      </c>
      <c r="D8491" t="inlineStr">
        <is>
          <t>VÄSTERBOTTENS LÄN</t>
        </is>
      </c>
      <c r="E8491" t="inlineStr">
        <is>
          <t>ÅSELE</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46063-2023</t>
        </is>
      </c>
      <c r="B8492" s="1" t="n">
        <v>45196</v>
      </c>
      <c r="C8492" s="1" t="n">
        <v>45971</v>
      </c>
      <c r="D8492" t="inlineStr">
        <is>
          <t>VÄSTERBOTTENS LÄN</t>
        </is>
      </c>
      <c r="E8492" t="inlineStr">
        <is>
          <t>MALÅ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27010-2025</t>
        </is>
      </c>
      <c r="B8493" s="1" t="n">
        <v>45811.56021990741</v>
      </c>
      <c r="C8493" s="1" t="n">
        <v>45971</v>
      </c>
      <c r="D8493" t="inlineStr">
        <is>
          <t>VÄSTERBOTTENS LÄN</t>
        </is>
      </c>
      <c r="E8493" t="inlineStr">
        <is>
          <t>SKELLEFTEÅ</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27051-2025</t>
        </is>
      </c>
      <c r="B8494" s="1" t="n">
        <v>45811.62070601852</v>
      </c>
      <c r="C8494" s="1" t="n">
        <v>45971</v>
      </c>
      <c r="D8494" t="inlineStr">
        <is>
          <t>VÄSTERBOTTENS LÄN</t>
        </is>
      </c>
      <c r="E8494" t="inlineStr">
        <is>
          <t>VINDELN</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27082-2025</t>
        </is>
      </c>
      <c r="B8495" s="1" t="n">
        <v>45811.65423611111</v>
      </c>
      <c r="C8495" s="1" t="n">
        <v>45971</v>
      </c>
      <c r="D8495" t="inlineStr">
        <is>
          <t>VÄSTERBOTTENS LÄN</t>
        </is>
      </c>
      <c r="E8495" t="inlineStr">
        <is>
          <t>SKELLEFTEÅ</t>
        </is>
      </c>
      <c r="F8495" t="inlineStr">
        <is>
          <t>Sveaskog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43289-2025</t>
        </is>
      </c>
      <c r="B8496" s="1" t="n">
        <v>45910</v>
      </c>
      <c r="C8496" s="1" t="n">
        <v>45971</v>
      </c>
      <c r="D8496" t="inlineStr">
        <is>
          <t>VÄSTERBOTTENS LÄN</t>
        </is>
      </c>
      <c r="E8496" t="inlineStr">
        <is>
          <t>ÅSELE</t>
        </is>
      </c>
      <c r="F8496" t="inlineStr">
        <is>
          <t>Kyrkan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43312-2025</t>
        </is>
      </c>
      <c r="B8497" s="1" t="n">
        <v>45910.65115740741</v>
      </c>
      <c r="C8497" s="1" t="n">
        <v>45971</v>
      </c>
      <c r="D8497" t="inlineStr">
        <is>
          <t>VÄSTERBOTTENS LÄN</t>
        </is>
      </c>
      <c r="E8497" t="inlineStr">
        <is>
          <t>SKELLEFTEÅ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16415-2025</t>
        </is>
      </c>
      <c r="B8498" s="1" t="n">
        <v>45751.46192129629</v>
      </c>
      <c r="C8498" s="1" t="n">
        <v>45971</v>
      </c>
      <c r="D8498" t="inlineStr">
        <is>
          <t>VÄSTERBOTTENS LÄN</t>
        </is>
      </c>
      <c r="E8498" t="inlineStr">
        <is>
          <t>SKELLEFTEÅ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3164-2025</t>
        </is>
      </c>
      <c r="B8499" s="1" t="n">
        <v>45679.34158564815</v>
      </c>
      <c r="C8499" s="1" t="n">
        <v>45971</v>
      </c>
      <c r="D8499" t="inlineStr">
        <is>
          <t>VÄSTERBOTTENS LÄN</t>
        </is>
      </c>
      <c r="E8499" t="inlineStr">
        <is>
          <t>SKELLEFTEÅ</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52105-2023</t>
        </is>
      </c>
      <c r="B8500" s="1" t="n">
        <v>45223.92668981481</v>
      </c>
      <c r="C8500" s="1" t="n">
        <v>45971</v>
      </c>
      <c r="D8500" t="inlineStr">
        <is>
          <t>VÄSTERBOTTENS LÄN</t>
        </is>
      </c>
      <c r="E8500" t="inlineStr">
        <is>
          <t>SKELLEFTEÅ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43325-2025</t>
        </is>
      </c>
      <c r="B8501" s="1" t="n">
        <v>45910.66576388889</v>
      </c>
      <c r="C8501" s="1" t="n">
        <v>45971</v>
      </c>
      <c r="D8501" t="inlineStr">
        <is>
          <t>VÄSTERBOTTENS LÄN</t>
        </is>
      </c>
      <c r="E8501" t="inlineStr">
        <is>
          <t>SKELLEFTEÅ</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27306-2025</t>
        </is>
      </c>
      <c r="B8502" s="1" t="n">
        <v>45812.57329861111</v>
      </c>
      <c r="C8502" s="1" t="n">
        <v>45971</v>
      </c>
      <c r="D8502" t="inlineStr">
        <is>
          <t>VÄSTERBOTTENS LÄN</t>
        </is>
      </c>
      <c r="E8502" t="inlineStr">
        <is>
          <t>LYCKSELE</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42939-2025</t>
        </is>
      </c>
      <c r="B8503" s="1" t="n">
        <v>45909</v>
      </c>
      <c r="C8503" s="1" t="n">
        <v>45971</v>
      </c>
      <c r="D8503" t="inlineStr">
        <is>
          <t>VÄSTERBOTTENS LÄN</t>
        </is>
      </c>
      <c r="E8503" t="inlineStr">
        <is>
          <t>UMEÅ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25944-2023</t>
        </is>
      </c>
      <c r="B8504" s="1" t="n">
        <v>45090.70563657407</v>
      </c>
      <c r="C8504" s="1" t="n">
        <v>45971</v>
      </c>
      <c r="D8504" t="inlineStr">
        <is>
          <t>VÄSTERBOTTENS LÄN</t>
        </is>
      </c>
      <c r="E8504" t="inlineStr">
        <is>
          <t>BJURHOLM</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51651-2025</t>
        </is>
      </c>
      <c r="B8505" s="1" t="n">
        <v>45951.46043981481</v>
      </c>
      <c r="C8505" s="1" t="n">
        <v>45971</v>
      </c>
      <c r="D8505" t="inlineStr">
        <is>
          <t>VÄSTERBOTTENS LÄN</t>
        </is>
      </c>
      <c r="E8505" t="inlineStr">
        <is>
          <t>VILHELMINA</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27246-2025</t>
        </is>
      </c>
      <c r="B8506" s="1" t="n">
        <v>45812.46246527778</v>
      </c>
      <c r="C8506" s="1" t="n">
        <v>45971</v>
      </c>
      <c r="D8506" t="inlineStr">
        <is>
          <t>VÄSTERBOTTENS LÄN</t>
        </is>
      </c>
      <c r="E8506" t="inlineStr">
        <is>
          <t>UMEÅ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51621-2025</t>
        </is>
      </c>
      <c r="B8507" s="1" t="n">
        <v>45951.41319444445</v>
      </c>
      <c r="C8507" s="1" t="n">
        <v>45971</v>
      </c>
      <c r="D8507" t="inlineStr">
        <is>
          <t>VÄSTERBOTTENS LÄN</t>
        </is>
      </c>
      <c r="E8507" t="inlineStr">
        <is>
          <t>UMEÅ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51629-2025</t>
        </is>
      </c>
      <c r="B8508" s="1" t="n">
        <v>45951.42306712963</v>
      </c>
      <c r="C8508" s="1" t="n">
        <v>45971</v>
      </c>
      <c r="D8508" t="inlineStr">
        <is>
          <t>VÄSTERBOTTENS LÄN</t>
        </is>
      </c>
      <c r="E8508" t="inlineStr">
        <is>
          <t>UMEÅ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46177-2023</t>
        </is>
      </c>
      <c r="B8509" s="1" t="n">
        <v>45190</v>
      </c>
      <c r="C8509" s="1" t="n">
        <v>45971</v>
      </c>
      <c r="D8509" t="inlineStr">
        <is>
          <t>VÄSTERBOTTENS LÄN</t>
        </is>
      </c>
      <c r="E8509" t="inlineStr">
        <is>
          <t>VILHELMINA</t>
        </is>
      </c>
      <c r="F8509" t="inlineStr">
        <is>
          <t>Övriga Aktiebolag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43307-2025</t>
        </is>
      </c>
      <c r="B8510" s="1" t="n">
        <v>45910.64238425926</v>
      </c>
      <c r="C8510" s="1" t="n">
        <v>45971</v>
      </c>
      <c r="D8510" t="inlineStr">
        <is>
          <t>VÄSTERBOTTENS LÄN</t>
        </is>
      </c>
      <c r="E8510" t="inlineStr">
        <is>
          <t>SKELLEFTEÅ</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43309-2025</t>
        </is>
      </c>
      <c r="B8511" s="1" t="n">
        <v>45910.64689814814</v>
      </c>
      <c r="C8511" s="1" t="n">
        <v>45971</v>
      </c>
      <c r="D8511" t="inlineStr">
        <is>
          <t>VÄSTERBOTTENS LÄN</t>
        </is>
      </c>
      <c r="E8511" t="inlineStr">
        <is>
          <t>SKELLEFTEÅ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51632-2025</t>
        </is>
      </c>
      <c r="B8512" s="1" t="n">
        <v>45951.42534722222</v>
      </c>
      <c r="C8512" s="1" t="n">
        <v>45971</v>
      </c>
      <c r="D8512" t="inlineStr">
        <is>
          <t>VÄSTERBOTTENS LÄN</t>
        </is>
      </c>
      <c r="E8512" t="inlineStr">
        <is>
          <t>SKELLEFTEÅ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51635-2025</t>
        </is>
      </c>
      <c r="B8513" s="1" t="n">
        <v>45951.43149305556</v>
      </c>
      <c r="C8513" s="1" t="n">
        <v>45971</v>
      </c>
      <c r="D8513" t="inlineStr">
        <is>
          <t>VÄSTERBOTTENS LÄN</t>
        </is>
      </c>
      <c r="E8513" t="inlineStr">
        <is>
          <t>SKELLEFTEÅ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43080-2025</t>
        </is>
      </c>
      <c r="B8514" s="1" t="n">
        <v>45909</v>
      </c>
      <c r="C8514" s="1" t="n">
        <v>45971</v>
      </c>
      <c r="D8514" t="inlineStr">
        <is>
          <t>VÄSTERBOTTENS LÄN</t>
        </is>
      </c>
      <c r="E8514" t="inlineStr">
        <is>
          <t>VINDELN</t>
        </is>
      </c>
      <c r="F8514" t="inlineStr">
        <is>
          <t>Holmen skog AB</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51630-2025</t>
        </is>
      </c>
      <c r="B8515" s="1" t="n">
        <v>45951.42327546296</v>
      </c>
      <c r="C8515" s="1" t="n">
        <v>45971</v>
      </c>
      <c r="D8515" t="inlineStr">
        <is>
          <t>VÄSTERBOTTENS LÄN</t>
        </is>
      </c>
      <c r="E8515" t="inlineStr">
        <is>
          <t>SKELLEFTEÅ</t>
        </is>
      </c>
      <c r="F8515" t="inlineStr">
        <is>
          <t>Sveaskog</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27851-2024</t>
        </is>
      </c>
      <c r="B8516" s="1" t="n">
        <v>45475.6459837963</v>
      </c>
      <c r="C8516" s="1" t="n">
        <v>45971</v>
      </c>
      <c r="D8516" t="inlineStr">
        <is>
          <t>VÄSTERBOTTENS LÄN</t>
        </is>
      </c>
      <c r="E8516" t="inlineStr">
        <is>
          <t>SKELLEFTEÅ</t>
        </is>
      </c>
      <c r="F8516" t="inlineStr">
        <is>
          <t>Sveaskog</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51641-2025</t>
        </is>
      </c>
      <c r="B8517" s="1" t="n">
        <v>45951.44424768518</v>
      </c>
      <c r="C8517" s="1" t="n">
        <v>45971</v>
      </c>
      <c r="D8517" t="inlineStr">
        <is>
          <t>VÄSTERBOTTENS LÄN</t>
        </is>
      </c>
      <c r="E8517" t="inlineStr">
        <is>
          <t>SKELLEFTEÅ</t>
        </is>
      </c>
      <c r="F8517" t="inlineStr">
        <is>
          <t>Sveaskog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51958-2025</t>
        </is>
      </c>
      <c r="B8518" s="1" t="n">
        <v>45952.54373842593</v>
      </c>
      <c r="C8518" s="1" t="n">
        <v>45971</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51891-2025</t>
        </is>
      </c>
      <c r="B8519" s="1" t="n">
        <v>45952.42099537037</v>
      </c>
      <c r="C8519" s="1" t="n">
        <v>45971</v>
      </c>
      <c r="D8519" t="inlineStr">
        <is>
          <t>VÄSTERBOTTENS LÄN</t>
        </is>
      </c>
      <c r="E8519" t="inlineStr">
        <is>
          <t>NORSJÖ</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51859-2025</t>
        </is>
      </c>
      <c r="B8520" s="1" t="n">
        <v>45952.3653587963</v>
      </c>
      <c r="C8520" s="1" t="n">
        <v>45971</v>
      </c>
      <c r="D8520" t="inlineStr">
        <is>
          <t>VÄSTERBOTTENS LÄN</t>
        </is>
      </c>
      <c r="E8520" t="inlineStr">
        <is>
          <t>LYCKSELE</t>
        </is>
      </c>
      <c r="G8520" t="n">
        <v>13.5</v>
      </c>
      <c r="H8520" t="n">
        <v>0</v>
      </c>
      <c r="I8520" t="n">
        <v>0</v>
      </c>
      <c r="J8520" t="n">
        <v>0</v>
      </c>
      <c r="K8520" t="n">
        <v>0</v>
      </c>
      <c r="L8520" t="n">
        <v>0</v>
      </c>
      <c r="M8520" t="n">
        <v>0</v>
      </c>
      <c r="N8520" t="n">
        <v>0</v>
      </c>
      <c r="O8520" t="n">
        <v>0</v>
      </c>
      <c r="P8520" t="n">
        <v>0</v>
      </c>
      <c r="Q8520" t="n">
        <v>0</v>
      </c>
      <c r="R8520" s="2" t="inlineStr"/>
    </row>
    <row r="8521" ht="15" customHeight="1">
      <c r="A8521" t="inlineStr">
        <is>
          <t>A 51889-2025</t>
        </is>
      </c>
      <c r="B8521" s="1" t="n">
        <v>45952.41400462963</v>
      </c>
      <c r="C8521" s="1" t="n">
        <v>45971</v>
      </c>
      <c r="D8521" t="inlineStr">
        <is>
          <t>VÄSTERBOTTENS LÄN</t>
        </is>
      </c>
      <c r="E8521" t="inlineStr">
        <is>
          <t>UMEÅ</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51594-2025</t>
        </is>
      </c>
      <c r="B8522" s="1" t="n">
        <v>45951.36555555555</v>
      </c>
      <c r="C8522" s="1" t="n">
        <v>45971</v>
      </c>
      <c r="D8522" t="inlineStr">
        <is>
          <t>VÄSTERBOTTENS LÄN</t>
        </is>
      </c>
      <c r="E8522" t="inlineStr">
        <is>
          <t>SKELLEFTEÅ</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4614-2025</t>
        </is>
      </c>
      <c r="B8523" s="1" t="n">
        <v>45687</v>
      </c>
      <c r="C8523" s="1" t="n">
        <v>45971</v>
      </c>
      <c r="D8523" t="inlineStr">
        <is>
          <t>VÄSTERBOTTENS LÄN</t>
        </is>
      </c>
      <c r="E8523" t="inlineStr">
        <is>
          <t>ROBERTSFORS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4620-2025</t>
        </is>
      </c>
      <c r="B8524" s="1" t="n">
        <v>45687.61184027778</v>
      </c>
      <c r="C8524" s="1" t="n">
        <v>45971</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52006-2025</t>
        </is>
      </c>
      <c r="B8525" s="1" t="n">
        <v>45952.593125</v>
      </c>
      <c r="C8525" s="1" t="n">
        <v>45971</v>
      </c>
      <c r="D8525" t="inlineStr">
        <is>
          <t>VÄSTERBOTTENS LÄN</t>
        </is>
      </c>
      <c r="E8525" t="inlineStr">
        <is>
          <t>UMEÅ</t>
        </is>
      </c>
      <c r="F8525" t="inlineStr">
        <is>
          <t>Holmen skog AB</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52010-2025</t>
        </is>
      </c>
      <c r="B8526" s="1" t="n">
        <v>45952.59462962963</v>
      </c>
      <c r="C8526" s="1" t="n">
        <v>45971</v>
      </c>
      <c r="D8526" t="inlineStr">
        <is>
          <t>VÄSTERBOTTENS LÄN</t>
        </is>
      </c>
      <c r="E8526" t="inlineStr">
        <is>
          <t>SKELLEFTEÅ</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27237-2025</t>
        </is>
      </c>
      <c r="B8527" s="1" t="n">
        <v>45812.44833333333</v>
      </c>
      <c r="C8527" s="1" t="n">
        <v>45971</v>
      </c>
      <c r="D8527" t="inlineStr">
        <is>
          <t>VÄSTERBOTTENS LÄN</t>
        </is>
      </c>
      <c r="E8527" t="inlineStr">
        <is>
          <t>DOROTEA</t>
        </is>
      </c>
      <c r="F8527" t="inlineStr">
        <is>
          <t>SCA</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52034-2025</t>
        </is>
      </c>
      <c r="B8528" s="1" t="n">
        <v>45952.61252314815</v>
      </c>
      <c r="C8528" s="1" t="n">
        <v>45971</v>
      </c>
      <c r="D8528" t="inlineStr">
        <is>
          <t>VÄSTERBOTTENS LÄN</t>
        </is>
      </c>
      <c r="E8528" t="inlineStr">
        <is>
          <t>VILHELMINA</t>
        </is>
      </c>
      <c r="G8528" t="n">
        <v>9.6</v>
      </c>
      <c r="H8528" t="n">
        <v>0</v>
      </c>
      <c r="I8528" t="n">
        <v>0</v>
      </c>
      <c r="J8528" t="n">
        <v>0</v>
      </c>
      <c r="K8528" t="n">
        <v>0</v>
      </c>
      <c r="L8528" t="n">
        <v>0</v>
      </c>
      <c r="M8528" t="n">
        <v>0</v>
      </c>
      <c r="N8528" t="n">
        <v>0</v>
      </c>
      <c r="O8528" t="n">
        <v>0</v>
      </c>
      <c r="P8528" t="n">
        <v>0</v>
      </c>
      <c r="Q8528" t="n">
        <v>0</v>
      </c>
      <c r="R8528" s="2" t="inlineStr"/>
    </row>
    <row r="8529" ht="15" customHeight="1">
      <c r="A8529" t="inlineStr">
        <is>
          <t>A 15728-2024</t>
        </is>
      </c>
      <c r="B8529" s="1" t="n">
        <v>45404</v>
      </c>
      <c r="C8529" s="1" t="n">
        <v>45971</v>
      </c>
      <c r="D8529" t="inlineStr">
        <is>
          <t>VÄSTERBOTTENS LÄN</t>
        </is>
      </c>
      <c r="E8529" t="inlineStr">
        <is>
          <t>SKELLEFTEÅ</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51763-2025</t>
        </is>
      </c>
      <c r="B8530" s="1" t="n">
        <v>45951.63616898148</v>
      </c>
      <c r="C8530" s="1" t="n">
        <v>45971</v>
      </c>
      <c r="D8530" t="inlineStr">
        <is>
          <t>VÄSTERBOTTENS LÄN</t>
        </is>
      </c>
      <c r="E8530" t="inlineStr">
        <is>
          <t>NORSJÖ</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26883-2025</t>
        </is>
      </c>
      <c r="B8531" s="1" t="n">
        <v>45810.8708912037</v>
      </c>
      <c r="C8531" s="1" t="n">
        <v>45971</v>
      </c>
      <c r="D8531" t="inlineStr">
        <is>
          <t>VÄSTERBOTTENS LÄN</t>
        </is>
      </c>
      <c r="E8531" t="inlineStr">
        <is>
          <t>BJURHOLM</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41662-2024</t>
        </is>
      </c>
      <c r="B8532" s="1" t="n">
        <v>45560.64682870371</v>
      </c>
      <c r="C8532" s="1" t="n">
        <v>45971</v>
      </c>
      <c r="D8532" t="inlineStr">
        <is>
          <t>VÄSTERBOTTENS LÄN</t>
        </is>
      </c>
      <c r="E8532" t="inlineStr">
        <is>
          <t>VINDELN</t>
        </is>
      </c>
      <c r="F8532" t="inlineStr">
        <is>
          <t>Sveaskog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16323-2025</t>
        </is>
      </c>
      <c r="B8533" s="1" t="n">
        <v>45751.34894675926</v>
      </c>
      <c r="C8533" s="1" t="n">
        <v>45971</v>
      </c>
      <c r="D8533" t="inlineStr">
        <is>
          <t>VÄSTERBOTTENS LÄN</t>
        </is>
      </c>
      <c r="E8533" t="inlineStr">
        <is>
          <t>NORDMALING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52064-2025</t>
        </is>
      </c>
      <c r="B8534" s="1" t="n">
        <v>45952.63707175926</v>
      </c>
      <c r="C8534" s="1" t="n">
        <v>45971</v>
      </c>
      <c r="D8534" t="inlineStr">
        <is>
          <t>VÄSTERBOTTENS LÄN</t>
        </is>
      </c>
      <c r="E8534" t="inlineStr">
        <is>
          <t>ÅSELE</t>
        </is>
      </c>
      <c r="G8534" t="n">
        <v>14.7</v>
      </c>
      <c r="H8534" t="n">
        <v>0</v>
      </c>
      <c r="I8534" t="n">
        <v>0</v>
      </c>
      <c r="J8534" t="n">
        <v>0</v>
      </c>
      <c r="K8534" t="n">
        <v>0</v>
      </c>
      <c r="L8534" t="n">
        <v>0</v>
      </c>
      <c r="M8534" t="n">
        <v>0</v>
      </c>
      <c r="N8534" t="n">
        <v>0</v>
      </c>
      <c r="O8534" t="n">
        <v>0</v>
      </c>
      <c r="P8534" t="n">
        <v>0</v>
      </c>
      <c r="Q8534" t="n">
        <v>0</v>
      </c>
      <c r="R8534" s="2" t="inlineStr"/>
    </row>
    <row r="8535" ht="15" customHeight="1">
      <c r="A8535" t="inlineStr">
        <is>
          <t>A 52082-2025</t>
        </is>
      </c>
      <c r="B8535" s="1" t="n">
        <v>45952.66583333333</v>
      </c>
      <c r="C8535" s="1" t="n">
        <v>45971</v>
      </c>
      <c r="D8535" t="inlineStr">
        <is>
          <t>VÄSTERBOTTENS LÄN</t>
        </is>
      </c>
      <c r="E8535" t="inlineStr">
        <is>
          <t>UMEÅ</t>
        </is>
      </c>
      <c r="F8535" t="inlineStr">
        <is>
          <t>Holmen skog AB</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51967-2025</t>
        </is>
      </c>
      <c r="B8536" s="1" t="n">
        <v>45952.55361111111</v>
      </c>
      <c r="C8536" s="1" t="n">
        <v>45971</v>
      </c>
      <c r="D8536" t="inlineStr">
        <is>
          <t>VÄSTERBOTTENS LÄN</t>
        </is>
      </c>
      <c r="E8536" t="inlineStr">
        <is>
          <t>MALÅ</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51657-2025</t>
        </is>
      </c>
      <c r="B8537" s="1" t="n">
        <v>45951.47362268518</v>
      </c>
      <c r="C8537" s="1" t="n">
        <v>45971</v>
      </c>
      <c r="D8537" t="inlineStr">
        <is>
          <t>VÄSTERBOTTENS LÄN</t>
        </is>
      </c>
      <c r="E8537" t="inlineStr">
        <is>
          <t>VILHELMINA</t>
        </is>
      </c>
      <c r="G8537" t="n">
        <v>14.4</v>
      </c>
      <c r="H8537" t="n">
        <v>0</v>
      </c>
      <c r="I8537" t="n">
        <v>0</v>
      </c>
      <c r="J8537" t="n">
        <v>0</v>
      </c>
      <c r="K8537" t="n">
        <v>0</v>
      </c>
      <c r="L8537" t="n">
        <v>0</v>
      </c>
      <c r="M8537" t="n">
        <v>0</v>
      </c>
      <c r="N8537" t="n">
        <v>0</v>
      </c>
      <c r="O8537" t="n">
        <v>0</v>
      </c>
      <c r="P8537" t="n">
        <v>0</v>
      </c>
      <c r="Q8537" t="n">
        <v>0</v>
      </c>
      <c r="R8537" s="2" t="inlineStr"/>
    </row>
    <row r="8538" ht="15" customHeight="1">
      <c r="A8538" t="inlineStr">
        <is>
          <t>A 56453-2024</t>
        </is>
      </c>
      <c r="B8538" s="1" t="n">
        <v>45625.44270833334</v>
      </c>
      <c r="C8538" s="1" t="n">
        <v>45971</v>
      </c>
      <c r="D8538" t="inlineStr">
        <is>
          <t>VÄSTERBOTTENS LÄN</t>
        </is>
      </c>
      <c r="E8538" t="inlineStr">
        <is>
          <t>SKELLEFTEÅ</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39809-2023</t>
        </is>
      </c>
      <c r="B8539" s="1" t="n">
        <v>45167</v>
      </c>
      <c r="C8539" s="1" t="n">
        <v>45971</v>
      </c>
      <c r="D8539" t="inlineStr">
        <is>
          <t>VÄSTERBOTTENS LÄN</t>
        </is>
      </c>
      <c r="E8539" t="inlineStr">
        <is>
          <t>VINDELN</t>
        </is>
      </c>
      <c r="F8539" t="inlineStr">
        <is>
          <t>SCA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45971</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5997-2025</t>
        </is>
      </c>
      <c r="B8541" s="1" t="n">
        <v>45695.57164351852</v>
      </c>
      <c r="C8541" s="1" t="n">
        <v>45971</v>
      </c>
      <c r="D8541" t="inlineStr">
        <is>
          <t>VÄSTERBOTTENS LÄN</t>
        </is>
      </c>
      <c r="E8541" t="inlineStr">
        <is>
          <t>ROBERTSFORS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51847-2025</t>
        </is>
      </c>
      <c r="B8542" s="1" t="n">
        <v>45952.34993055555</v>
      </c>
      <c r="C8542" s="1" t="n">
        <v>45971</v>
      </c>
      <c r="D8542" t="inlineStr">
        <is>
          <t>VÄSTERBOTTENS LÄN</t>
        </is>
      </c>
      <c r="E8542" t="inlineStr">
        <is>
          <t>NORSJÖ</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39851-2023</t>
        </is>
      </c>
      <c r="B8543" s="1" t="n">
        <v>45166</v>
      </c>
      <c r="C8543" s="1" t="n">
        <v>45971</v>
      </c>
      <c r="D8543" t="inlineStr">
        <is>
          <t>VÄSTERBOTTENS LÄN</t>
        </is>
      </c>
      <c r="E8543" t="inlineStr">
        <is>
          <t>NORDMALING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51832-2024</t>
        </is>
      </c>
      <c r="B8544" s="1" t="n">
        <v>45607.50537037037</v>
      </c>
      <c r="C8544" s="1" t="n">
        <v>45971</v>
      </c>
      <c r="D8544" t="inlineStr">
        <is>
          <t>VÄSTERBOTTENS LÄN</t>
        </is>
      </c>
      <c r="E8544" t="inlineStr">
        <is>
          <t>NORDMALING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37912-2025</t>
        </is>
      </c>
      <c r="B8545" s="1" t="n">
        <v>45880</v>
      </c>
      <c r="C8545" s="1" t="n">
        <v>45971</v>
      </c>
      <c r="D8545" t="inlineStr">
        <is>
          <t>VÄSTERBOTTENS LÄN</t>
        </is>
      </c>
      <c r="E8545" t="inlineStr">
        <is>
          <t>VILHELMINA</t>
        </is>
      </c>
      <c r="F8545" t="inlineStr">
        <is>
          <t>SCA</t>
        </is>
      </c>
      <c r="G8545" t="n">
        <v>23.9</v>
      </c>
      <c r="H8545" t="n">
        <v>0</v>
      </c>
      <c r="I8545" t="n">
        <v>0</v>
      </c>
      <c r="J8545" t="n">
        <v>0</v>
      </c>
      <c r="K8545" t="n">
        <v>0</v>
      </c>
      <c r="L8545" t="n">
        <v>0</v>
      </c>
      <c r="M8545" t="n">
        <v>0</v>
      </c>
      <c r="N8545" t="n">
        <v>0</v>
      </c>
      <c r="O8545" t="n">
        <v>0</v>
      </c>
      <c r="P8545" t="n">
        <v>0</v>
      </c>
      <c r="Q8545" t="n">
        <v>0</v>
      </c>
      <c r="R8545" s="2" t="inlineStr"/>
    </row>
    <row r="8546" ht="15" customHeight="1">
      <c r="A8546" t="inlineStr">
        <is>
          <t>A 51963-2025</t>
        </is>
      </c>
      <c r="B8546" s="1" t="n">
        <v>45952.55270833334</v>
      </c>
      <c r="C8546" s="1" t="n">
        <v>45971</v>
      </c>
      <c r="D8546" t="inlineStr">
        <is>
          <t>VÄSTERBOTTENS LÄN</t>
        </is>
      </c>
      <c r="E8546" t="inlineStr">
        <is>
          <t>MALÅ</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51667-2025</t>
        </is>
      </c>
      <c r="B8547" s="1" t="n">
        <v>45951.4958449074</v>
      </c>
      <c r="C8547" s="1" t="n">
        <v>45971</v>
      </c>
      <c r="D8547" t="inlineStr">
        <is>
          <t>VÄSTERBOTTENS LÄN</t>
        </is>
      </c>
      <c r="E8547" t="inlineStr">
        <is>
          <t>SKELLEFTEÅ</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51670-2025</t>
        </is>
      </c>
      <c r="B8548" s="1" t="n">
        <v>45951.49685185185</v>
      </c>
      <c r="C8548" s="1" t="n">
        <v>45971</v>
      </c>
      <c r="D8548" t="inlineStr">
        <is>
          <t>VÄSTERBOTTENS LÄN</t>
        </is>
      </c>
      <c r="E8548" t="inlineStr">
        <is>
          <t>SKELLEFTEÅ</t>
        </is>
      </c>
      <c r="F8548" t="inlineStr">
        <is>
          <t>Holmen skog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27214-2025</t>
        </is>
      </c>
      <c r="B8549" s="1" t="n">
        <v>45812.41510416667</v>
      </c>
      <c r="C8549" s="1" t="n">
        <v>45971</v>
      </c>
      <c r="D8549" t="inlineStr">
        <is>
          <t>VÄSTERBOTTENS LÄN</t>
        </is>
      </c>
      <c r="E8549" t="inlineStr">
        <is>
          <t>NORSJÖ</t>
        </is>
      </c>
      <c r="F8549" t="inlineStr">
        <is>
          <t>Holmen skog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51970-2025</t>
        </is>
      </c>
      <c r="B8550" s="1" t="n">
        <v>45952.5571875</v>
      </c>
      <c r="C8550" s="1" t="n">
        <v>45971</v>
      </c>
      <c r="D8550" t="inlineStr">
        <is>
          <t>VÄSTERBOTTENS LÄN</t>
        </is>
      </c>
      <c r="E8550" t="inlineStr">
        <is>
          <t>UMEÅ</t>
        </is>
      </c>
      <c r="F8550" t="inlineStr">
        <is>
          <t>Holmen skog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51971-2025</t>
        </is>
      </c>
      <c r="B8551" s="1" t="n">
        <v>45952.55809027778</v>
      </c>
      <c r="C8551" s="1" t="n">
        <v>45971</v>
      </c>
      <c r="D8551" t="inlineStr">
        <is>
          <t>VÄSTERBOTTENS LÄN</t>
        </is>
      </c>
      <c r="E8551" t="inlineStr">
        <is>
          <t>UMEÅ</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51737-2025</t>
        </is>
      </c>
      <c r="B8552" s="1" t="n">
        <v>45951.59630787037</v>
      </c>
      <c r="C8552" s="1" t="n">
        <v>45971</v>
      </c>
      <c r="D8552" t="inlineStr">
        <is>
          <t>VÄSTERBOTTENS LÄN</t>
        </is>
      </c>
      <c r="E8552" t="inlineStr">
        <is>
          <t>VÄNNÄS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43030-2025</t>
        </is>
      </c>
      <c r="B8553" s="1" t="n">
        <v>45909</v>
      </c>
      <c r="C8553" s="1" t="n">
        <v>45971</v>
      </c>
      <c r="D8553" t="inlineStr">
        <is>
          <t>VÄSTERBOTTENS LÄN</t>
        </is>
      </c>
      <c r="E8553" t="inlineStr">
        <is>
          <t>VÄNNÄS</t>
        </is>
      </c>
      <c r="F8553" t="inlineStr">
        <is>
          <t>Holmen skog AB</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52094-2025</t>
        </is>
      </c>
      <c r="B8554" s="1" t="n">
        <v>45952.67895833333</v>
      </c>
      <c r="C8554" s="1" t="n">
        <v>45971</v>
      </c>
      <c r="D8554" t="inlineStr">
        <is>
          <t>VÄSTERBOTTENS LÄN</t>
        </is>
      </c>
      <c r="E8554" t="inlineStr">
        <is>
          <t>SKELLEFTEÅ</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52095-2025</t>
        </is>
      </c>
      <c r="B8555" s="1" t="n">
        <v>45952.67899305555</v>
      </c>
      <c r="C8555" s="1" t="n">
        <v>45971</v>
      </c>
      <c r="D8555" t="inlineStr">
        <is>
          <t>VÄSTERBOTTENS LÄN</t>
        </is>
      </c>
      <c r="E8555" t="inlineStr">
        <is>
          <t>SKELLEFTEÅ</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43111-2025</t>
        </is>
      </c>
      <c r="B8556" s="1" t="n">
        <v>45909.66037037037</v>
      </c>
      <c r="C8556" s="1" t="n">
        <v>45971</v>
      </c>
      <c r="D8556" t="inlineStr">
        <is>
          <t>VÄSTERBOTTENS LÄN</t>
        </is>
      </c>
      <c r="E8556" t="inlineStr">
        <is>
          <t>UMEÅ</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42968-2025</t>
        </is>
      </c>
      <c r="B8557" s="1" t="n">
        <v>45909</v>
      </c>
      <c r="C8557" s="1" t="n">
        <v>45971</v>
      </c>
      <c r="D8557" t="inlineStr">
        <is>
          <t>VÄSTERBOTTENS LÄN</t>
        </is>
      </c>
      <c r="E8557" t="inlineStr">
        <is>
          <t>VINDELN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42979-2025</t>
        </is>
      </c>
      <c r="B8558" s="1" t="n">
        <v>45909</v>
      </c>
      <c r="C8558" s="1" t="n">
        <v>45971</v>
      </c>
      <c r="D8558" t="inlineStr">
        <is>
          <t>VÄSTERBOTTENS LÄN</t>
        </is>
      </c>
      <c r="E8558" t="inlineStr">
        <is>
          <t>VINDELN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14479-2022</t>
        </is>
      </c>
      <c r="B8559" s="1" t="n">
        <v>44650</v>
      </c>
      <c r="C8559" s="1" t="n">
        <v>45971</v>
      </c>
      <c r="D8559" t="inlineStr">
        <is>
          <t>VÄSTERBOTTENS LÄN</t>
        </is>
      </c>
      <c r="E8559" t="inlineStr">
        <is>
          <t>STORUMAN</t>
        </is>
      </c>
      <c r="F8559" t="inlineStr">
        <is>
          <t>Övriga statliga verk och myndigheter</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43218-2025</t>
        </is>
      </c>
      <c r="B8560" s="1" t="n">
        <v>45910.47071759259</v>
      </c>
      <c r="C8560" s="1" t="n">
        <v>45971</v>
      </c>
      <c r="D8560" t="inlineStr">
        <is>
          <t>VÄSTERBOTTENS LÄN</t>
        </is>
      </c>
      <c r="E8560" t="inlineStr">
        <is>
          <t>NORDMALING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6448-2024</t>
        </is>
      </c>
      <c r="B8561" s="1" t="n">
        <v>45338.67314814815</v>
      </c>
      <c r="C8561" s="1" t="n">
        <v>45971</v>
      </c>
      <c r="D8561" t="inlineStr">
        <is>
          <t>VÄSTERBOTTENS LÄN</t>
        </is>
      </c>
      <c r="E8561" t="inlineStr">
        <is>
          <t>SKELLEFTEÅ</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43241-2025</t>
        </is>
      </c>
      <c r="B8562" s="1" t="n">
        <v>45910.53175925926</v>
      </c>
      <c r="C8562" s="1" t="n">
        <v>45971</v>
      </c>
      <c r="D8562" t="inlineStr">
        <is>
          <t>VÄSTERBOTTENS LÄN</t>
        </is>
      </c>
      <c r="E8562" t="inlineStr">
        <is>
          <t>STORUMAN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51665-2025</t>
        </is>
      </c>
      <c r="B8563" s="1" t="n">
        <v>45951.49236111111</v>
      </c>
      <c r="C8563" s="1" t="n">
        <v>45971</v>
      </c>
      <c r="D8563" t="inlineStr">
        <is>
          <t>VÄSTERBOTTENS LÄN</t>
        </is>
      </c>
      <c r="E8563" t="inlineStr">
        <is>
          <t>SKELLEFTEÅ</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51704-2025</t>
        </is>
      </c>
      <c r="B8564" s="1" t="n">
        <v>45951.55436342592</v>
      </c>
      <c r="C8564" s="1" t="n">
        <v>45971</v>
      </c>
      <c r="D8564" t="inlineStr">
        <is>
          <t>VÄSTERBOTTENS LÄN</t>
        </is>
      </c>
      <c r="E8564" t="inlineStr">
        <is>
          <t>VILHELMINA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51716-2025</t>
        </is>
      </c>
      <c r="B8565" s="1" t="n">
        <v>45951.5771875</v>
      </c>
      <c r="C8565" s="1" t="n">
        <v>45971</v>
      </c>
      <c r="D8565" t="inlineStr">
        <is>
          <t>VÄSTERBOTTENS LÄN</t>
        </is>
      </c>
      <c r="E8565" t="inlineStr">
        <is>
          <t>UMEÅ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8238-2025</t>
        </is>
      </c>
      <c r="B8566" s="1" t="n">
        <v>45708.47898148148</v>
      </c>
      <c r="C8566" s="1" t="n">
        <v>45971</v>
      </c>
      <c r="D8566" t="inlineStr">
        <is>
          <t>VÄSTERBOTTENS LÄN</t>
        </is>
      </c>
      <c r="E8566" t="inlineStr">
        <is>
          <t>ROBERTSFORS</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26951-2025</t>
        </is>
      </c>
      <c r="B8567" s="1" t="n">
        <v>45811.44082175926</v>
      </c>
      <c r="C8567" s="1" t="n">
        <v>45971</v>
      </c>
      <c r="D8567" t="inlineStr">
        <is>
          <t>VÄSTERBOTTENS LÄN</t>
        </is>
      </c>
      <c r="E8567" t="inlineStr">
        <is>
          <t>LYCKSELE</t>
        </is>
      </c>
      <c r="F8567" t="inlineStr">
        <is>
          <t>Holmen skog AB</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26984-2025</t>
        </is>
      </c>
      <c r="B8568" s="1" t="n">
        <v>45811.49811342593</v>
      </c>
      <c r="C8568" s="1" t="n">
        <v>45971</v>
      </c>
      <c r="D8568" t="inlineStr">
        <is>
          <t>VÄSTERBOTTENS LÄN</t>
        </is>
      </c>
      <c r="E8568" t="inlineStr">
        <is>
          <t>ROBERTSFORS</t>
        </is>
      </c>
      <c r="F8568" t="inlineStr">
        <is>
          <t>Holmen skog AB</t>
        </is>
      </c>
      <c r="G8568" t="n">
        <v>12.7</v>
      </c>
      <c r="H8568" t="n">
        <v>0</v>
      </c>
      <c r="I8568" t="n">
        <v>0</v>
      </c>
      <c r="J8568" t="n">
        <v>0</v>
      </c>
      <c r="K8568" t="n">
        <v>0</v>
      </c>
      <c r="L8568" t="n">
        <v>0</v>
      </c>
      <c r="M8568" t="n">
        <v>0</v>
      </c>
      <c r="N8568" t="n">
        <v>0</v>
      </c>
      <c r="O8568" t="n">
        <v>0</v>
      </c>
      <c r="P8568" t="n">
        <v>0</v>
      </c>
      <c r="Q8568" t="n">
        <v>0</v>
      </c>
      <c r="R8568" s="2" t="inlineStr"/>
    </row>
    <row r="8569" ht="15" customHeight="1">
      <c r="A8569" t="inlineStr">
        <is>
          <t>A 38832-2024</t>
        </is>
      </c>
      <c r="B8569" s="1" t="n">
        <v>45547</v>
      </c>
      <c r="C8569" s="1" t="n">
        <v>45971</v>
      </c>
      <c r="D8569" t="inlineStr">
        <is>
          <t>VÄSTERBOTTENS LÄN</t>
        </is>
      </c>
      <c r="E8569" t="inlineStr">
        <is>
          <t>NORSJÖ</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8317-2025</t>
        </is>
      </c>
      <c r="B8570" s="1" t="n">
        <v>45708</v>
      </c>
      <c r="C8570" s="1" t="n">
        <v>45971</v>
      </c>
      <c r="D8570" t="inlineStr">
        <is>
          <t>VÄSTERBOTTENS LÄN</t>
        </is>
      </c>
      <c r="E8570" t="inlineStr">
        <is>
          <t>UMEÅ</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33571-2021</t>
        </is>
      </c>
      <c r="B8571" s="1" t="n">
        <v>44377</v>
      </c>
      <c r="C8571" s="1" t="n">
        <v>45971</v>
      </c>
      <c r="D8571" t="inlineStr">
        <is>
          <t>VÄSTERBOTTENS LÄN</t>
        </is>
      </c>
      <c r="E8571" t="inlineStr">
        <is>
          <t>ÅSELE</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43954-2024</t>
        </is>
      </c>
      <c r="B8572" s="1" t="n">
        <v>45572.47539351852</v>
      </c>
      <c r="C8572" s="1" t="n">
        <v>45971</v>
      </c>
      <c r="D8572" t="inlineStr">
        <is>
          <t>VÄSTERBOTTENS LÄN</t>
        </is>
      </c>
      <c r="E8572" t="inlineStr">
        <is>
          <t>SKELLEFTEÅ</t>
        </is>
      </c>
      <c r="F8572" t="inlineStr">
        <is>
          <t>Sveaskog</t>
        </is>
      </c>
      <c r="G8572" t="n">
        <v>24.1</v>
      </c>
      <c r="H8572" t="n">
        <v>0</v>
      </c>
      <c r="I8572" t="n">
        <v>0</v>
      </c>
      <c r="J8572" t="n">
        <v>0</v>
      </c>
      <c r="K8572" t="n">
        <v>0</v>
      </c>
      <c r="L8572" t="n">
        <v>0</v>
      </c>
      <c r="M8572" t="n">
        <v>0</v>
      </c>
      <c r="N8572" t="n">
        <v>0</v>
      </c>
      <c r="O8572" t="n">
        <v>0</v>
      </c>
      <c r="P8572" t="n">
        <v>0</v>
      </c>
      <c r="Q8572" t="n">
        <v>0</v>
      </c>
      <c r="R8572" s="2" t="inlineStr"/>
    </row>
    <row r="8573" ht="15" customHeight="1">
      <c r="A8573" t="inlineStr">
        <is>
          <t>A 43396-2023</t>
        </is>
      </c>
      <c r="B8573" s="1" t="n">
        <v>45183.92153935185</v>
      </c>
      <c r="C8573" s="1" t="n">
        <v>45971</v>
      </c>
      <c r="D8573" t="inlineStr">
        <is>
          <t>VÄSTERBOTTENS LÄN</t>
        </is>
      </c>
      <c r="E8573" t="inlineStr">
        <is>
          <t>NORSJÖ</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26930-2025</t>
        </is>
      </c>
      <c r="B8574" s="1" t="n">
        <v>45811.39753472222</v>
      </c>
      <c r="C8574" s="1" t="n">
        <v>45971</v>
      </c>
      <c r="D8574" t="inlineStr">
        <is>
          <t>VÄSTERBOTTENS LÄN</t>
        </is>
      </c>
      <c r="E8574" t="inlineStr">
        <is>
          <t>UMEÅ</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16453-2024</t>
        </is>
      </c>
      <c r="B8575" s="1" t="n">
        <v>45407</v>
      </c>
      <c r="C8575" s="1" t="n">
        <v>45971</v>
      </c>
      <c r="D8575" t="inlineStr">
        <is>
          <t>VÄSTERBOTTENS LÄN</t>
        </is>
      </c>
      <c r="E8575" t="inlineStr">
        <is>
          <t>UMEÅ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26903-2025</t>
        </is>
      </c>
      <c r="B8576" s="1" t="n">
        <v>45811</v>
      </c>
      <c r="C8576" s="1" t="n">
        <v>45971</v>
      </c>
      <c r="D8576" t="inlineStr">
        <is>
          <t>VÄSTERBOTTENS LÄN</t>
        </is>
      </c>
      <c r="E8576" t="inlineStr">
        <is>
          <t>NORDMALING</t>
        </is>
      </c>
      <c r="F8576" t="inlineStr">
        <is>
          <t>SCA</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51573-2025</t>
        </is>
      </c>
      <c r="B8577" s="1" t="n">
        <v>45951.33599537037</v>
      </c>
      <c r="C8577" s="1" t="n">
        <v>45971</v>
      </c>
      <c r="D8577" t="inlineStr">
        <is>
          <t>VÄSTERBOTTENS LÄN</t>
        </is>
      </c>
      <c r="E8577" t="inlineStr">
        <is>
          <t>SKELLEFTEÅ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51722-2025</t>
        </is>
      </c>
      <c r="B8578" s="1" t="n">
        <v>45951.58085648148</v>
      </c>
      <c r="C8578" s="1" t="n">
        <v>45971</v>
      </c>
      <c r="D8578" t="inlineStr">
        <is>
          <t>VÄSTERBOTTENS LÄN</t>
        </is>
      </c>
      <c r="E8578" t="inlineStr">
        <is>
          <t>VÄNNÄS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52040-2025</t>
        </is>
      </c>
      <c r="B8579" s="1" t="n">
        <v>45952.61515046296</v>
      </c>
      <c r="C8579" s="1" t="n">
        <v>45971</v>
      </c>
      <c r="D8579" t="inlineStr">
        <is>
          <t>VÄSTERBOTTENS LÄN</t>
        </is>
      </c>
      <c r="E8579" t="inlineStr">
        <is>
          <t>SKELLEFTEÅ</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52041-2025</t>
        </is>
      </c>
      <c r="B8580" s="1" t="n">
        <v>45952.61530092593</v>
      </c>
      <c r="C8580" s="1" t="n">
        <v>45971</v>
      </c>
      <c r="D8580" t="inlineStr">
        <is>
          <t>VÄSTERBOTTENS LÄN</t>
        </is>
      </c>
      <c r="E8580" t="inlineStr">
        <is>
          <t>SKELLEFTEÅ</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932-2022</t>
        </is>
      </c>
      <c r="B8581" s="1" t="n">
        <v>44571</v>
      </c>
      <c r="C8581" s="1" t="n">
        <v>45971</v>
      </c>
      <c r="D8581" t="inlineStr">
        <is>
          <t>VÄSTERBOTTENS LÄN</t>
        </is>
      </c>
      <c r="E8581" t="inlineStr">
        <is>
          <t>LYCKSELE</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72841-2021</t>
        </is>
      </c>
      <c r="B8582" s="1" t="n">
        <v>44547.45057870371</v>
      </c>
      <c r="C8582" s="1" t="n">
        <v>45971</v>
      </c>
      <c r="D8582" t="inlineStr">
        <is>
          <t>VÄSTERBOTTENS LÄN</t>
        </is>
      </c>
      <c r="E8582" t="inlineStr">
        <is>
          <t>NORDMALING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42941-2025</t>
        </is>
      </c>
      <c r="B8583" s="1" t="n">
        <v>45909.33482638889</v>
      </c>
      <c r="C8583" s="1" t="n">
        <v>45971</v>
      </c>
      <c r="D8583" t="inlineStr">
        <is>
          <t>VÄSTERBOTTENS LÄN</t>
        </is>
      </c>
      <c r="E8583" t="inlineStr">
        <is>
          <t>VINDELN</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26902-2025</t>
        </is>
      </c>
      <c r="B8584" s="1" t="n">
        <v>45811</v>
      </c>
      <c r="C8584" s="1" t="n">
        <v>45971</v>
      </c>
      <c r="D8584" t="inlineStr">
        <is>
          <t>VÄSTERBOTTENS LÄN</t>
        </is>
      </c>
      <c r="E8584" t="inlineStr">
        <is>
          <t>DOROTEA</t>
        </is>
      </c>
      <c r="F8584" t="inlineStr">
        <is>
          <t>SCA</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26909-2025</t>
        </is>
      </c>
      <c r="B8585" s="1" t="n">
        <v>45811.3458912037</v>
      </c>
      <c r="C8585" s="1" t="n">
        <v>45971</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51826-2023</t>
        </is>
      </c>
      <c r="B8586" s="1" t="n">
        <v>45222.9678125</v>
      </c>
      <c r="C8586" s="1" t="n">
        <v>45971</v>
      </c>
      <c r="D8586" t="inlineStr">
        <is>
          <t>VÄSTERBOTTENS LÄN</t>
        </is>
      </c>
      <c r="E8586" t="inlineStr">
        <is>
          <t>VILHELMINA</t>
        </is>
      </c>
      <c r="F8586" t="inlineStr">
        <is>
          <t>SCA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5772-2025</t>
        </is>
      </c>
      <c r="B8587" s="1" t="n">
        <v>45694.59717592593</v>
      </c>
      <c r="C8587" s="1" t="n">
        <v>45971</v>
      </c>
      <c r="D8587" t="inlineStr">
        <is>
          <t>VÄSTERBOTTENS LÄN</t>
        </is>
      </c>
      <c r="E8587" t="inlineStr">
        <is>
          <t>NORSJÖ</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26919-2025</t>
        </is>
      </c>
      <c r="B8588" s="1" t="n">
        <v>45811.37582175926</v>
      </c>
      <c r="C8588" s="1" t="n">
        <v>45971</v>
      </c>
      <c r="D8588" t="inlineStr">
        <is>
          <t>VÄSTERBOTTENS LÄN</t>
        </is>
      </c>
      <c r="E8588" t="inlineStr">
        <is>
          <t>VINDELN</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5830-2025</t>
        </is>
      </c>
      <c r="B8589" s="1" t="n">
        <v>45694</v>
      </c>
      <c r="C8589" s="1" t="n">
        <v>45971</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5831-2025</t>
        </is>
      </c>
      <c r="B8590" s="1" t="n">
        <v>45694</v>
      </c>
      <c r="C8590" s="1" t="n">
        <v>45971</v>
      </c>
      <c r="D8590" t="inlineStr">
        <is>
          <t>VÄSTERBOTTENS LÄN</t>
        </is>
      </c>
      <c r="E8590" t="inlineStr">
        <is>
          <t>SKELLEFTEÅ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48542-2023</t>
        </is>
      </c>
      <c r="B8591" s="1" t="n">
        <v>45208.3863425926</v>
      </c>
      <c r="C8591" s="1" t="n">
        <v>45971</v>
      </c>
      <c r="D8591" t="inlineStr">
        <is>
          <t>VÄSTERBOTTENS LÄN</t>
        </is>
      </c>
      <c r="E8591" t="inlineStr">
        <is>
          <t>LYCKSELE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56085-2024</t>
        </is>
      </c>
      <c r="B8592" s="1" t="n">
        <v>45623</v>
      </c>
      <c r="C8592" s="1" t="n">
        <v>45971</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16409-2025</t>
        </is>
      </c>
      <c r="B8593" s="1" t="n">
        <v>45751.45391203704</v>
      </c>
      <c r="C8593" s="1" t="n">
        <v>45971</v>
      </c>
      <c r="D8593" t="inlineStr">
        <is>
          <t>VÄSTERBOTTENS LÄN</t>
        </is>
      </c>
      <c r="E8593" t="inlineStr">
        <is>
          <t>SKELLEFTEÅ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27168-2025</t>
        </is>
      </c>
      <c r="B8594" s="1" t="n">
        <v>45812.34475694445</v>
      </c>
      <c r="C8594" s="1" t="n">
        <v>45971</v>
      </c>
      <c r="D8594" t="inlineStr">
        <is>
          <t>VÄSTERBOTTENS LÄN</t>
        </is>
      </c>
      <c r="E8594" t="inlineStr">
        <is>
          <t>ÅSELE</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64334-2023</t>
        </is>
      </c>
      <c r="B8595" s="1" t="n">
        <v>45279</v>
      </c>
      <c r="C8595" s="1" t="n">
        <v>45971</v>
      </c>
      <c r="D8595" t="inlineStr">
        <is>
          <t>VÄSTERBOTTENS LÄN</t>
        </is>
      </c>
      <c r="E8595" t="inlineStr">
        <is>
          <t>LYCKSELE</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244-2024</t>
        </is>
      </c>
      <c r="B8596" s="1" t="n">
        <v>45294.93322916667</v>
      </c>
      <c r="C8596" s="1" t="n">
        <v>45971</v>
      </c>
      <c r="D8596" t="inlineStr">
        <is>
          <t>VÄSTERBOTTENS LÄN</t>
        </is>
      </c>
      <c r="E8596" t="inlineStr">
        <is>
          <t>STORUMAN</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6052-2025</t>
        </is>
      </c>
      <c r="B8597" s="1" t="n">
        <v>45695.71142361111</v>
      </c>
      <c r="C8597" s="1" t="n">
        <v>45971</v>
      </c>
      <c r="D8597" t="inlineStr">
        <is>
          <t>VÄSTERBOTTENS LÄN</t>
        </is>
      </c>
      <c r="E8597" t="inlineStr">
        <is>
          <t>VINDELN</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18394-2025</t>
        </is>
      </c>
      <c r="B8598" s="1" t="n">
        <v>45762</v>
      </c>
      <c r="C8598" s="1" t="n">
        <v>45971</v>
      </c>
      <c r="D8598" t="inlineStr">
        <is>
          <t>VÄSTERBOTTENS LÄN</t>
        </is>
      </c>
      <c r="E8598" t="inlineStr">
        <is>
          <t>VILHELMINA</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42986-2025</t>
        </is>
      </c>
      <c r="B8599" s="1" t="n">
        <v>45909.44497685185</v>
      </c>
      <c r="C8599" s="1" t="n">
        <v>45971</v>
      </c>
      <c r="D8599" t="inlineStr">
        <is>
          <t>VÄSTERBOTTENS LÄN</t>
        </is>
      </c>
      <c r="E8599" t="inlineStr">
        <is>
          <t>LYCKSELE</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43268-2025</t>
        </is>
      </c>
      <c r="B8600" s="1" t="n">
        <v>45910.57907407408</v>
      </c>
      <c r="C8600" s="1" t="n">
        <v>45971</v>
      </c>
      <c r="D8600" t="inlineStr">
        <is>
          <t>VÄSTERBOTTENS LÄN</t>
        </is>
      </c>
      <c r="E8600" t="inlineStr">
        <is>
          <t>ROBERTSFORS</t>
        </is>
      </c>
      <c r="F8600" t="inlineStr">
        <is>
          <t>Holmen skog AB</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43285-2025</t>
        </is>
      </c>
      <c r="B8601" s="1" t="n">
        <v>45910.60444444444</v>
      </c>
      <c r="C8601" s="1" t="n">
        <v>45971</v>
      </c>
      <c r="D8601" t="inlineStr">
        <is>
          <t>VÄSTERBOTTENS LÄN</t>
        </is>
      </c>
      <c r="E8601" t="inlineStr">
        <is>
          <t>ROBERTSFORS</t>
        </is>
      </c>
      <c r="F8601" t="inlineStr">
        <is>
          <t>Holmen skog AB</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43318-2025</t>
        </is>
      </c>
      <c r="B8602" s="1" t="n">
        <v>45910</v>
      </c>
      <c r="C8602" s="1" t="n">
        <v>45971</v>
      </c>
      <c r="D8602" t="inlineStr">
        <is>
          <t>VÄSTERBOTTENS LÄN</t>
        </is>
      </c>
      <c r="E8602" t="inlineStr">
        <is>
          <t>SKELLEFTEÅ</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43327-2025</t>
        </is>
      </c>
      <c r="B8603" s="1" t="n">
        <v>45910.67043981481</v>
      </c>
      <c r="C8603" s="1" t="n">
        <v>45971</v>
      </c>
      <c r="D8603" t="inlineStr">
        <is>
          <t>VÄSTERBOTTENS LÄN</t>
        </is>
      </c>
      <c r="E8603" t="inlineStr">
        <is>
          <t>SKELLEFTEÅ</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42935-2025</t>
        </is>
      </c>
      <c r="B8604" s="1" t="n">
        <v>45909.32541666667</v>
      </c>
      <c r="C8604" s="1" t="n">
        <v>45971</v>
      </c>
      <c r="D8604" t="inlineStr">
        <is>
          <t>VÄSTERBOTTENS LÄN</t>
        </is>
      </c>
      <c r="E8604" t="inlineStr">
        <is>
          <t>ÅSELE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52079-2025</t>
        </is>
      </c>
      <c r="B8605" s="1" t="n">
        <v>45952.65930555556</v>
      </c>
      <c r="C8605" s="1" t="n">
        <v>45971</v>
      </c>
      <c r="D8605" t="inlineStr">
        <is>
          <t>VÄSTERBOTTENS LÄN</t>
        </is>
      </c>
      <c r="E8605" t="inlineStr">
        <is>
          <t>VINDELN</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51935-2025</t>
        </is>
      </c>
      <c r="B8606" s="1" t="n">
        <v>45952.51190972222</v>
      </c>
      <c r="C8606" s="1" t="n">
        <v>45971</v>
      </c>
      <c r="D8606" t="inlineStr">
        <is>
          <t>VÄSTERBOTTENS LÄN</t>
        </is>
      </c>
      <c r="E8606" t="inlineStr">
        <is>
          <t>MALÅ</t>
        </is>
      </c>
      <c r="G8606" t="n">
        <v>18.6</v>
      </c>
      <c r="H8606" t="n">
        <v>0</v>
      </c>
      <c r="I8606" t="n">
        <v>0</v>
      </c>
      <c r="J8606" t="n">
        <v>0</v>
      </c>
      <c r="K8606" t="n">
        <v>0</v>
      </c>
      <c r="L8606" t="n">
        <v>0</v>
      </c>
      <c r="M8606" t="n">
        <v>0</v>
      </c>
      <c r="N8606" t="n">
        <v>0</v>
      </c>
      <c r="O8606" t="n">
        <v>0</v>
      </c>
      <c r="P8606" t="n">
        <v>0</v>
      </c>
      <c r="Q8606" t="n">
        <v>0</v>
      </c>
      <c r="R8606" s="2" t="inlineStr"/>
    </row>
    <row r="8607" ht="15" customHeight="1">
      <c r="A8607" t="inlineStr">
        <is>
          <t>A 4376-2022</t>
        </is>
      </c>
      <c r="B8607" s="1" t="n">
        <v>44588</v>
      </c>
      <c r="C8607" s="1" t="n">
        <v>45971</v>
      </c>
      <c r="D8607" t="inlineStr">
        <is>
          <t>VÄSTERBOTTENS LÄN</t>
        </is>
      </c>
      <c r="E8607" t="inlineStr">
        <is>
          <t>ROBERTSFORS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19614-2025</t>
        </is>
      </c>
      <c r="B8608" s="1" t="n">
        <v>45770.61505787037</v>
      </c>
      <c r="C8608" s="1" t="n">
        <v>45971</v>
      </c>
      <c r="D8608" t="inlineStr">
        <is>
          <t>VÄSTERBOTTENS LÄN</t>
        </is>
      </c>
      <c r="E8608" t="inlineStr">
        <is>
          <t>ÅSELE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19731-2025</t>
        </is>
      </c>
      <c r="B8609" s="1" t="n">
        <v>45771.36564814814</v>
      </c>
      <c r="C8609" s="1" t="n">
        <v>45971</v>
      </c>
      <c r="D8609" t="inlineStr">
        <is>
          <t>VÄSTERBOTTENS LÄN</t>
        </is>
      </c>
      <c r="E8609" t="inlineStr">
        <is>
          <t>SKELLEFTEÅ</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61260-2020</t>
        </is>
      </c>
      <c r="B8610" s="1" t="n">
        <v>44153</v>
      </c>
      <c r="C8610" s="1" t="n">
        <v>45971</v>
      </c>
      <c r="D8610" t="inlineStr">
        <is>
          <t>VÄSTERBOTTENS LÄN</t>
        </is>
      </c>
      <c r="E8610" t="inlineStr">
        <is>
          <t>SKELLEFTEÅ</t>
        </is>
      </c>
      <c r="G8610" t="n">
        <v>16.1</v>
      </c>
      <c r="H8610" t="n">
        <v>0</v>
      </c>
      <c r="I8610" t="n">
        <v>0</v>
      </c>
      <c r="J8610" t="n">
        <v>0</v>
      </c>
      <c r="K8610" t="n">
        <v>0</v>
      </c>
      <c r="L8610" t="n">
        <v>0</v>
      </c>
      <c r="M8610" t="n">
        <v>0</v>
      </c>
      <c r="N8610" t="n">
        <v>0</v>
      </c>
      <c r="O8610" t="n">
        <v>0</v>
      </c>
      <c r="P8610" t="n">
        <v>0</v>
      </c>
      <c r="Q8610" t="n">
        <v>0</v>
      </c>
      <c r="R8610" s="2" t="inlineStr"/>
    </row>
    <row r="8611" ht="15" customHeight="1">
      <c r="A8611" t="inlineStr">
        <is>
          <t>A 49926-2023</t>
        </is>
      </c>
      <c r="B8611" s="1" t="n">
        <v>45214.87300925926</v>
      </c>
      <c r="C8611" s="1" t="n">
        <v>45971</v>
      </c>
      <c r="D8611" t="inlineStr">
        <is>
          <t>VÄSTERBOTTENS LÄN</t>
        </is>
      </c>
      <c r="E8611" t="inlineStr">
        <is>
          <t>ÅSELE</t>
        </is>
      </c>
      <c r="F8611" t="inlineStr">
        <is>
          <t>Holmen skog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49928-2023</t>
        </is>
      </c>
      <c r="B8612" s="1" t="n">
        <v>45214.93665509259</v>
      </c>
      <c r="C8612" s="1" t="n">
        <v>45971</v>
      </c>
      <c r="D8612" t="inlineStr">
        <is>
          <t>VÄSTERBOTTENS LÄN</t>
        </is>
      </c>
      <c r="E8612" t="inlineStr">
        <is>
          <t>ÅSELE</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27144-2025</t>
        </is>
      </c>
      <c r="B8613" s="1" t="n">
        <v>45812.28108796296</v>
      </c>
      <c r="C8613" s="1" t="n">
        <v>45971</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27172-2025</t>
        </is>
      </c>
      <c r="B8614" s="1" t="n">
        <v>45812.34858796297</v>
      </c>
      <c r="C8614" s="1" t="n">
        <v>45971</v>
      </c>
      <c r="D8614" t="inlineStr">
        <is>
          <t>VÄSTERBOTTENS LÄN</t>
        </is>
      </c>
      <c r="E8614" t="inlineStr">
        <is>
          <t>UMEÅ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27173-2025</t>
        </is>
      </c>
      <c r="B8615" s="1" t="n">
        <v>45812.34997685185</v>
      </c>
      <c r="C8615" s="1" t="n">
        <v>45971</v>
      </c>
      <c r="D8615" t="inlineStr">
        <is>
          <t>VÄSTERBOTTENS LÄN</t>
        </is>
      </c>
      <c r="E8615" t="inlineStr">
        <is>
          <t>UMEÅ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42988-2023</t>
        </is>
      </c>
      <c r="B8616" s="1" t="n">
        <v>45182</v>
      </c>
      <c r="C8616" s="1" t="n">
        <v>45971</v>
      </c>
      <c r="D8616" t="inlineStr">
        <is>
          <t>VÄSTERBOTTENS LÄN</t>
        </is>
      </c>
      <c r="E8616" t="inlineStr">
        <is>
          <t>MALÅ</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27091-2025</t>
        </is>
      </c>
      <c r="B8617" s="1" t="n">
        <v>45811.66915509259</v>
      </c>
      <c r="C8617" s="1" t="n">
        <v>45971</v>
      </c>
      <c r="D8617" t="inlineStr">
        <is>
          <t>VÄSTERBOTTENS LÄN</t>
        </is>
      </c>
      <c r="E8617" t="inlineStr">
        <is>
          <t>SKELLEFTEÅ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52056-2025</t>
        </is>
      </c>
      <c r="B8618" s="1" t="n">
        <v>45952.63239583333</v>
      </c>
      <c r="C8618" s="1" t="n">
        <v>45971</v>
      </c>
      <c r="D8618" t="inlineStr">
        <is>
          <t>VÄSTERBOTTENS LÄN</t>
        </is>
      </c>
      <c r="E8618" t="inlineStr">
        <is>
          <t>UMEÅ</t>
        </is>
      </c>
      <c r="F8618" t="inlineStr">
        <is>
          <t>Holmen skog AB</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52076-2025</t>
        </is>
      </c>
      <c r="B8619" s="1" t="n">
        <v>45952.65568287037</v>
      </c>
      <c r="C8619" s="1" t="n">
        <v>45971</v>
      </c>
      <c r="D8619" t="inlineStr">
        <is>
          <t>VÄSTERBOTTENS LÄN</t>
        </is>
      </c>
      <c r="E8619" t="inlineStr">
        <is>
          <t>UMEÅ</t>
        </is>
      </c>
      <c r="F8619" t="inlineStr">
        <is>
          <t>Holmen skog AB</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52096-2025</t>
        </is>
      </c>
      <c r="B8620" s="1" t="n">
        <v>45952.67902777778</v>
      </c>
      <c r="C8620" s="1" t="n">
        <v>45971</v>
      </c>
      <c r="D8620" t="inlineStr">
        <is>
          <t>VÄSTERBOTTENS LÄN</t>
        </is>
      </c>
      <c r="E8620" t="inlineStr">
        <is>
          <t>SKELLEFTEÅ</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59348-2024</t>
        </is>
      </c>
      <c r="B8621" s="1" t="n">
        <v>45638</v>
      </c>
      <c r="C8621" s="1" t="n">
        <v>45971</v>
      </c>
      <c r="D8621" t="inlineStr">
        <is>
          <t>VÄSTERBOTTENS LÄN</t>
        </is>
      </c>
      <c r="E8621" t="inlineStr">
        <is>
          <t>NORDMALING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20524-2024</t>
        </is>
      </c>
      <c r="B8622" s="1" t="n">
        <v>45435.94567129629</v>
      </c>
      <c r="C8622" s="1" t="n">
        <v>45971</v>
      </c>
      <c r="D8622" t="inlineStr">
        <is>
          <t>VÄSTERBOTTENS LÄN</t>
        </is>
      </c>
      <c r="E8622" t="inlineStr">
        <is>
          <t>VILHELMINA</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52025-2025</t>
        </is>
      </c>
      <c r="B8623" s="1" t="n">
        <v>45952.60319444445</v>
      </c>
      <c r="C8623" s="1" t="n">
        <v>45971</v>
      </c>
      <c r="D8623" t="inlineStr">
        <is>
          <t>VÄSTERBOTTENS LÄN</t>
        </is>
      </c>
      <c r="E8623" t="inlineStr">
        <is>
          <t>SKELLEFTEÅ</t>
        </is>
      </c>
      <c r="F8623" t="inlineStr">
        <is>
          <t>Holmen skog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43048-2025</t>
        </is>
      </c>
      <c r="B8624" s="1" t="n">
        <v>45909.56289351852</v>
      </c>
      <c r="C8624" s="1" t="n">
        <v>45971</v>
      </c>
      <c r="D8624" t="inlineStr">
        <is>
          <t>VÄSTERBOTTENS LÄN</t>
        </is>
      </c>
      <c r="E8624" t="inlineStr">
        <is>
          <t>ROBERTSFORS</t>
        </is>
      </c>
      <c r="G8624" t="n">
        <v>12.7</v>
      </c>
      <c r="H8624" t="n">
        <v>0</v>
      </c>
      <c r="I8624" t="n">
        <v>0</v>
      </c>
      <c r="J8624" t="n">
        <v>0</v>
      </c>
      <c r="K8624" t="n">
        <v>0</v>
      </c>
      <c r="L8624" t="n">
        <v>0</v>
      </c>
      <c r="M8624" t="n">
        <v>0</v>
      </c>
      <c r="N8624" t="n">
        <v>0</v>
      </c>
      <c r="O8624" t="n">
        <v>0</v>
      </c>
      <c r="P8624" t="n">
        <v>0</v>
      </c>
      <c r="Q8624" t="n">
        <v>0</v>
      </c>
      <c r="R8624" s="2" t="inlineStr"/>
    </row>
    <row r="8625" ht="15" customHeight="1">
      <c r="A8625" t="inlineStr">
        <is>
          <t>A 26981-2025</t>
        </is>
      </c>
      <c r="B8625" s="1" t="n">
        <v>45811.48984953704</v>
      </c>
      <c r="C8625" s="1" t="n">
        <v>45971</v>
      </c>
      <c r="D8625" t="inlineStr">
        <is>
          <t>VÄSTERBOTTENS LÄN</t>
        </is>
      </c>
      <c r="E8625" t="inlineStr">
        <is>
          <t>MALÅ</t>
        </is>
      </c>
      <c r="F8625" t="inlineStr">
        <is>
          <t>Sveaskog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15639-2024</t>
        </is>
      </c>
      <c r="B8626" s="1" t="n">
        <v>45403</v>
      </c>
      <c r="C8626" s="1" t="n">
        <v>45971</v>
      </c>
      <c r="D8626" t="inlineStr">
        <is>
          <t>VÄSTERBOTTENS LÄN</t>
        </is>
      </c>
      <c r="E8626" t="inlineStr">
        <is>
          <t>VILHELMINA</t>
        </is>
      </c>
      <c r="G8626" t="n">
        <v>81.90000000000001</v>
      </c>
      <c r="H8626" t="n">
        <v>0</v>
      </c>
      <c r="I8626" t="n">
        <v>0</v>
      </c>
      <c r="J8626" t="n">
        <v>0</v>
      </c>
      <c r="K8626" t="n">
        <v>0</v>
      </c>
      <c r="L8626" t="n">
        <v>0</v>
      </c>
      <c r="M8626" t="n">
        <v>0</v>
      </c>
      <c r="N8626" t="n">
        <v>0</v>
      </c>
      <c r="O8626" t="n">
        <v>0</v>
      </c>
      <c r="P8626" t="n">
        <v>0</v>
      </c>
      <c r="Q8626" t="n">
        <v>0</v>
      </c>
      <c r="R8626" s="2" t="inlineStr"/>
    </row>
    <row r="8627" ht="15" customHeight="1">
      <c r="A8627" t="inlineStr">
        <is>
          <t>A 51748-2025</t>
        </is>
      </c>
      <c r="B8627" s="1" t="n">
        <v>45951.61508101852</v>
      </c>
      <c r="C8627" s="1" t="n">
        <v>45971</v>
      </c>
      <c r="D8627" t="inlineStr">
        <is>
          <t>VÄSTERBOTTENS LÄN</t>
        </is>
      </c>
      <c r="E8627" t="inlineStr">
        <is>
          <t>LYCKSELE</t>
        </is>
      </c>
      <c r="F8627" t="inlineStr">
        <is>
          <t>SCA</t>
        </is>
      </c>
      <c r="G8627" t="n">
        <v>19.8</v>
      </c>
      <c r="H8627" t="n">
        <v>0</v>
      </c>
      <c r="I8627" t="n">
        <v>0</v>
      </c>
      <c r="J8627" t="n">
        <v>0</v>
      </c>
      <c r="K8627" t="n">
        <v>0</v>
      </c>
      <c r="L8627" t="n">
        <v>0</v>
      </c>
      <c r="M8627" t="n">
        <v>0</v>
      </c>
      <c r="N8627" t="n">
        <v>0</v>
      </c>
      <c r="O8627" t="n">
        <v>0</v>
      </c>
      <c r="P8627" t="n">
        <v>0</v>
      </c>
      <c r="Q8627" t="n">
        <v>0</v>
      </c>
      <c r="R8627" s="2" t="inlineStr"/>
    </row>
    <row r="8628" ht="15" customHeight="1">
      <c r="A8628" t="inlineStr">
        <is>
          <t>A 10173-2022</t>
        </is>
      </c>
      <c r="B8628" s="1" t="n">
        <v>44622</v>
      </c>
      <c r="C8628" s="1" t="n">
        <v>45971</v>
      </c>
      <c r="D8628" t="inlineStr">
        <is>
          <t>VÄSTERBOTTENS LÄN</t>
        </is>
      </c>
      <c r="E8628" t="inlineStr">
        <is>
          <t>ROBERTSFORS</t>
        </is>
      </c>
      <c r="F8628" t="inlineStr">
        <is>
          <t>Holmen skog AB</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21135-2024</t>
        </is>
      </c>
      <c r="B8629" s="1" t="n">
        <v>45440</v>
      </c>
      <c r="C8629" s="1" t="n">
        <v>45971</v>
      </c>
      <c r="D8629" t="inlineStr">
        <is>
          <t>VÄSTERBOTTENS LÄN</t>
        </is>
      </c>
      <c r="E8629" t="inlineStr">
        <is>
          <t>VÄNNÄS</t>
        </is>
      </c>
      <c r="F8629" t="inlineStr">
        <is>
          <t>Holmen skog AB</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27080-2025</t>
        </is>
      </c>
      <c r="B8630" s="1" t="n">
        <v>45811.65400462963</v>
      </c>
      <c r="C8630" s="1" t="n">
        <v>45971</v>
      </c>
      <c r="D8630" t="inlineStr">
        <is>
          <t>VÄSTERBOTTENS LÄN</t>
        </is>
      </c>
      <c r="E8630" t="inlineStr">
        <is>
          <t>LYCKSELE</t>
        </is>
      </c>
      <c r="F8630" t="inlineStr">
        <is>
          <t>Holmen skog AB</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27868-2023</t>
        </is>
      </c>
      <c r="B8631" s="1" t="n">
        <v>45098</v>
      </c>
      <c r="C8631" s="1" t="n">
        <v>45971</v>
      </c>
      <c r="D8631" t="inlineStr">
        <is>
          <t>VÄSTERBOTTENS LÄN</t>
        </is>
      </c>
      <c r="E8631" t="inlineStr">
        <is>
          <t>ÅSELE</t>
        </is>
      </c>
      <c r="F8631" t="inlineStr">
        <is>
          <t>Sveaskog</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19578-2024</t>
        </is>
      </c>
      <c r="B8632" s="1" t="n">
        <v>45429.92396990741</v>
      </c>
      <c r="C8632" s="1" t="n">
        <v>45971</v>
      </c>
      <c r="D8632" t="inlineStr">
        <is>
          <t>VÄSTERBOTTENS LÄN</t>
        </is>
      </c>
      <c r="E8632" t="inlineStr">
        <is>
          <t>BJURHOLM</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27400-2025</t>
        </is>
      </c>
      <c r="B8633" s="1" t="n">
        <v>45812.69835648148</v>
      </c>
      <c r="C8633" s="1" t="n">
        <v>45971</v>
      </c>
      <c r="D8633" t="inlineStr">
        <is>
          <t>VÄSTERBOTTENS LÄN</t>
        </is>
      </c>
      <c r="E8633" t="inlineStr">
        <is>
          <t>SKELLEFTEÅ</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61990-2024</t>
        </is>
      </c>
      <c r="B8634" s="1" t="n">
        <v>45646</v>
      </c>
      <c r="C8634" s="1" t="n">
        <v>45971</v>
      </c>
      <c r="D8634" t="inlineStr">
        <is>
          <t>VÄSTERBOTTENS LÄN</t>
        </is>
      </c>
      <c r="E8634" t="inlineStr">
        <is>
          <t>MALÅ</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60071-2024</t>
        </is>
      </c>
      <c r="B8635" s="1" t="n">
        <v>45642.52351851852</v>
      </c>
      <c r="C8635" s="1" t="n">
        <v>45971</v>
      </c>
      <c r="D8635" t="inlineStr">
        <is>
          <t>VÄSTERBOTTENS LÄN</t>
        </is>
      </c>
      <c r="E8635" t="inlineStr">
        <is>
          <t>VINDELN</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25161-2024</t>
        </is>
      </c>
      <c r="B8636" s="1" t="n">
        <v>45462.53011574074</v>
      </c>
      <c r="C8636" s="1" t="n">
        <v>45971</v>
      </c>
      <c r="D8636" t="inlineStr">
        <is>
          <t>VÄSTERBOTTENS LÄN</t>
        </is>
      </c>
      <c r="E8636" t="inlineStr">
        <is>
          <t>NORSJÖ</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745-2025</t>
        </is>
      </c>
      <c r="B8637" s="1" t="n">
        <v>45665.43612268518</v>
      </c>
      <c r="C8637" s="1" t="n">
        <v>45971</v>
      </c>
      <c r="D8637" t="inlineStr">
        <is>
          <t>VÄSTERBOTTENS LÄN</t>
        </is>
      </c>
      <c r="E8637" t="inlineStr">
        <is>
          <t>VINDELN</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121-2023</t>
        </is>
      </c>
      <c r="B8638" s="1" t="n">
        <v>44918</v>
      </c>
      <c r="C8638" s="1" t="n">
        <v>45971</v>
      </c>
      <c r="D8638" t="inlineStr">
        <is>
          <t>VÄSTERBOTTENS LÄN</t>
        </is>
      </c>
      <c r="E8638" t="inlineStr">
        <is>
          <t>SKELLEFTEÅ</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51689-2025</t>
        </is>
      </c>
      <c r="B8639" s="1" t="n">
        <v>45951.53252314815</v>
      </c>
      <c r="C8639" s="1" t="n">
        <v>45971</v>
      </c>
      <c r="D8639" t="inlineStr">
        <is>
          <t>VÄSTERBOTTENS LÄN</t>
        </is>
      </c>
      <c r="E8639" t="inlineStr">
        <is>
          <t>UMEÅ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28023-2025</t>
        </is>
      </c>
      <c r="B8640" s="1" t="n">
        <v>45817</v>
      </c>
      <c r="C8640" s="1" t="n">
        <v>45971</v>
      </c>
      <c r="D8640" t="inlineStr">
        <is>
          <t>VÄSTERBOTTENS LÄN</t>
        </is>
      </c>
      <c r="E8640" t="inlineStr">
        <is>
          <t>SORSELE</t>
        </is>
      </c>
      <c r="F8640" t="inlineStr">
        <is>
          <t>Övriga statliga verk och myndigheter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51073-2024</t>
        </is>
      </c>
      <c r="B8641" s="1" t="n">
        <v>45603.44994212963</v>
      </c>
      <c r="C8641" s="1" t="n">
        <v>45971</v>
      </c>
      <c r="D8641" t="inlineStr">
        <is>
          <t>VÄSTERBOTTENS LÄN</t>
        </is>
      </c>
      <c r="E8641" t="inlineStr">
        <is>
          <t>VINDELN</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52037-2025</t>
        </is>
      </c>
      <c r="B8642" s="1" t="n">
        <v>45952.61508101852</v>
      </c>
      <c r="C8642" s="1" t="n">
        <v>45971</v>
      </c>
      <c r="D8642" t="inlineStr">
        <is>
          <t>VÄSTERBOTTENS LÄN</t>
        </is>
      </c>
      <c r="E8642" t="inlineStr">
        <is>
          <t>SKELLEFTEÅ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52042-2025</t>
        </is>
      </c>
      <c r="B8643" s="1" t="n">
        <v>45952.61533564814</v>
      </c>
      <c r="C8643" s="1" t="n">
        <v>45971</v>
      </c>
      <c r="D8643" t="inlineStr">
        <is>
          <t>VÄSTERBOTTENS LÄN</t>
        </is>
      </c>
      <c r="E8643" t="inlineStr">
        <is>
          <t>SKELLEFTEÅ</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33612-2022</t>
        </is>
      </c>
      <c r="B8644" s="1" t="n">
        <v>44789</v>
      </c>
      <c r="C8644" s="1" t="n">
        <v>45971</v>
      </c>
      <c r="D8644" t="inlineStr">
        <is>
          <t>VÄSTERBOTTENS LÄN</t>
        </is>
      </c>
      <c r="E8644" t="inlineStr">
        <is>
          <t>NORDMALING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55087-2024</t>
        </is>
      </c>
      <c r="B8645" s="1" t="n">
        <v>45621.43199074074</v>
      </c>
      <c r="C8645" s="1" t="n">
        <v>45971</v>
      </c>
      <c r="D8645" t="inlineStr">
        <is>
          <t>VÄSTERBOTTENS LÄN</t>
        </is>
      </c>
      <c r="E8645" t="inlineStr">
        <is>
          <t>LYCKSELE</t>
        </is>
      </c>
      <c r="F8645" t="inlineStr">
        <is>
          <t>Sveaskog</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2893-2025</t>
        </is>
      </c>
      <c r="B8646" s="1" t="n">
        <v>45677</v>
      </c>
      <c r="C8646" s="1" t="n">
        <v>45971</v>
      </c>
      <c r="D8646" t="inlineStr">
        <is>
          <t>VÄSTERBOTTENS LÄN</t>
        </is>
      </c>
      <c r="E8646" t="inlineStr">
        <is>
          <t>ÅSELE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54957-2024</t>
        </is>
      </c>
      <c r="B8647" s="1" t="n">
        <v>45619</v>
      </c>
      <c r="C8647" s="1" t="n">
        <v>45971</v>
      </c>
      <c r="D8647" t="inlineStr">
        <is>
          <t>VÄSTERBOTTENS LÄN</t>
        </is>
      </c>
      <c r="E8647" t="inlineStr">
        <is>
          <t>ÅSELE</t>
        </is>
      </c>
      <c r="F8647" t="inlineStr">
        <is>
          <t>SCA</t>
        </is>
      </c>
      <c r="G8647" t="n">
        <v>17.4</v>
      </c>
      <c r="H8647" t="n">
        <v>0</v>
      </c>
      <c r="I8647" t="n">
        <v>0</v>
      </c>
      <c r="J8647" t="n">
        <v>0</v>
      </c>
      <c r="K8647" t="n">
        <v>0</v>
      </c>
      <c r="L8647" t="n">
        <v>0</v>
      </c>
      <c r="M8647" t="n">
        <v>0</v>
      </c>
      <c r="N8647" t="n">
        <v>0</v>
      </c>
      <c r="O8647" t="n">
        <v>0</v>
      </c>
      <c r="P8647" t="n">
        <v>0</v>
      </c>
      <c r="Q8647" t="n">
        <v>0</v>
      </c>
      <c r="R8647" s="2" t="inlineStr"/>
    </row>
    <row r="8648" ht="15" customHeight="1">
      <c r="A8648" t="inlineStr">
        <is>
          <t>A 43176-2025</t>
        </is>
      </c>
      <c r="B8648" s="1" t="n">
        <v>45910.4053125</v>
      </c>
      <c r="C8648" s="1" t="n">
        <v>45971</v>
      </c>
      <c r="D8648" t="inlineStr">
        <is>
          <t>VÄSTERBOTTENS LÄN</t>
        </is>
      </c>
      <c r="E8648" t="inlineStr">
        <is>
          <t>VINDELN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54971-2024</t>
        </is>
      </c>
      <c r="B8649" s="1" t="n">
        <v>45620</v>
      </c>
      <c r="C8649" s="1" t="n">
        <v>45971</v>
      </c>
      <c r="D8649" t="inlineStr">
        <is>
          <t>VÄSTERBOTTENS LÄN</t>
        </is>
      </c>
      <c r="E8649" t="inlineStr">
        <is>
          <t>SKELLEFTEÅ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2942-2025</t>
        </is>
      </c>
      <c r="B8650" s="1" t="n">
        <v>45678.39038194445</v>
      </c>
      <c r="C8650" s="1" t="n">
        <v>45971</v>
      </c>
      <c r="D8650" t="inlineStr">
        <is>
          <t>VÄSTERBOTTENS LÄN</t>
        </is>
      </c>
      <c r="E8650" t="inlineStr">
        <is>
          <t>VÄNNÄS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33726-2022</t>
        </is>
      </c>
      <c r="B8651" s="1" t="n">
        <v>44789</v>
      </c>
      <c r="C8651" s="1" t="n">
        <v>45971</v>
      </c>
      <c r="D8651" t="inlineStr">
        <is>
          <t>VÄSTERBOTTENS LÄN</t>
        </is>
      </c>
      <c r="E8651" t="inlineStr">
        <is>
          <t>LYCKSELE</t>
        </is>
      </c>
      <c r="F8651" t="inlineStr">
        <is>
          <t>SCA</t>
        </is>
      </c>
      <c r="G8651" t="n">
        <v>12.7</v>
      </c>
      <c r="H8651" t="n">
        <v>0</v>
      </c>
      <c r="I8651" t="n">
        <v>0</v>
      </c>
      <c r="J8651" t="n">
        <v>0</v>
      </c>
      <c r="K8651" t="n">
        <v>0</v>
      </c>
      <c r="L8651" t="n">
        <v>0</v>
      </c>
      <c r="M8651" t="n">
        <v>0</v>
      </c>
      <c r="N8651" t="n">
        <v>0</v>
      </c>
      <c r="O8651" t="n">
        <v>0</v>
      </c>
      <c r="P8651" t="n">
        <v>0</v>
      </c>
      <c r="Q8651" t="n">
        <v>0</v>
      </c>
      <c r="R8651" s="2" t="inlineStr"/>
    </row>
    <row r="8652" ht="15" customHeight="1">
      <c r="A8652" t="inlineStr">
        <is>
          <t>A 26893-2025</t>
        </is>
      </c>
      <c r="B8652" s="1" t="n">
        <v>45811.33413194444</v>
      </c>
      <c r="C8652" s="1" t="n">
        <v>45971</v>
      </c>
      <c r="D8652" t="inlineStr">
        <is>
          <t>VÄSTERBOTTENS LÄN</t>
        </is>
      </c>
      <c r="E8652" t="inlineStr">
        <is>
          <t>LYCKSELE</t>
        </is>
      </c>
      <c r="F8652" t="inlineStr">
        <is>
          <t>Holmen skog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53720-2024</t>
        </is>
      </c>
      <c r="B8653" s="1" t="n">
        <v>45615.43817129629</v>
      </c>
      <c r="C8653" s="1" t="n">
        <v>45971</v>
      </c>
      <c r="D8653" t="inlineStr">
        <is>
          <t>VÄSTERBOTTENS LÄN</t>
        </is>
      </c>
      <c r="E8653" t="inlineStr">
        <is>
          <t>SKELLEFTEÅ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53731-2024</t>
        </is>
      </c>
      <c r="B8654" s="1" t="n">
        <v>45615</v>
      </c>
      <c r="C8654" s="1" t="n">
        <v>45971</v>
      </c>
      <c r="D8654" t="inlineStr">
        <is>
          <t>VÄSTERBOTTENS LÄN</t>
        </is>
      </c>
      <c r="E8654" t="inlineStr">
        <is>
          <t>UMEÅ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48501-2023</t>
        </is>
      </c>
      <c r="B8655" s="1" t="n">
        <v>45207.82268518519</v>
      </c>
      <c r="C8655" s="1" t="n">
        <v>45971</v>
      </c>
      <c r="D8655" t="inlineStr">
        <is>
          <t>VÄSTERBOTTENS LÄN</t>
        </is>
      </c>
      <c r="E8655" t="inlineStr">
        <is>
          <t>SKELLEFTEÅ</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50494-2023</t>
        </is>
      </c>
      <c r="B8656" s="1" t="n">
        <v>45216.95604166666</v>
      </c>
      <c r="C8656" s="1" t="n">
        <v>45971</v>
      </c>
      <c r="D8656" t="inlineStr">
        <is>
          <t>VÄSTERBOTTENS LÄN</t>
        </is>
      </c>
      <c r="E8656" t="inlineStr">
        <is>
          <t>VILHELMINA</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43286-2025</t>
        </is>
      </c>
      <c r="B8657" s="1" t="n">
        <v>45910</v>
      </c>
      <c r="C8657" s="1" t="n">
        <v>45971</v>
      </c>
      <c r="D8657" t="inlineStr">
        <is>
          <t>VÄSTERBOTTENS LÄN</t>
        </is>
      </c>
      <c r="E8657" t="inlineStr">
        <is>
          <t>ÅSELE</t>
        </is>
      </c>
      <c r="F8657" t="inlineStr">
        <is>
          <t>Kyrkan</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43317-2025</t>
        </is>
      </c>
      <c r="B8658" s="1" t="n">
        <v>45910.65524305555</v>
      </c>
      <c r="C8658" s="1" t="n">
        <v>45971</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52038-2025</t>
        </is>
      </c>
      <c r="B8659" s="1" t="n">
        <v>45952.61511574074</v>
      </c>
      <c r="C8659" s="1" t="n">
        <v>45971</v>
      </c>
      <c r="D8659" t="inlineStr">
        <is>
          <t>VÄSTERBOTTENS LÄN</t>
        </is>
      </c>
      <c r="E8659" t="inlineStr">
        <is>
          <t>SKELLEFTEÅ</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27049-2025</t>
        </is>
      </c>
      <c r="B8660" s="1" t="n">
        <v>45811.61696759259</v>
      </c>
      <c r="C8660" s="1" t="n">
        <v>45971</v>
      </c>
      <c r="D8660" t="inlineStr">
        <is>
          <t>VÄSTERBOTTENS LÄN</t>
        </is>
      </c>
      <c r="E8660" t="inlineStr">
        <is>
          <t>VINDELN</t>
        </is>
      </c>
      <c r="F8660" t="inlineStr">
        <is>
          <t>Sveaskog</t>
        </is>
      </c>
      <c r="G8660" t="n">
        <v>18.4</v>
      </c>
      <c r="H8660" t="n">
        <v>0</v>
      </c>
      <c r="I8660" t="n">
        <v>0</v>
      </c>
      <c r="J8660" t="n">
        <v>0</v>
      </c>
      <c r="K8660" t="n">
        <v>0</v>
      </c>
      <c r="L8660" t="n">
        <v>0</v>
      </c>
      <c r="M8660" t="n">
        <v>0</v>
      </c>
      <c r="N8660" t="n">
        <v>0</v>
      </c>
      <c r="O8660" t="n">
        <v>0</v>
      </c>
      <c r="P8660" t="n">
        <v>0</v>
      </c>
      <c r="Q8660" t="n">
        <v>0</v>
      </c>
      <c r="R8660" s="2" t="inlineStr"/>
    </row>
    <row r="8661" ht="15" customHeight="1">
      <c r="A8661" t="inlineStr">
        <is>
          <t>A 27072-2025</t>
        </is>
      </c>
      <c r="B8661" s="1" t="n">
        <v>45811.64100694445</v>
      </c>
      <c r="C8661" s="1" t="n">
        <v>45971</v>
      </c>
      <c r="D8661" t="inlineStr">
        <is>
          <t>VÄSTERBOTTENS LÄN</t>
        </is>
      </c>
      <c r="E8661" t="inlineStr">
        <is>
          <t>LYCKSELE</t>
        </is>
      </c>
      <c r="F8661" t="inlineStr">
        <is>
          <t>Sveaskog</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891-2025</t>
        </is>
      </c>
      <c r="B8662" s="1" t="n">
        <v>45665.65660879629</v>
      </c>
      <c r="C8662" s="1" t="n">
        <v>45971</v>
      </c>
      <c r="D8662" t="inlineStr">
        <is>
          <t>VÄSTERBOTTENS LÄN</t>
        </is>
      </c>
      <c r="E8662" t="inlineStr">
        <is>
          <t>NORSJÖ</t>
        </is>
      </c>
      <c r="F8662" t="inlineStr">
        <is>
          <t>Holmen skog AB</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989-2025</t>
        </is>
      </c>
      <c r="B8663" s="1" t="n">
        <v>45666</v>
      </c>
      <c r="C8663" s="1" t="n">
        <v>45971</v>
      </c>
      <c r="D8663" t="inlineStr">
        <is>
          <t>VÄSTERBOTTENS LÄN</t>
        </is>
      </c>
      <c r="E8663" t="inlineStr">
        <is>
          <t>VINDELN</t>
        </is>
      </c>
      <c r="F8663" t="inlineStr">
        <is>
          <t>Naturvårdsverket</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289-2025</t>
        </is>
      </c>
      <c r="B8664" s="1" t="n">
        <v>45653</v>
      </c>
      <c r="C8664" s="1" t="n">
        <v>45971</v>
      </c>
      <c r="D8664" t="inlineStr">
        <is>
          <t>VÄSTERBOTTENS LÄN</t>
        </is>
      </c>
      <c r="E8664" t="inlineStr">
        <is>
          <t>ROBERTSFORS</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21600-2024</t>
        </is>
      </c>
      <c r="B8665" s="1" t="n">
        <v>45441</v>
      </c>
      <c r="C8665" s="1" t="n">
        <v>45971</v>
      </c>
      <c r="D8665" t="inlineStr">
        <is>
          <t>VÄSTERBOTTENS LÄN</t>
        </is>
      </c>
      <c r="E8665" t="inlineStr">
        <is>
          <t>NORSJÖ</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26987-2025</t>
        </is>
      </c>
      <c r="B8666" s="1" t="n">
        <v>45811.50929398148</v>
      </c>
      <c r="C8666" s="1" t="n">
        <v>45971</v>
      </c>
      <c r="D8666" t="inlineStr">
        <is>
          <t>VÄSTERBOTTENS LÄN</t>
        </is>
      </c>
      <c r="E8666" t="inlineStr">
        <is>
          <t>ROBERTSFORS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2661-2025</t>
        </is>
      </c>
      <c r="B8667" s="1" t="n">
        <v>45676.86069444445</v>
      </c>
      <c r="C8667" s="1" t="n">
        <v>45971</v>
      </c>
      <c r="D8667" t="inlineStr">
        <is>
          <t>VÄSTERBOTTENS LÄN</t>
        </is>
      </c>
      <c r="E8667" t="inlineStr">
        <is>
          <t>VINDELN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27256-2025</t>
        </is>
      </c>
      <c r="B8668" s="1" t="n">
        <v>45812.47314814815</v>
      </c>
      <c r="C8668" s="1" t="n">
        <v>45971</v>
      </c>
      <c r="D8668" t="inlineStr">
        <is>
          <t>VÄSTERBOTTENS LÄN</t>
        </is>
      </c>
      <c r="E8668" t="inlineStr">
        <is>
          <t>BJURHOLM</t>
        </is>
      </c>
      <c r="G8668" t="n">
        <v>48.1</v>
      </c>
      <c r="H8668" t="n">
        <v>0</v>
      </c>
      <c r="I8668" t="n">
        <v>0</v>
      </c>
      <c r="J8668" t="n">
        <v>0</v>
      </c>
      <c r="K8668" t="n">
        <v>0</v>
      </c>
      <c r="L8668" t="n">
        <v>0</v>
      </c>
      <c r="M8668" t="n">
        <v>0</v>
      </c>
      <c r="N8668" t="n">
        <v>0</v>
      </c>
      <c r="O8668" t="n">
        <v>0</v>
      </c>
      <c r="P8668" t="n">
        <v>0</v>
      </c>
      <c r="Q8668" t="n">
        <v>0</v>
      </c>
      <c r="R8668" s="2" t="inlineStr"/>
    </row>
    <row r="8669" ht="15" customHeight="1">
      <c r="A8669" t="inlineStr">
        <is>
          <t>A 672-2025</t>
        </is>
      </c>
      <c r="B8669" s="1" t="n">
        <v>45664</v>
      </c>
      <c r="C8669" s="1" t="n">
        <v>45971</v>
      </c>
      <c r="D8669" t="inlineStr">
        <is>
          <t>VÄSTERBOTTENS LÄN</t>
        </is>
      </c>
      <c r="E8669" t="inlineStr">
        <is>
          <t>ROBERTSFORS</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2696-2025</t>
        </is>
      </c>
      <c r="B8670" s="1" t="n">
        <v>45674</v>
      </c>
      <c r="C8670" s="1" t="n">
        <v>45971</v>
      </c>
      <c r="D8670" t="inlineStr">
        <is>
          <t>VÄSTERBOTTENS LÄN</t>
        </is>
      </c>
      <c r="E8670" t="inlineStr">
        <is>
          <t>ROBERTSFORS</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2697-2025</t>
        </is>
      </c>
      <c r="B8671" s="1" t="n">
        <v>45677.39728009259</v>
      </c>
      <c r="C8671" s="1" t="n">
        <v>45971</v>
      </c>
      <c r="D8671" t="inlineStr">
        <is>
          <t>VÄSTERBOTTENS LÄN</t>
        </is>
      </c>
      <c r="E8671" t="inlineStr">
        <is>
          <t>VINDELN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27588-2025</t>
        </is>
      </c>
      <c r="B8672" s="1" t="n">
        <v>45813.50950231482</v>
      </c>
      <c r="C8672" s="1" t="n">
        <v>45971</v>
      </c>
      <c r="D8672" t="inlineStr">
        <is>
          <t>VÄSTERBOTTENS LÄN</t>
        </is>
      </c>
      <c r="E8672" t="inlineStr">
        <is>
          <t>LYCKSELE</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48946-2023</t>
        </is>
      </c>
      <c r="B8673" s="1" t="n">
        <v>45204</v>
      </c>
      <c r="C8673" s="1" t="n">
        <v>45971</v>
      </c>
      <c r="D8673" t="inlineStr">
        <is>
          <t>VÄSTERBOTTENS LÄN</t>
        </is>
      </c>
      <c r="E8673" t="inlineStr">
        <is>
          <t>NORDMALING</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33995-2024</t>
        </is>
      </c>
      <c r="B8674" s="1" t="n">
        <v>45523</v>
      </c>
      <c r="C8674" s="1" t="n">
        <v>45971</v>
      </c>
      <c r="D8674" t="inlineStr">
        <is>
          <t>VÄSTERBOTTENS LÄN</t>
        </is>
      </c>
      <c r="E8674" t="inlineStr">
        <is>
          <t>NORSJÖ</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27578-2025</t>
        </is>
      </c>
      <c r="B8675" s="1" t="n">
        <v>45813</v>
      </c>
      <c r="C8675" s="1" t="n">
        <v>45971</v>
      </c>
      <c r="D8675" t="inlineStr">
        <is>
          <t>VÄSTERBOTTENS LÄN</t>
        </is>
      </c>
      <c r="E8675" t="inlineStr">
        <is>
          <t>SKELLEFTEÅ</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27579-2025</t>
        </is>
      </c>
      <c r="B8676" s="1" t="n">
        <v>45813</v>
      </c>
      <c r="C8676" s="1" t="n">
        <v>45971</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27597-2025</t>
        </is>
      </c>
      <c r="B8677" s="1" t="n">
        <v>45813.52341435185</v>
      </c>
      <c r="C8677" s="1" t="n">
        <v>45971</v>
      </c>
      <c r="D8677" t="inlineStr">
        <is>
          <t>VÄSTERBOTTENS LÄN</t>
        </is>
      </c>
      <c r="E8677" t="inlineStr">
        <is>
          <t>BJURHOLM</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61891-2024</t>
        </is>
      </c>
      <c r="B8678" s="1" t="n">
        <v>45652.73207175926</v>
      </c>
      <c r="C8678" s="1" t="n">
        <v>45971</v>
      </c>
      <c r="D8678" t="inlineStr">
        <is>
          <t>VÄSTERBOTTENS LÄN</t>
        </is>
      </c>
      <c r="E8678" t="inlineStr">
        <is>
          <t>LYCKSELE</t>
        </is>
      </c>
      <c r="G8678" t="n">
        <v>9</v>
      </c>
      <c r="H8678" t="n">
        <v>0</v>
      </c>
      <c r="I8678" t="n">
        <v>0</v>
      </c>
      <c r="J8678" t="n">
        <v>0</v>
      </c>
      <c r="K8678" t="n">
        <v>0</v>
      </c>
      <c r="L8678" t="n">
        <v>0</v>
      </c>
      <c r="M8678" t="n">
        <v>0</v>
      </c>
      <c r="N8678" t="n">
        <v>0</v>
      </c>
      <c r="O8678" t="n">
        <v>0</v>
      </c>
      <c r="P8678" t="n">
        <v>0</v>
      </c>
      <c r="Q8678" t="n">
        <v>0</v>
      </c>
      <c r="R8678" s="2" t="inlineStr"/>
    </row>
    <row r="8679" ht="15" customHeight="1">
      <c r="A8679" t="inlineStr">
        <is>
          <t>A 27654-2025</t>
        </is>
      </c>
      <c r="B8679" s="1" t="n">
        <v>45813.60324074074</v>
      </c>
      <c r="C8679" s="1" t="n">
        <v>45971</v>
      </c>
      <c r="D8679" t="inlineStr">
        <is>
          <t>VÄSTERBOTTENS LÄN</t>
        </is>
      </c>
      <c r="E8679" t="inlineStr">
        <is>
          <t>VINDELN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51605-2025</t>
        </is>
      </c>
      <c r="B8680" s="1" t="n">
        <v>45951.38592592593</v>
      </c>
      <c r="C8680" s="1" t="n">
        <v>45971</v>
      </c>
      <c r="D8680" t="inlineStr">
        <is>
          <t>VÄSTERBOTTENS LÄN</t>
        </is>
      </c>
      <c r="E8680" t="inlineStr">
        <is>
          <t>VÄNNÄS</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27681-2025</t>
        </is>
      </c>
      <c r="B8681" s="1" t="n">
        <v>45813.646875</v>
      </c>
      <c r="C8681" s="1" t="n">
        <v>45971</v>
      </c>
      <c r="D8681" t="inlineStr">
        <is>
          <t>VÄSTERBOTTENS LÄN</t>
        </is>
      </c>
      <c r="E8681" t="inlineStr">
        <is>
          <t>UMEÅ</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13563-2023</t>
        </is>
      </c>
      <c r="B8682" s="1" t="n">
        <v>45006.48116898148</v>
      </c>
      <c r="C8682" s="1" t="n">
        <v>45971</v>
      </c>
      <c r="D8682" t="inlineStr">
        <is>
          <t>VÄSTERBOTTENS LÄN</t>
        </is>
      </c>
      <c r="E8682" t="inlineStr">
        <is>
          <t>LYCKSELE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55241-2024</t>
        </is>
      </c>
      <c r="B8683" s="1" t="n">
        <v>45621.5884375</v>
      </c>
      <c r="C8683" s="1" t="n">
        <v>45971</v>
      </c>
      <c r="D8683" t="inlineStr">
        <is>
          <t>VÄSTERBOTTENS LÄN</t>
        </is>
      </c>
      <c r="E8683" t="inlineStr">
        <is>
          <t>SKELLEFTEÅ</t>
        </is>
      </c>
      <c r="F8683" t="inlineStr">
        <is>
          <t>Holmen skog AB</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55253-2024</t>
        </is>
      </c>
      <c r="B8684" s="1" t="n">
        <v>45620</v>
      </c>
      <c r="C8684" s="1" t="n">
        <v>45971</v>
      </c>
      <c r="D8684" t="inlineStr">
        <is>
          <t>VÄSTERBOTTENS LÄN</t>
        </is>
      </c>
      <c r="E8684" t="inlineStr">
        <is>
          <t>SKELLEFTEÅ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27627-2025</t>
        </is>
      </c>
      <c r="B8685" s="1" t="n">
        <v>45813.55851851852</v>
      </c>
      <c r="C8685" s="1" t="n">
        <v>45971</v>
      </c>
      <c r="D8685" t="inlineStr">
        <is>
          <t>VÄSTERBOTTENS LÄN</t>
        </is>
      </c>
      <c r="E8685" t="inlineStr">
        <is>
          <t>VINDELN</t>
        </is>
      </c>
      <c r="F8685" t="inlineStr">
        <is>
          <t>Holmen skog AB</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27612-2025</t>
        </is>
      </c>
      <c r="B8686" s="1" t="n">
        <v>45813.53979166667</v>
      </c>
      <c r="C8686" s="1" t="n">
        <v>45971</v>
      </c>
      <c r="D8686" t="inlineStr">
        <is>
          <t>VÄSTERBOTTENS LÄN</t>
        </is>
      </c>
      <c r="E8686" t="inlineStr">
        <is>
          <t>BJURHOLM</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51624-2025</t>
        </is>
      </c>
      <c r="B8687" s="1" t="n">
        <v>45951.41597222222</v>
      </c>
      <c r="C8687" s="1" t="n">
        <v>45971</v>
      </c>
      <c r="D8687" t="inlineStr">
        <is>
          <t>VÄSTERBOTTENS LÄN</t>
        </is>
      </c>
      <c r="E8687" t="inlineStr">
        <is>
          <t>SKELLEFTEÅ</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3892-2025</t>
        </is>
      </c>
      <c r="B8688" s="1" t="n">
        <v>45684.37506944445</v>
      </c>
      <c r="C8688" s="1" t="n">
        <v>45971</v>
      </c>
      <c r="D8688" t="inlineStr">
        <is>
          <t>VÄSTERBOTTENS LÄN</t>
        </is>
      </c>
      <c r="E8688" t="inlineStr">
        <is>
          <t>SKELLEFTEÅ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27657-2025</t>
        </is>
      </c>
      <c r="B8689" s="1" t="n">
        <v>45813.61297453703</v>
      </c>
      <c r="C8689" s="1" t="n">
        <v>45971</v>
      </c>
      <c r="D8689" t="inlineStr">
        <is>
          <t>VÄSTERBOTTENS LÄN</t>
        </is>
      </c>
      <c r="E8689" t="inlineStr">
        <is>
          <t>VINDELN</t>
        </is>
      </c>
      <c r="F8689" t="inlineStr">
        <is>
          <t>Holmen skog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27687-2025</t>
        </is>
      </c>
      <c r="B8690" s="1" t="n">
        <v>45813.654375</v>
      </c>
      <c r="C8690" s="1" t="n">
        <v>45971</v>
      </c>
      <c r="D8690" t="inlineStr">
        <is>
          <t>VÄSTERBOTTENS LÄN</t>
        </is>
      </c>
      <c r="E8690" t="inlineStr">
        <is>
          <t>ROBERTSFORS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18850-2024</t>
        </is>
      </c>
      <c r="B8691" s="1" t="n">
        <v>45426</v>
      </c>
      <c r="C8691" s="1" t="n">
        <v>45971</v>
      </c>
      <c r="D8691" t="inlineStr">
        <is>
          <t>VÄSTERBOTTENS LÄN</t>
        </is>
      </c>
      <c r="E8691" t="inlineStr">
        <is>
          <t>NORSJÖ</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27641-2025</t>
        </is>
      </c>
      <c r="B8692" s="1" t="n">
        <v>45813.58498842592</v>
      </c>
      <c r="C8692" s="1" t="n">
        <v>45971</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51961-2025</t>
        </is>
      </c>
      <c r="B8693" s="1" t="n">
        <v>45952.54824074074</v>
      </c>
      <c r="C8693" s="1" t="n">
        <v>45971</v>
      </c>
      <c r="D8693" t="inlineStr">
        <is>
          <t>VÄSTERBOTTENS LÄN</t>
        </is>
      </c>
      <c r="E8693" t="inlineStr">
        <is>
          <t>UMEÅ</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51968-2025</t>
        </is>
      </c>
      <c r="B8694" s="1" t="n">
        <v>45952.55365740741</v>
      </c>
      <c r="C8694" s="1" t="n">
        <v>45971</v>
      </c>
      <c r="D8694" t="inlineStr">
        <is>
          <t>VÄSTERBOTTENS LÄN</t>
        </is>
      </c>
      <c r="E8694" t="inlineStr">
        <is>
          <t>MALÅ</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27471-2025</t>
        </is>
      </c>
      <c r="B8695" s="1" t="n">
        <v>45813.36581018518</v>
      </c>
      <c r="C8695" s="1" t="n">
        <v>45971</v>
      </c>
      <c r="D8695" t="inlineStr">
        <is>
          <t>VÄSTERBOTTENS LÄN</t>
        </is>
      </c>
      <c r="E8695" t="inlineStr">
        <is>
          <t>LYCKSELE</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11184-2021</t>
        </is>
      </c>
      <c r="B8696" s="1" t="n">
        <v>44263.27416666667</v>
      </c>
      <c r="C8696" s="1" t="n">
        <v>45971</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39445-2023</t>
        </is>
      </c>
      <c r="B8697" s="1" t="n">
        <v>45166</v>
      </c>
      <c r="C8697" s="1" t="n">
        <v>45971</v>
      </c>
      <c r="D8697" t="inlineStr">
        <is>
          <t>VÄSTERBOTTENS LÄN</t>
        </is>
      </c>
      <c r="E8697" t="inlineStr">
        <is>
          <t>UMEÅ</t>
        </is>
      </c>
      <c r="G8697" t="n">
        <v>33.4</v>
      </c>
      <c r="H8697" t="n">
        <v>0</v>
      </c>
      <c r="I8697" t="n">
        <v>0</v>
      </c>
      <c r="J8697" t="n">
        <v>0</v>
      </c>
      <c r="K8697" t="n">
        <v>0</v>
      </c>
      <c r="L8697" t="n">
        <v>0</v>
      </c>
      <c r="M8697" t="n">
        <v>0</v>
      </c>
      <c r="N8697" t="n">
        <v>0</v>
      </c>
      <c r="O8697" t="n">
        <v>0</v>
      </c>
      <c r="P8697" t="n">
        <v>0</v>
      </c>
      <c r="Q8697" t="n">
        <v>0</v>
      </c>
      <c r="R8697" s="2" t="inlineStr"/>
    </row>
    <row r="8698" ht="15" customHeight="1">
      <c r="A8698" t="inlineStr">
        <is>
          <t>A 27564-2025</t>
        </is>
      </c>
      <c r="B8698" s="1" t="n">
        <v>45813.48702546296</v>
      </c>
      <c r="C8698" s="1" t="n">
        <v>45971</v>
      </c>
      <c r="D8698" t="inlineStr">
        <is>
          <t>VÄSTERBOTTENS LÄN</t>
        </is>
      </c>
      <c r="E8698" t="inlineStr">
        <is>
          <t>LYCKSELE</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27568-2025</t>
        </is>
      </c>
      <c r="B8699" s="1" t="n">
        <v>45813.49008101852</v>
      </c>
      <c r="C8699" s="1" t="n">
        <v>45971</v>
      </c>
      <c r="D8699" t="inlineStr">
        <is>
          <t>VÄSTERBOTTENS LÄN</t>
        </is>
      </c>
      <c r="E8699" t="inlineStr">
        <is>
          <t>VINDELN</t>
        </is>
      </c>
      <c r="F8699" t="inlineStr">
        <is>
          <t>SCA</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51660-2025</t>
        </is>
      </c>
      <c r="B8700" s="1" t="n">
        <v>45951.4765162037</v>
      </c>
      <c r="C8700" s="1" t="n">
        <v>45971</v>
      </c>
      <c r="D8700" t="inlineStr">
        <is>
          <t>VÄSTERBOTTENS LÄN</t>
        </is>
      </c>
      <c r="E8700" t="inlineStr">
        <is>
          <t>SKELLEFTEÅ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27595-2025</t>
        </is>
      </c>
      <c r="B8701" s="1" t="n">
        <v>45813.52065972222</v>
      </c>
      <c r="C8701" s="1" t="n">
        <v>45971</v>
      </c>
      <c r="D8701" t="inlineStr">
        <is>
          <t>VÄSTERBOTTENS LÄN</t>
        </is>
      </c>
      <c r="E8701" t="inlineStr">
        <is>
          <t>LYCKSELE</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27610-2025</t>
        </is>
      </c>
      <c r="B8702" s="1" t="n">
        <v>45813.53611111111</v>
      </c>
      <c r="C8702" s="1" t="n">
        <v>45971</v>
      </c>
      <c r="D8702" t="inlineStr">
        <is>
          <t>VÄSTERBOTTENS LÄN</t>
        </is>
      </c>
      <c r="E8702" t="inlineStr">
        <is>
          <t>LYCKSELE</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49013-2023</t>
        </is>
      </c>
      <c r="B8703" s="1" t="n">
        <v>45204</v>
      </c>
      <c r="C8703" s="1" t="n">
        <v>45971</v>
      </c>
      <c r="D8703" t="inlineStr">
        <is>
          <t>VÄSTERBOTTENS LÄN</t>
        </is>
      </c>
      <c r="E8703" t="inlineStr">
        <is>
          <t>MALÅ</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55417-2023</t>
        </is>
      </c>
      <c r="B8704" s="1" t="n">
        <v>45238.41365740741</v>
      </c>
      <c r="C8704" s="1" t="n">
        <v>45971</v>
      </c>
      <c r="D8704" t="inlineStr">
        <is>
          <t>VÄSTERBOTTENS LÄN</t>
        </is>
      </c>
      <c r="E8704" t="inlineStr">
        <is>
          <t>ROBERTSFORS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48093-2024</t>
        </is>
      </c>
      <c r="B8705" s="1" t="n">
        <v>45589.60805555555</v>
      </c>
      <c r="C8705" s="1" t="n">
        <v>45971</v>
      </c>
      <c r="D8705" t="inlineStr">
        <is>
          <t>VÄSTERBOTTENS LÄN</t>
        </is>
      </c>
      <c r="E8705" t="inlineStr">
        <is>
          <t>SKELLEFTEÅ</t>
        </is>
      </c>
      <c r="F8705" t="inlineStr">
        <is>
          <t>Holmen skog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6179-2025</t>
        </is>
      </c>
      <c r="B8706" s="1" t="n">
        <v>45698.44835648148</v>
      </c>
      <c r="C8706" s="1" t="n">
        <v>45971</v>
      </c>
      <c r="D8706" t="inlineStr">
        <is>
          <t>VÄSTERBOTTENS LÄN</t>
        </is>
      </c>
      <c r="E8706" t="inlineStr">
        <is>
          <t>VÄNNÄS</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27442-2025</t>
        </is>
      </c>
      <c r="B8707" s="1" t="n">
        <v>45813.31957175926</v>
      </c>
      <c r="C8707" s="1" t="n">
        <v>45971</v>
      </c>
      <c r="D8707" t="inlineStr">
        <is>
          <t>VÄSTERBOTTENS LÄN</t>
        </is>
      </c>
      <c r="E8707" t="inlineStr">
        <is>
          <t>SKELLEFTEÅ</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21925-2021</t>
        </is>
      </c>
      <c r="B8708" s="1" t="n">
        <v>44322.91846064815</v>
      </c>
      <c r="C8708" s="1" t="n">
        <v>45971</v>
      </c>
      <c r="D8708" t="inlineStr">
        <is>
          <t>VÄSTERBOTTENS LÄN</t>
        </is>
      </c>
      <c r="E8708" t="inlineStr">
        <is>
          <t>ROBERTSFORS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52165-2025</t>
        </is>
      </c>
      <c r="B8709" s="1" t="n">
        <v>45953.36392361111</v>
      </c>
      <c r="C8709" s="1" t="n">
        <v>45971</v>
      </c>
      <c r="D8709" t="inlineStr">
        <is>
          <t>VÄSTERBOTTENS LÄN</t>
        </is>
      </c>
      <c r="E8709" t="inlineStr">
        <is>
          <t>ÅSELE</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52565-2025</t>
        </is>
      </c>
      <c r="B8710" s="1" t="n">
        <v>45954.59429398148</v>
      </c>
      <c r="C8710" s="1" t="n">
        <v>45971</v>
      </c>
      <c r="D8710" t="inlineStr">
        <is>
          <t>VÄSTERBOTTENS LÄN</t>
        </is>
      </c>
      <c r="E8710" t="inlineStr">
        <is>
          <t>VILHELMINA</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55444-2023</t>
        </is>
      </c>
      <c r="B8711" s="1" t="n">
        <v>45231</v>
      </c>
      <c r="C8711" s="1" t="n">
        <v>45971</v>
      </c>
      <c r="D8711" t="inlineStr">
        <is>
          <t>VÄSTERBOTTENS LÄN</t>
        </is>
      </c>
      <c r="E8711" t="inlineStr">
        <is>
          <t>VÄNNÄS</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52441-2025</t>
        </is>
      </c>
      <c r="B8712" s="1" t="n">
        <v>45954.41210648148</v>
      </c>
      <c r="C8712" s="1" t="n">
        <v>45971</v>
      </c>
      <c r="D8712" t="inlineStr">
        <is>
          <t>VÄSTERBOTTENS LÄN</t>
        </is>
      </c>
      <c r="E8712" t="inlineStr">
        <is>
          <t>NORSJÖ</t>
        </is>
      </c>
      <c r="F8712" t="inlineStr">
        <is>
          <t>Holmen skog AB</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56203-2023</t>
        </is>
      </c>
      <c r="B8713" s="1" t="n">
        <v>45240</v>
      </c>
      <c r="C8713" s="1" t="n">
        <v>45971</v>
      </c>
      <c r="D8713" t="inlineStr">
        <is>
          <t>VÄSTERBOTTENS LÄN</t>
        </is>
      </c>
      <c r="E8713" t="inlineStr">
        <is>
          <t>SKELLEFTEÅ</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27428-2025</t>
        </is>
      </c>
      <c r="B8714" s="1" t="n">
        <v>45813.28868055555</v>
      </c>
      <c r="C8714" s="1" t="n">
        <v>45971</v>
      </c>
      <c r="D8714" t="inlineStr">
        <is>
          <t>VÄSTERBOTTENS LÄN</t>
        </is>
      </c>
      <c r="E8714" t="inlineStr">
        <is>
          <t>VINDELN</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27698-2025</t>
        </is>
      </c>
      <c r="B8715" s="1" t="n">
        <v>45813.67741898148</v>
      </c>
      <c r="C8715" s="1" t="n">
        <v>45971</v>
      </c>
      <c r="D8715" t="inlineStr">
        <is>
          <t>VÄSTERBOTTENS LÄN</t>
        </is>
      </c>
      <c r="E8715" t="inlineStr">
        <is>
          <t>ÅSELE</t>
        </is>
      </c>
      <c r="F8715" t="inlineStr">
        <is>
          <t>SCA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43427-2025</t>
        </is>
      </c>
      <c r="B8716" s="1" t="n">
        <v>45911.419375</v>
      </c>
      <c r="C8716" s="1" t="n">
        <v>45971</v>
      </c>
      <c r="D8716" t="inlineStr">
        <is>
          <t>VÄSTERBOTTENS LÄN</t>
        </is>
      </c>
      <c r="E8716" t="inlineStr">
        <is>
          <t>SKELLEFTEÅ</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43540-2025</t>
        </is>
      </c>
      <c r="B8717" s="1" t="n">
        <v>45911.60609953704</v>
      </c>
      <c r="C8717" s="1" t="n">
        <v>45971</v>
      </c>
      <c r="D8717" t="inlineStr">
        <is>
          <t>VÄSTERBOTTENS LÄN</t>
        </is>
      </c>
      <c r="E8717" t="inlineStr">
        <is>
          <t>ÅSELE</t>
        </is>
      </c>
      <c r="F8717" t="inlineStr">
        <is>
          <t>Holmen skog AB</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20846-2025</t>
        </is>
      </c>
      <c r="B8718" s="1" t="n">
        <v>45777</v>
      </c>
      <c r="C8718" s="1" t="n">
        <v>45971</v>
      </c>
      <c r="D8718" t="inlineStr">
        <is>
          <t>VÄSTERBOTTENS LÄN</t>
        </is>
      </c>
      <c r="E8718" t="inlineStr">
        <is>
          <t>VILHELMINA</t>
        </is>
      </c>
      <c r="G8718" t="n">
        <v>19.1</v>
      </c>
      <c r="H8718" t="n">
        <v>0</v>
      </c>
      <c r="I8718" t="n">
        <v>0</v>
      </c>
      <c r="J8718" t="n">
        <v>0</v>
      </c>
      <c r="K8718" t="n">
        <v>0</v>
      </c>
      <c r="L8718" t="n">
        <v>0</v>
      </c>
      <c r="M8718" t="n">
        <v>0</v>
      </c>
      <c r="N8718" t="n">
        <v>0</v>
      </c>
      <c r="O8718" t="n">
        <v>0</v>
      </c>
      <c r="P8718" t="n">
        <v>0</v>
      </c>
      <c r="Q8718" t="n">
        <v>0</v>
      </c>
      <c r="R8718" s="2" t="inlineStr"/>
    </row>
    <row r="8719" ht="15" customHeight="1">
      <c r="A8719" t="inlineStr">
        <is>
          <t>A 27699-2025</t>
        </is>
      </c>
      <c r="B8719" s="1" t="n">
        <v>45813.67763888889</v>
      </c>
      <c r="C8719" s="1" t="n">
        <v>45971</v>
      </c>
      <c r="D8719" t="inlineStr">
        <is>
          <t>VÄSTERBOTTENS LÄN</t>
        </is>
      </c>
      <c r="E8719" t="inlineStr">
        <is>
          <t>VINDELN</t>
        </is>
      </c>
      <c r="F8719" t="inlineStr">
        <is>
          <t>SCA</t>
        </is>
      </c>
      <c r="G8719" t="n">
        <v>25.3</v>
      </c>
      <c r="H8719" t="n">
        <v>0</v>
      </c>
      <c r="I8719" t="n">
        <v>0</v>
      </c>
      <c r="J8719" t="n">
        <v>0</v>
      </c>
      <c r="K8719" t="n">
        <v>0</v>
      </c>
      <c r="L8719" t="n">
        <v>0</v>
      </c>
      <c r="M8719" t="n">
        <v>0</v>
      </c>
      <c r="N8719" t="n">
        <v>0</v>
      </c>
      <c r="O8719" t="n">
        <v>0</v>
      </c>
      <c r="P8719" t="n">
        <v>0</v>
      </c>
      <c r="Q8719" t="n">
        <v>0</v>
      </c>
      <c r="R8719" s="2" t="inlineStr"/>
    </row>
    <row r="8720" ht="15" customHeight="1">
      <c r="A8720" t="inlineStr">
        <is>
          <t>A 27722-2025</t>
        </is>
      </c>
      <c r="B8720" s="1" t="n">
        <v>45814</v>
      </c>
      <c r="C8720" s="1" t="n">
        <v>45971</v>
      </c>
      <c r="D8720" t="inlineStr">
        <is>
          <t>VÄSTERBOTTENS LÄN</t>
        </is>
      </c>
      <c r="E8720" t="inlineStr">
        <is>
          <t>ÅSELE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27614-2025</t>
        </is>
      </c>
      <c r="B8721" s="1" t="n">
        <v>45813.54122685185</v>
      </c>
      <c r="C8721" s="1" t="n">
        <v>45971</v>
      </c>
      <c r="D8721" t="inlineStr">
        <is>
          <t>VÄSTERBOTTENS LÄN</t>
        </is>
      </c>
      <c r="E8721" t="inlineStr">
        <is>
          <t>BJURHOLM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56258-2023</t>
        </is>
      </c>
      <c r="B8722" s="1" t="n">
        <v>45240.94754629629</v>
      </c>
      <c r="C8722" s="1" t="n">
        <v>45971</v>
      </c>
      <c r="D8722" t="inlineStr">
        <is>
          <t>VÄSTERBOTTENS LÄN</t>
        </is>
      </c>
      <c r="E8722" t="inlineStr">
        <is>
          <t>ÅSELE</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8159-2025</t>
        </is>
      </c>
      <c r="B8723" s="1" t="n">
        <v>45708.34431712963</v>
      </c>
      <c r="C8723" s="1" t="n">
        <v>45971</v>
      </c>
      <c r="D8723" t="inlineStr">
        <is>
          <t>VÄSTERBOTTENS LÄN</t>
        </is>
      </c>
      <c r="E8723" t="inlineStr">
        <is>
          <t>NORSJÖ</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8184-2025</t>
        </is>
      </c>
      <c r="B8724" s="1" t="n">
        <v>45708</v>
      </c>
      <c r="C8724" s="1" t="n">
        <v>45971</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8566-2025</t>
        </is>
      </c>
      <c r="B8725" s="1" t="n">
        <v>45709</v>
      </c>
      <c r="C8725" s="1" t="n">
        <v>45971</v>
      </c>
      <c r="D8725" t="inlineStr">
        <is>
          <t>VÄSTERBOTTENS LÄN</t>
        </is>
      </c>
      <c r="E8725" t="inlineStr">
        <is>
          <t>VILHELMINA</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8581-2025</t>
        </is>
      </c>
      <c r="B8726" s="1" t="n">
        <v>45709.67219907408</v>
      </c>
      <c r="C8726" s="1" t="n">
        <v>45971</v>
      </c>
      <c r="D8726" t="inlineStr">
        <is>
          <t>VÄSTERBOTTENS LÄN</t>
        </is>
      </c>
      <c r="E8726" t="inlineStr">
        <is>
          <t>UMEÅ</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8584-2025</t>
        </is>
      </c>
      <c r="B8727" s="1" t="n">
        <v>45709.67657407407</v>
      </c>
      <c r="C8727" s="1" t="n">
        <v>45971</v>
      </c>
      <c r="D8727" t="inlineStr">
        <is>
          <t>VÄSTERBOTTENS LÄN</t>
        </is>
      </c>
      <c r="E8727" t="inlineStr">
        <is>
          <t>UMEÅ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8585-2025</t>
        </is>
      </c>
      <c r="B8728" s="1" t="n">
        <v>45709</v>
      </c>
      <c r="C8728" s="1" t="n">
        <v>45971</v>
      </c>
      <c r="D8728" t="inlineStr">
        <is>
          <t>VÄSTERBOTTENS LÄN</t>
        </is>
      </c>
      <c r="E8728" t="inlineStr">
        <is>
          <t>VILHELMINA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8586-2025</t>
        </is>
      </c>
      <c r="B8729" s="1" t="n">
        <v>45709.67998842592</v>
      </c>
      <c r="C8729" s="1" t="n">
        <v>45971</v>
      </c>
      <c r="D8729" t="inlineStr">
        <is>
          <t>VÄSTERBOTTENS LÄN</t>
        </is>
      </c>
      <c r="E8729" t="inlineStr">
        <is>
          <t>UMEÅ</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8618-2025</t>
        </is>
      </c>
      <c r="B8730" s="1" t="n">
        <v>45711</v>
      </c>
      <c r="C8730" s="1" t="n">
        <v>45971</v>
      </c>
      <c r="D8730" t="inlineStr">
        <is>
          <t>VÄSTERBOTTENS LÄN</t>
        </is>
      </c>
      <c r="E8730" t="inlineStr">
        <is>
          <t>UMEÅ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34685-2023</t>
        </is>
      </c>
      <c r="B8731" s="1" t="n">
        <v>45140.96217592592</v>
      </c>
      <c r="C8731" s="1" t="n">
        <v>45971</v>
      </c>
      <c r="D8731" t="inlineStr">
        <is>
          <t>VÄSTERBOTTENS LÄN</t>
        </is>
      </c>
      <c r="E8731" t="inlineStr">
        <is>
          <t>NORDMALING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26031-2022</t>
        </is>
      </c>
      <c r="B8732" s="1" t="n">
        <v>44734.57721064815</v>
      </c>
      <c r="C8732" s="1" t="n">
        <v>45971</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16063-2021</t>
        </is>
      </c>
      <c r="B8733" s="1" t="n">
        <v>44287</v>
      </c>
      <c r="C8733" s="1" t="n">
        <v>45971</v>
      </c>
      <c r="D8733" t="inlineStr">
        <is>
          <t>VÄSTERBOTTENS LÄN</t>
        </is>
      </c>
      <c r="E8733" t="inlineStr">
        <is>
          <t>SORSELE</t>
        </is>
      </c>
      <c r="F8733" t="inlineStr">
        <is>
          <t>Övriga Aktiebolag</t>
        </is>
      </c>
      <c r="G8733" t="n">
        <v>17.5</v>
      </c>
      <c r="H8733" t="n">
        <v>0</v>
      </c>
      <c r="I8733" t="n">
        <v>0</v>
      </c>
      <c r="J8733" t="n">
        <v>0</v>
      </c>
      <c r="K8733" t="n">
        <v>0</v>
      </c>
      <c r="L8733" t="n">
        <v>0</v>
      </c>
      <c r="M8733" t="n">
        <v>0</v>
      </c>
      <c r="N8733" t="n">
        <v>0</v>
      </c>
      <c r="O8733" t="n">
        <v>0</v>
      </c>
      <c r="P8733" t="n">
        <v>0</v>
      </c>
      <c r="Q8733" t="n">
        <v>0</v>
      </c>
      <c r="R8733" s="2" t="inlineStr"/>
    </row>
    <row r="8734" ht="15" customHeight="1">
      <c r="A8734" t="inlineStr">
        <is>
          <t>A 27720-2025</t>
        </is>
      </c>
      <c r="B8734" s="1" t="n">
        <v>45814</v>
      </c>
      <c r="C8734" s="1" t="n">
        <v>45971</v>
      </c>
      <c r="D8734" t="inlineStr">
        <is>
          <t>VÄSTERBOTTENS LÄN</t>
        </is>
      </c>
      <c r="E8734" t="inlineStr">
        <is>
          <t>ÅSELE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27689-2025</t>
        </is>
      </c>
      <c r="B8735" s="1" t="n">
        <v>45813.65648148148</v>
      </c>
      <c r="C8735" s="1" t="n">
        <v>45971</v>
      </c>
      <c r="D8735" t="inlineStr">
        <is>
          <t>VÄSTERBOTTENS LÄN</t>
        </is>
      </c>
      <c r="E8735" t="inlineStr">
        <is>
          <t>UMEÅ</t>
        </is>
      </c>
      <c r="F8735" t="inlineStr">
        <is>
          <t>Holmen skog AB</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31698-2023</t>
        </is>
      </c>
      <c r="B8736" s="1" t="n">
        <v>45117</v>
      </c>
      <c r="C8736" s="1" t="n">
        <v>45971</v>
      </c>
      <c r="D8736" t="inlineStr">
        <is>
          <t>VÄSTERBOTTENS LÄN</t>
        </is>
      </c>
      <c r="E8736" t="inlineStr">
        <is>
          <t>LYCKSELE</t>
        </is>
      </c>
      <c r="F8736" t="inlineStr">
        <is>
          <t>Holmen skog AB</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48089-2024</t>
        </is>
      </c>
      <c r="B8737" s="1" t="n">
        <v>45589</v>
      </c>
      <c r="C8737" s="1" t="n">
        <v>45971</v>
      </c>
      <c r="D8737" t="inlineStr">
        <is>
          <t>VÄSTERBOTTENS LÄN</t>
        </is>
      </c>
      <c r="E8737" t="inlineStr">
        <is>
          <t>MALÅ</t>
        </is>
      </c>
      <c r="F8737" t="inlineStr">
        <is>
          <t>SCA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52143-2025</t>
        </is>
      </c>
      <c r="B8738" s="1" t="n">
        <v>45953.3316550926</v>
      </c>
      <c r="C8738" s="1" t="n">
        <v>45971</v>
      </c>
      <c r="D8738" t="inlineStr">
        <is>
          <t>VÄSTERBOTTENS LÄN</t>
        </is>
      </c>
      <c r="E8738" t="inlineStr">
        <is>
          <t>ÅSELE</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27479-2025</t>
        </is>
      </c>
      <c r="B8739" s="1" t="n">
        <v>45813.37797453703</v>
      </c>
      <c r="C8739" s="1" t="n">
        <v>45971</v>
      </c>
      <c r="D8739" t="inlineStr">
        <is>
          <t>VÄSTERBOTTENS LÄN</t>
        </is>
      </c>
      <c r="E8739" t="inlineStr">
        <is>
          <t>ROBERTSFORS</t>
        </is>
      </c>
      <c r="F8739" t="inlineStr">
        <is>
          <t>Holmen skog AB</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43583-2025</t>
        </is>
      </c>
      <c r="B8740" s="1" t="n">
        <v>45911.6499537037</v>
      </c>
      <c r="C8740" s="1" t="n">
        <v>45971</v>
      </c>
      <c r="D8740" t="inlineStr">
        <is>
          <t>VÄSTERBOTTENS LÄN</t>
        </is>
      </c>
      <c r="E8740" t="inlineStr">
        <is>
          <t>LYCKSELE</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43596-2025</t>
        </is>
      </c>
      <c r="B8741" s="1" t="n">
        <v>45911.66240740741</v>
      </c>
      <c r="C8741" s="1" t="n">
        <v>45971</v>
      </c>
      <c r="D8741" t="inlineStr">
        <is>
          <t>VÄSTERBOTTENS LÄN</t>
        </is>
      </c>
      <c r="E8741" t="inlineStr">
        <is>
          <t>SKELLEFTEÅ</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27715-2025</t>
        </is>
      </c>
      <c r="B8742" s="1" t="n">
        <v>45813.92237268519</v>
      </c>
      <c r="C8742" s="1" t="n">
        <v>45971</v>
      </c>
      <c r="D8742" t="inlineStr">
        <is>
          <t>VÄSTERBOTTENS LÄN</t>
        </is>
      </c>
      <c r="E8742" t="inlineStr">
        <is>
          <t>SKELLEFTEÅ</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52339-2025</t>
        </is>
      </c>
      <c r="B8743" s="1" t="n">
        <v>45953.69837962963</v>
      </c>
      <c r="C8743" s="1" t="n">
        <v>45971</v>
      </c>
      <c r="D8743" t="inlineStr">
        <is>
          <t>VÄSTERBOTTENS LÄN</t>
        </is>
      </c>
      <c r="E8743" t="inlineStr">
        <is>
          <t>DOROTEA</t>
        </is>
      </c>
      <c r="F8743" t="inlineStr">
        <is>
          <t>SCA</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19585-2024</t>
        </is>
      </c>
      <c r="B8744" s="1" t="n">
        <v>45429</v>
      </c>
      <c r="C8744" s="1" t="n">
        <v>45971</v>
      </c>
      <c r="D8744" t="inlineStr">
        <is>
          <t>VÄSTERBOTTENS LÄN</t>
        </is>
      </c>
      <c r="E8744" t="inlineStr">
        <is>
          <t>VILHELMINA</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52355-2025</t>
        </is>
      </c>
      <c r="B8745" s="1" t="n">
        <v>45953.79050925926</v>
      </c>
      <c r="C8745" s="1" t="n">
        <v>45971</v>
      </c>
      <c r="D8745" t="inlineStr">
        <is>
          <t>VÄSTERBOTTENS LÄN</t>
        </is>
      </c>
      <c r="E8745" t="inlineStr">
        <is>
          <t>BJURHOLM</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27695-2025</t>
        </is>
      </c>
      <c r="B8746" s="1" t="n">
        <v>45813.65725694445</v>
      </c>
      <c r="C8746" s="1" t="n">
        <v>45971</v>
      </c>
      <c r="D8746" t="inlineStr">
        <is>
          <t>VÄSTERBOTTENS LÄN</t>
        </is>
      </c>
      <c r="E8746" t="inlineStr">
        <is>
          <t>VINDELN</t>
        </is>
      </c>
      <c r="F8746" t="inlineStr">
        <is>
          <t>SCA</t>
        </is>
      </c>
      <c r="G8746" t="n">
        <v>20.5</v>
      </c>
      <c r="H8746" t="n">
        <v>0</v>
      </c>
      <c r="I8746" t="n">
        <v>0</v>
      </c>
      <c r="J8746" t="n">
        <v>0</v>
      </c>
      <c r="K8746" t="n">
        <v>0</v>
      </c>
      <c r="L8746" t="n">
        <v>0</v>
      </c>
      <c r="M8746" t="n">
        <v>0</v>
      </c>
      <c r="N8746" t="n">
        <v>0</v>
      </c>
      <c r="O8746" t="n">
        <v>0</v>
      </c>
      <c r="P8746" t="n">
        <v>0</v>
      </c>
      <c r="Q8746" t="n">
        <v>0</v>
      </c>
      <c r="R8746" s="2" t="inlineStr"/>
    </row>
    <row r="8747" ht="15" customHeight="1">
      <c r="A8747" t="inlineStr">
        <is>
          <t>A 27721-2025</t>
        </is>
      </c>
      <c r="B8747" s="1" t="n">
        <v>45814</v>
      </c>
      <c r="C8747" s="1" t="n">
        <v>45971</v>
      </c>
      <c r="D8747" t="inlineStr">
        <is>
          <t>VÄSTERBOTTENS LÄN</t>
        </is>
      </c>
      <c r="E8747" t="inlineStr">
        <is>
          <t>ÅSELE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27723-2025</t>
        </is>
      </c>
      <c r="B8748" s="1" t="n">
        <v>45814.39700231481</v>
      </c>
      <c r="C8748" s="1" t="n">
        <v>45971</v>
      </c>
      <c r="D8748" t="inlineStr">
        <is>
          <t>VÄSTERBOTTENS LÄN</t>
        </is>
      </c>
      <c r="E8748" t="inlineStr">
        <is>
          <t>ÅSELE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8035-2024</t>
        </is>
      </c>
      <c r="B8749" s="1" t="n">
        <v>45350.95329861111</v>
      </c>
      <c r="C8749" s="1" t="n">
        <v>45971</v>
      </c>
      <c r="D8749" t="inlineStr">
        <is>
          <t>VÄSTERBOTTENS LÄN</t>
        </is>
      </c>
      <c r="E8749" t="inlineStr">
        <is>
          <t>LYCKSELE</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27643-2025</t>
        </is>
      </c>
      <c r="B8750" s="1" t="n">
        <v>45813.59416666667</v>
      </c>
      <c r="C8750" s="1" t="n">
        <v>45971</v>
      </c>
      <c r="D8750" t="inlineStr">
        <is>
          <t>VÄSTERBOTTENS LÄN</t>
        </is>
      </c>
      <c r="E8750" t="inlineStr">
        <is>
          <t>LYCKSELE</t>
        </is>
      </c>
      <c r="F8750" t="inlineStr">
        <is>
          <t>SCA</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52558-2025</t>
        </is>
      </c>
      <c r="B8751" s="1" t="n">
        <v>45954.56898148148</v>
      </c>
      <c r="C8751" s="1" t="n">
        <v>45971</v>
      </c>
      <c r="D8751" t="inlineStr">
        <is>
          <t>VÄSTERBOTTENS LÄN</t>
        </is>
      </c>
      <c r="E8751" t="inlineStr">
        <is>
          <t>SKELLEFTEÅ</t>
        </is>
      </c>
      <c r="F8751" t="inlineStr">
        <is>
          <t>Holmen skog AB</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52192-2025</t>
        </is>
      </c>
      <c r="B8752" s="1" t="n">
        <v>45953.38861111111</v>
      </c>
      <c r="C8752" s="1" t="n">
        <v>45971</v>
      </c>
      <c r="D8752" t="inlineStr">
        <is>
          <t>VÄSTERBOTTENS LÄN</t>
        </is>
      </c>
      <c r="E8752" t="inlineStr">
        <is>
          <t>ÅSELE</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52201-2025</t>
        </is>
      </c>
      <c r="B8753" s="1" t="n">
        <v>45953.40626157408</v>
      </c>
      <c r="C8753" s="1" t="n">
        <v>45971</v>
      </c>
      <c r="D8753" t="inlineStr">
        <is>
          <t>VÄSTERBOTTENS LÄN</t>
        </is>
      </c>
      <c r="E8753" t="inlineStr">
        <is>
          <t>NORDMALING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27645-2025</t>
        </is>
      </c>
      <c r="B8754" s="1" t="n">
        <v>45813.59431712963</v>
      </c>
      <c r="C8754" s="1" t="n">
        <v>45971</v>
      </c>
      <c r="D8754" t="inlineStr">
        <is>
          <t>VÄSTERBOTTENS LÄN</t>
        </is>
      </c>
      <c r="E8754" t="inlineStr">
        <is>
          <t>VINDELN</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43390-2025</t>
        </is>
      </c>
      <c r="B8755" s="1" t="n">
        <v>45911.36674768518</v>
      </c>
      <c r="C8755" s="1" t="n">
        <v>45971</v>
      </c>
      <c r="D8755" t="inlineStr">
        <is>
          <t>VÄSTERBOTTENS LÄN</t>
        </is>
      </c>
      <c r="E8755" t="inlineStr">
        <is>
          <t>VINDELN</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29115-2021</t>
        </is>
      </c>
      <c r="B8756" s="1" t="n">
        <v>44358</v>
      </c>
      <c r="C8756" s="1" t="n">
        <v>45971</v>
      </c>
      <c r="D8756" t="inlineStr">
        <is>
          <t>VÄSTERBOTTENS LÄN</t>
        </is>
      </c>
      <c r="E8756" t="inlineStr">
        <is>
          <t>SKELLEFTEÅ</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14039-2024</t>
        </is>
      </c>
      <c r="B8757" s="1" t="n">
        <v>45392</v>
      </c>
      <c r="C8757" s="1" t="n">
        <v>45971</v>
      </c>
      <c r="D8757" t="inlineStr">
        <is>
          <t>VÄSTERBOTTENS LÄN</t>
        </is>
      </c>
      <c r="E8757" t="inlineStr">
        <is>
          <t>UMEÅ</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27433-2025</t>
        </is>
      </c>
      <c r="B8758" s="1" t="n">
        <v>45813.31068287037</v>
      </c>
      <c r="C8758" s="1" t="n">
        <v>45971</v>
      </c>
      <c r="D8758" t="inlineStr">
        <is>
          <t>VÄSTERBOTTENS LÄN</t>
        </is>
      </c>
      <c r="E8758" t="inlineStr">
        <is>
          <t>SKELLEFTEÅ</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27601-2025</t>
        </is>
      </c>
      <c r="B8759" s="1" t="n">
        <v>45813.52791666667</v>
      </c>
      <c r="C8759" s="1" t="n">
        <v>45971</v>
      </c>
      <c r="D8759" t="inlineStr">
        <is>
          <t>VÄSTERBOTTENS LÄN</t>
        </is>
      </c>
      <c r="E8759" t="inlineStr">
        <is>
          <t>VILHELMINA</t>
        </is>
      </c>
      <c r="F8759" t="inlineStr">
        <is>
          <t>Övriga statliga verk och myndigheter</t>
        </is>
      </c>
      <c r="G8759" t="n">
        <v>36.5</v>
      </c>
      <c r="H8759" t="n">
        <v>0</v>
      </c>
      <c r="I8759" t="n">
        <v>0</v>
      </c>
      <c r="J8759" t="n">
        <v>0</v>
      </c>
      <c r="K8759" t="n">
        <v>0</v>
      </c>
      <c r="L8759" t="n">
        <v>0</v>
      </c>
      <c r="M8759" t="n">
        <v>0</v>
      </c>
      <c r="N8759" t="n">
        <v>0</v>
      </c>
      <c r="O8759" t="n">
        <v>0</v>
      </c>
      <c r="P8759" t="n">
        <v>0</v>
      </c>
      <c r="Q8759" t="n">
        <v>0</v>
      </c>
      <c r="R8759" s="2" t="inlineStr"/>
    </row>
    <row r="8760" ht="15" customHeight="1">
      <c r="A8760" t="inlineStr">
        <is>
          <t>A 45727-2023</t>
        </is>
      </c>
      <c r="B8760" s="1" t="n">
        <v>45189</v>
      </c>
      <c r="C8760" s="1" t="n">
        <v>45971</v>
      </c>
      <c r="D8760" t="inlineStr">
        <is>
          <t>VÄSTERBOTTENS LÄN</t>
        </is>
      </c>
      <c r="E8760" t="inlineStr">
        <is>
          <t>SKELLEFTEÅ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43538-2025</t>
        </is>
      </c>
      <c r="B8761" s="1" t="n">
        <v>45911.60041666667</v>
      </c>
      <c r="C8761" s="1" t="n">
        <v>45971</v>
      </c>
      <c r="D8761" t="inlineStr">
        <is>
          <t>VÄSTERBOTTENS LÄN</t>
        </is>
      </c>
      <c r="E8761" t="inlineStr">
        <is>
          <t>NORDMALING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43547-2025</t>
        </is>
      </c>
      <c r="B8762" s="1" t="n">
        <v>45911.61565972222</v>
      </c>
      <c r="C8762" s="1" t="n">
        <v>45971</v>
      </c>
      <c r="D8762" t="inlineStr">
        <is>
          <t>VÄSTERBOTTENS LÄN</t>
        </is>
      </c>
      <c r="E8762" t="inlineStr">
        <is>
          <t>ÅSELE</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45744-2023</t>
        </is>
      </c>
      <c r="B8763" s="1" t="n">
        <v>45193</v>
      </c>
      <c r="C8763" s="1" t="n">
        <v>45971</v>
      </c>
      <c r="D8763" t="inlineStr">
        <is>
          <t>VÄSTERBOTTENS LÄN</t>
        </is>
      </c>
      <c r="E8763" t="inlineStr">
        <is>
          <t>MALÅ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43600-2025</t>
        </is>
      </c>
      <c r="B8764" s="1" t="n">
        <v>45911.66473379629</v>
      </c>
      <c r="C8764" s="1" t="n">
        <v>45971</v>
      </c>
      <c r="D8764" t="inlineStr">
        <is>
          <t>VÄSTERBOTTENS LÄN</t>
        </is>
      </c>
      <c r="E8764" t="inlineStr">
        <is>
          <t>SKELLEFTEÅ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43823-2025</t>
        </is>
      </c>
      <c r="B8765" s="1" t="n">
        <v>45912.61074074074</v>
      </c>
      <c r="C8765" s="1" t="n">
        <v>45971</v>
      </c>
      <c r="D8765" t="inlineStr">
        <is>
          <t>VÄSTERBOTTENS LÄN</t>
        </is>
      </c>
      <c r="E8765" t="inlineStr">
        <is>
          <t>NORSJÖ</t>
        </is>
      </c>
      <c r="F8765" t="inlineStr">
        <is>
          <t>Sveaskog</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20519-2022</t>
        </is>
      </c>
      <c r="B8766" s="1" t="n">
        <v>44699</v>
      </c>
      <c r="C8766" s="1" t="n">
        <v>45971</v>
      </c>
      <c r="D8766" t="inlineStr">
        <is>
          <t>VÄSTERBOTTENS LÄN</t>
        </is>
      </c>
      <c r="E8766" t="inlineStr">
        <is>
          <t>ROBERTSFORS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27621-2025</t>
        </is>
      </c>
      <c r="B8767" s="1" t="n">
        <v>45813.55248842593</v>
      </c>
      <c r="C8767" s="1" t="n">
        <v>45971</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9470-2024</t>
        </is>
      </c>
      <c r="B8768" s="1" t="n">
        <v>45359.55322916667</v>
      </c>
      <c r="C8768" s="1" t="n">
        <v>45971</v>
      </c>
      <c r="D8768" t="inlineStr">
        <is>
          <t>VÄSTERBOTTENS LÄN</t>
        </is>
      </c>
      <c r="E8768" t="inlineStr">
        <is>
          <t>SKELLEFTEÅ</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40963-2025</t>
        </is>
      </c>
      <c r="B8769" s="1" t="n">
        <v>45897</v>
      </c>
      <c r="C8769" s="1" t="n">
        <v>45971</v>
      </c>
      <c r="D8769" t="inlineStr">
        <is>
          <t>VÄSTERBOTTENS LÄN</t>
        </is>
      </c>
      <c r="E8769" t="inlineStr">
        <is>
          <t>DOROTEA</t>
        </is>
      </c>
      <c r="G8769" t="n">
        <v>29.5</v>
      </c>
      <c r="H8769" t="n">
        <v>0</v>
      </c>
      <c r="I8769" t="n">
        <v>0</v>
      </c>
      <c r="J8769" t="n">
        <v>0</v>
      </c>
      <c r="K8769" t="n">
        <v>0</v>
      </c>
      <c r="L8769" t="n">
        <v>0</v>
      </c>
      <c r="M8769" t="n">
        <v>0</v>
      </c>
      <c r="N8769" t="n">
        <v>0</v>
      </c>
      <c r="O8769" t="n">
        <v>0</v>
      </c>
      <c r="P8769" t="n">
        <v>0</v>
      </c>
      <c r="Q8769" t="n">
        <v>0</v>
      </c>
      <c r="R8769" s="2" t="inlineStr"/>
    </row>
    <row r="8770" ht="15" customHeight="1">
      <c r="A8770" t="inlineStr">
        <is>
          <t>A 30485-2023</t>
        </is>
      </c>
      <c r="B8770" s="1" t="n">
        <v>45111.60275462963</v>
      </c>
      <c r="C8770" s="1" t="n">
        <v>45971</v>
      </c>
      <c r="D8770" t="inlineStr">
        <is>
          <t>VÄSTERBOTTENS LÄN</t>
        </is>
      </c>
      <c r="E8770" t="inlineStr">
        <is>
          <t>SKELLEFTEÅ</t>
        </is>
      </c>
      <c r="F8770" t="inlineStr">
        <is>
          <t>Sveaskog</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38577-2023</t>
        </is>
      </c>
      <c r="B8771" s="1" t="n">
        <v>45161</v>
      </c>
      <c r="C8771" s="1" t="n">
        <v>45971</v>
      </c>
      <c r="D8771" t="inlineStr">
        <is>
          <t>VÄSTERBOTTENS LÄN</t>
        </is>
      </c>
      <c r="E8771" t="inlineStr">
        <is>
          <t>SKELLEFTEÅ</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27464-2025</t>
        </is>
      </c>
      <c r="B8772" s="1" t="n">
        <v>45813</v>
      </c>
      <c r="C8772" s="1" t="n">
        <v>45971</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27477-2025</t>
        </is>
      </c>
      <c r="B8773" s="1" t="n">
        <v>45813.37619212963</v>
      </c>
      <c r="C8773" s="1" t="n">
        <v>45971</v>
      </c>
      <c r="D8773" t="inlineStr">
        <is>
          <t>VÄSTERBOTTENS LÄN</t>
        </is>
      </c>
      <c r="E8773" t="inlineStr">
        <is>
          <t>SKELLEFTEÅ</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27541-2025</t>
        </is>
      </c>
      <c r="B8774" s="1" t="n">
        <v>45813.46613425926</v>
      </c>
      <c r="C8774" s="1" t="n">
        <v>45971</v>
      </c>
      <c r="D8774" t="inlineStr">
        <is>
          <t>VÄSTERBOTTENS LÄN</t>
        </is>
      </c>
      <c r="E8774" t="inlineStr">
        <is>
          <t>ROBERTSFORS</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16642-2025</t>
        </is>
      </c>
      <c r="B8775" s="1" t="n">
        <v>45754.37208333334</v>
      </c>
      <c r="C8775" s="1" t="n">
        <v>45971</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7981-2025</t>
        </is>
      </c>
      <c r="B8776" s="1" t="n">
        <v>45707.46899305555</v>
      </c>
      <c r="C8776" s="1" t="n">
        <v>45971</v>
      </c>
      <c r="D8776" t="inlineStr">
        <is>
          <t>VÄSTERBOTTENS LÄN</t>
        </is>
      </c>
      <c r="E8776" t="inlineStr">
        <is>
          <t>SKELLEFTEÅ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35168-2024</t>
        </is>
      </c>
      <c r="B8777" s="1" t="n">
        <v>45530.40608796296</v>
      </c>
      <c r="C8777" s="1" t="n">
        <v>45971</v>
      </c>
      <c r="D8777" t="inlineStr">
        <is>
          <t>VÄSTERBOTTENS LÄN</t>
        </is>
      </c>
      <c r="E8777" t="inlineStr">
        <is>
          <t>SKELLEFTEÅ</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27437-2025</t>
        </is>
      </c>
      <c r="B8778" s="1" t="n">
        <v>45813.31398148148</v>
      </c>
      <c r="C8778" s="1" t="n">
        <v>45971</v>
      </c>
      <c r="D8778" t="inlineStr">
        <is>
          <t>VÄSTERBOTTENS LÄN</t>
        </is>
      </c>
      <c r="E8778" t="inlineStr">
        <is>
          <t>SKELLEFTEÅ</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43687-2025</t>
        </is>
      </c>
      <c r="B8779" s="1" t="n">
        <v>45912</v>
      </c>
      <c r="C8779" s="1" t="n">
        <v>45971</v>
      </c>
      <c r="D8779" t="inlineStr">
        <is>
          <t>VÄSTERBOTTENS LÄN</t>
        </is>
      </c>
      <c r="E8779" t="inlineStr">
        <is>
          <t>UMEÅ</t>
        </is>
      </c>
      <c r="F8779" t="inlineStr">
        <is>
          <t>Holmen skog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43697-2025</t>
        </is>
      </c>
      <c r="B8780" s="1" t="n">
        <v>45912.39591435185</v>
      </c>
      <c r="C8780" s="1" t="n">
        <v>45971</v>
      </c>
      <c r="D8780" t="inlineStr">
        <is>
          <t>VÄSTERBOTTENS LÄN</t>
        </is>
      </c>
      <c r="E8780" t="inlineStr">
        <is>
          <t>UMEÅ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16659-2025</t>
        </is>
      </c>
      <c r="B8781" s="1" t="n">
        <v>45754.41245370371</v>
      </c>
      <c r="C8781" s="1" t="n">
        <v>45971</v>
      </c>
      <c r="D8781" t="inlineStr">
        <is>
          <t>VÄSTERBOTTENS LÄN</t>
        </is>
      </c>
      <c r="E8781" t="inlineStr">
        <is>
          <t>NORSJÖ</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16663-2025</t>
        </is>
      </c>
      <c r="B8782" s="1" t="n">
        <v>45754.41936342593</v>
      </c>
      <c r="C8782" s="1" t="n">
        <v>45971</v>
      </c>
      <c r="D8782" t="inlineStr">
        <is>
          <t>VÄSTERBOTTENS LÄN</t>
        </is>
      </c>
      <c r="E8782" t="inlineStr">
        <is>
          <t>SKELLEFTEÅ</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25596-2022</t>
        </is>
      </c>
      <c r="B8783" s="1" t="n">
        <v>44732</v>
      </c>
      <c r="C8783" s="1" t="n">
        <v>45971</v>
      </c>
      <c r="D8783" t="inlineStr">
        <is>
          <t>VÄSTERBOTTENS LÄN</t>
        </is>
      </c>
      <c r="E8783" t="inlineStr">
        <is>
          <t>SKELLEFTEÅ</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1022-2025</t>
        </is>
      </c>
      <c r="B8784" s="1" t="n">
        <v>45665</v>
      </c>
      <c r="C8784" s="1" t="n">
        <v>45971</v>
      </c>
      <c r="D8784" t="inlineStr">
        <is>
          <t>VÄSTERBOTTENS LÄN</t>
        </is>
      </c>
      <c r="E8784" t="inlineStr">
        <is>
          <t>SKELLEFTEÅ</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19219-2025</t>
        </is>
      </c>
      <c r="B8785" s="1" t="n">
        <v>45769.44732638889</v>
      </c>
      <c r="C8785" s="1" t="n">
        <v>45971</v>
      </c>
      <c r="D8785" t="inlineStr">
        <is>
          <t>VÄSTERBOTTENS LÄN</t>
        </is>
      </c>
      <c r="E8785" t="inlineStr">
        <is>
          <t>UMEÅ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27945-2025</t>
        </is>
      </c>
      <c r="B8786" s="1" t="n">
        <v>45817</v>
      </c>
      <c r="C8786" s="1" t="n">
        <v>45971</v>
      </c>
      <c r="D8786" t="inlineStr">
        <is>
          <t>VÄSTERBOTTENS LÄN</t>
        </is>
      </c>
      <c r="E8786" t="inlineStr">
        <is>
          <t>VILHELMINA</t>
        </is>
      </c>
      <c r="F8786" t="inlineStr">
        <is>
          <t>SCA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43518-2025</t>
        </is>
      </c>
      <c r="B8787" s="1" t="n">
        <v>45911.57329861111</v>
      </c>
      <c r="C8787" s="1" t="n">
        <v>45971</v>
      </c>
      <c r="D8787" t="inlineStr">
        <is>
          <t>VÄSTERBOTTENS LÄN</t>
        </is>
      </c>
      <c r="E8787" t="inlineStr">
        <is>
          <t>ÅSELE</t>
        </is>
      </c>
      <c r="F8787" t="inlineStr">
        <is>
          <t>SCA</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28014-2025</t>
        </is>
      </c>
      <c r="B8788" s="1" t="n">
        <v>45817</v>
      </c>
      <c r="C8788" s="1" t="n">
        <v>45971</v>
      </c>
      <c r="D8788" t="inlineStr">
        <is>
          <t>VÄSTERBOTTENS LÄN</t>
        </is>
      </c>
      <c r="E8788" t="inlineStr">
        <is>
          <t>VINDELN</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52326-2025</t>
        </is>
      </c>
      <c r="B8789" s="1" t="n">
        <v>45953.67081018518</v>
      </c>
      <c r="C8789" s="1" t="n">
        <v>45971</v>
      </c>
      <c r="D8789" t="inlineStr">
        <is>
          <t>VÄSTERBOTTENS LÄN</t>
        </is>
      </c>
      <c r="E8789" t="inlineStr">
        <is>
          <t>ÅSELE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52632-2025</t>
        </is>
      </c>
      <c r="B8790" s="1" t="n">
        <v>45954.71922453704</v>
      </c>
      <c r="C8790" s="1" t="n">
        <v>45971</v>
      </c>
      <c r="D8790" t="inlineStr">
        <is>
          <t>VÄSTERBOTTENS LÄN</t>
        </is>
      </c>
      <c r="E8790" t="inlineStr">
        <is>
          <t>ÅSELE</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43660-2025</t>
        </is>
      </c>
      <c r="B8791" s="1" t="n">
        <v>45912</v>
      </c>
      <c r="C8791" s="1" t="n">
        <v>45971</v>
      </c>
      <c r="D8791" t="inlineStr">
        <is>
          <t>VÄSTERBOTTENS LÄN</t>
        </is>
      </c>
      <c r="E8791" t="inlineStr">
        <is>
          <t>LYCKSELE</t>
        </is>
      </c>
      <c r="F8791" t="inlineStr">
        <is>
          <t>Sveaskog</t>
        </is>
      </c>
      <c r="G8791" t="n">
        <v>40</v>
      </c>
      <c r="H8791" t="n">
        <v>0</v>
      </c>
      <c r="I8791" t="n">
        <v>0</v>
      </c>
      <c r="J8791" t="n">
        <v>0</v>
      </c>
      <c r="K8791" t="n">
        <v>0</v>
      </c>
      <c r="L8791" t="n">
        <v>0</v>
      </c>
      <c r="M8791" t="n">
        <v>0</v>
      </c>
      <c r="N8791" t="n">
        <v>0</v>
      </c>
      <c r="O8791" t="n">
        <v>0</v>
      </c>
      <c r="P8791" t="n">
        <v>0</v>
      </c>
      <c r="Q8791" t="n">
        <v>0</v>
      </c>
      <c r="R8791" s="2" t="inlineStr"/>
    </row>
    <row r="8792" ht="15" customHeight="1">
      <c r="A8792" t="inlineStr">
        <is>
          <t>A 43685-2025</t>
        </is>
      </c>
      <c r="B8792" s="1" t="n">
        <v>45912.38184027778</v>
      </c>
      <c r="C8792" s="1" t="n">
        <v>45971</v>
      </c>
      <c r="D8792" t="inlineStr">
        <is>
          <t>VÄSTERBOTTENS LÄN</t>
        </is>
      </c>
      <c r="E8792" t="inlineStr">
        <is>
          <t>VÄNNÄS</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28221-2025</t>
        </is>
      </c>
      <c r="B8793" s="1" t="n">
        <v>45818</v>
      </c>
      <c r="C8793" s="1" t="n">
        <v>45971</v>
      </c>
      <c r="D8793" t="inlineStr">
        <is>
          <t>VÄSTERBOTTENS LÄN</t>
        </is>
      </c>
      <c r="E8793" t="inlineStr">
        <is>
          <t>SKELLEFTEÅ</t>
        </is>
      </c>
      <c r="F8793" t="inlineStr">
        <is>
          <t>Holmen skog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56663-2024</t>
        </is>
      </c>
      <c r="B8794" s="1" t="n">
        <v>45625</v>
      </c>
      <c r="C8794" s="1" t="n">
        <v>45971</v>
      </c>
      <c r="D8794" t="inlineStr">
        <is>
          <t>VÄSTERBOTTENS LÄN</t>
        </is>
      </c>
      <c r="E8794" t="inlineStr">
        <is>
          <t>MALÅ</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28348-2025</t>
        </is>
      </c>
      <c r="B8795" s="1" t="n">
        <v>45818.71905092592</v>
      </c>
      <c r="C8795" s="1" t="n">
        <v>45971</v>
      </c>
      <c r="D8795" t="inlineStr">
        <is>
          <t>VÄSTERBOTTENS LÄN</t>
        </is>
      </c>
      <c r="E8795" t="inlineStr">
        <is>
          <t>DOROTEA</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43743-2025</t>
        </is>
      </c>
      <c r="B8796" s="1" t="n">
        <v>45912.45751157407</v>
      </c>
      <c r="C8796" s="1" t="n">
        <v>45971</v>
      </c>
      <c r="D8796" t="inlineStr">
        <is>
          <t>VÄSTERBOTTENS LÄN</t>
        </is>
      </c>
      <c r="E8796" t="inlineStr">
        <is>
          <t>VINDELN</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34484-2023</t>
        </is>
      </c>
      <c r="B8797" s="1" t="n">
        <v>45139.94689814815</v>
      </c>
      <c r="C8797" s="1" t="n">
        <v>45971</v>
      </c>
      <c r="D8797" t="inlineStr">
        <is>
          <t>VÄSTERBOTTENS LÄN</t>
        </is>
      </c>
      <c r="E8797" t="inlineStr">
        <is>
          <t>NORDMALING</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43890-2025</t>
        </is>
      </c>
      <c r="B8798" s="1" t="n">
        <v>45912.7069675926</v>
      </c>
      <c r="C8798" s="1" t="n">
        <v>45971</v>
      </c>
      <c r="D8798" t="inlineStr">
        <is>
          <t>VÄSTERBOTTENS LÄN</t>
        </is>
      </c>
      <c r="E8798" t="inlineStr">
        <is>
          <t>VINDELN</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52299-2025</t>
        </is>
      </c>
      <c r="B8799" s="1" t="n">
        <v>45953.61414351852</v>
      </c>
      <c r="C8799" s="1" t="n">
        <v>45971</v>
      </c>
      <c r="D8799" t="inlineStr">
        <is>
          <t>VÄSTERBOTTENS LÄN</t>
        </is>
      </c>
      <c r="E8799" t="inlineStr">
        <is>
          <t>SKELLEFTEÅ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28156-2025</t>
        </is>
      </c>
      <c r="B8800" s="1" t="n">
        <v>45818.36496527777</v>
      </c>
      <c r="C8800" s="1" t="n">
        <v>45971</v>
      </c>
      <c r="D8800" t="inlineStr">
        <is>
          <t>VÄSTERBOTTENS LÄN</t>
        </is>
      </c>
      <c r="E8800" t="inlineStr">
        <is>
          <t>DOROTEA</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21081-2024</t>
        </is>
      </c>
      <c r="B8801" s="1" t="n">
        <v>45439</v>
      </c>
      <c r="C8801" s="1" t="n">
        <v>45971</v>
      </c>
      <c r="D8801" t="inlineStr">
        <is>
          <t>VÄSTERBOTTENS LÄN</t>
        </is>
      </c>
      <c r="E8801" t="inlineStr">
        <is>
          <t>UMEÅ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36042-2023</t>
        </is>
      </c>
      <c r="B8802" s="1" t="n">
        <v>45149</v>
      </c>
      <c r="C8802" s="1" t="n">
        <v>45971</v>
      </c>
      <c r="D8802" t="inlineStr">
        <is>
          <t>VÄSTERBOTTENS LÄN</t>
        </is>
      </c>
      <c r="E8802" t="inlineStr">
        <is>
          <t>ÅSELE</t>
        </is>
      </c>
      <c r="F8802" t="inlineStr">
        <is>
          <t>Holmen skog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36054-2023</t>
        </is>
      </c>
      <c r="B8803" s="1" t="n">
        <v>45148</v>
      </c>
      <c r="C8803" s="1" t="n">
        <v>45971</v>
      </c>
      <c r="D8803" t="inlineStr">
        <is>
          <t>VÄSTERBOTTENS LÄN</t>
        </is>
      </c>
      <c r="E8803" t="inlineStr">
        <is>
          <t>MALÅ</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52334-2025</t>
        </is>
      </c>
      <c r="B8804" s="1" t="n">
        <v>45953.68225694444</v>
      </c>
      <c r="C8804" s="1" t="n">
        <v>45971</v>
      </c>
      <c r="D8804" t="inlineStr">
        <is>
          <t>VÄSTERBOTTENS LÄN</t>
        </is>
      </c>
      <c r="E8804" t="inlineStr">
        <is>
          <t>VILHELMINA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12036-2025</t>
        </is>
      </c>
      <c r="B8805" s="1" t="n">
        <v>45728.6524537037</v>
      </c>
      <c r="C8805" s="1" t="n">
        <v>45971</v>
      </c>
      <c r="D8805" t="inlineStr">
        <is>
          <t>VÄSTERBOTTENS LÄN</t>
        </is>
      </c>
      <c r="E8805" t="inlineStr">
        <is>
          <t>VINDELN</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28330-2025</t>
        </is>
      </c>
      <c r="B8806" s="1" t="n">
        <v>45818.65878472223</v>
      </c>
      <c r="C8806" s="1" t="n">
        <v>45971</v>
      </c>
      <c r="D8806" t="inlineStr">
        <is>
          <t>VÄSTERBOTTENS LÄN</t>
        </is>
      </c>
      <c r="E8806" t="inlineStr">
        <is>
          <t>ROBERTSFORS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35374-2024</t>
        </is>
      </c>
      <c r="B8807" s="1" t="n">
        <v>45531.37258101852</v>
      </c>
      <c r="C8807" s="1" t="n">
        <v>45971</v>
      </c>
      <c r="D8807" t="inlineStr">
        <is>
          <t>VÄSTERBOTTENS LÄN</t>
        </is>
      </c>
      <c r="E8807" t="inlineStr">
        <is>
          <t>STORUMAN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46614-2023</t>
        </is>
      </c>
      <c r="B8808" s="1" t="n">
        <v>45198.40074074074</v>
      </c>
      <c r="C8808" s="1" t="n">
        <v>45971</v>
      </c>
      <c r="D8808" t="inlineStr">
        <is>
          <t>VÄSTERBOTTENS LÄN</t>
        </is>
      </c>
      <c r="E8808" t="inlineStr">
        <is>
          <t>BJURHOLM</t>
        </is>
      </c>
      <c r="F8808" t="inlineStr">
        <is>
          <t>Holmen skog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28002-2025</t>
        </is>
      </c>
      <c r="B8809" s="1" t="n">
        <v>45817.59523148148</v>
      </c>
      <c r="C8809" s="1" t="n">
        <v>45971</v>
      </c>
      <c r="D8809" t="inlineStr">
        <is>
          <t>VÄSTERBOTTENS LÄN</t>
        </is>
      </c>
      <c r="E8809" t="inlineStr">
        <is>
          <t>DOROTEA</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43680-2025</t>
        </is>
      </c>
      <c r="B8810" s="1" t="n">
        <v>45912.36884259259</v>
      </c>
      <c r="C8810" s="1" t="n">
        <v>45971</v>
      </c>
      <c r="D8810" t="inlineStr">
        <is>
          <t>VÄSTERBOTTENS LÄN</t>
        </is>
      </c>
      <c r="E8810" t="inlineStr">
        <is>
          <t>LYCKSELE</t>
        </is>
      </c>
      <c r="F8810" t="inlineStr">
        <is>
          <t>Sveaskog</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17628-2025</t>
        </is>
      </c>
      <c r="B8811" s="1" t="n">
        <v>45757.97299768519</v>
      </c>
      <c r="C8811" s="1" t="n">
        <v>45971</v>
      </c>
      <c r="D8811" t="inlineStr">
        <is>
          <t>VÄSTERBOTTENS LÄN</t>
        </is>
      </c>
      <c r="E8811" t="inlineStr">
        <is>
          <t>SKELLEFTEÅ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20378-2025</t>
        </is>
      </c>
      <c r="B8812" s="1" t="n">
        <v>45775.42729166667</v>
      </c>
      <c r="C8812" s="1" t="n">
        <v>45971</v>
      </c>
      <c r="D8812" t="inlineStr">
        <is>
          <t>VÄSTERBOTTENS LÄN</t>
        </is>
      </c>
      <c r="E8812" t="inlineStr">
        <is>
          <t>SKELLEFTEÅ</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28099-2023</t>
        </is>
      </c>
      <c r="B8813" s="1" t="n">
        <v>45099</v>
      </c>
      <c r="C8813" s="1" t="n">
        <v>45971</v>
      </c>
      <c r="D8813" t="inlineStr">
        <is>
          <t>VÄSTERBOTTENS LÄN</t>
        </is>
      </c>
      <c r="E8813" t="inlineStr">
        <is>
          <t>UMEÅ</t>
        </is>
      </c>
      <c r="F8813" t="inlineStr">
        <is>
          <t>Holmen skog AB</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28114-2025</t>
        </is>
      </c>
      <c r="B8814" s="1" t="n">
        <v>45817.96760416667</v>
      </c>
      <c r="C8814" s="1" t="n">
        <v>45971</v>
      </c>
      <c r="D8814" t="inlineStr">
        <is>
          <t>VÄSTERBOTTENS LÄN</t>
        </is>
      </c>
      <c r="E8814" t="inlineStr">
        <is>
          <t>SKELLEFTEÅ</t>
        </is>
      </c>
      <c r="F8814" t="inlineStr">
        <is>
          <t>Sveaskog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52163-2025</t>
        </is>
      </c>
      <c r="B8815" s="1" t="n">
        <v>45953.36163194444</v>
      </c>
      <c r="C8815" s="1" t="n">
        <v>45971</v>
      </c>
      <c r="D8815" t="inlineStr">
        <is>
          <t>VÄSTERBOTTENS LÄN</t>
        </is>
      </c>
      <c r="E8815" t="inlineStr">
        <is>
          <t>UMEÅ</t>
        </is>
      </c>
      <c r="F8815" t="inlineStr">
        <is>
          <t>Holmen skog AB</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43708-2025</t>
        </is>
      </c>
      <c r="B8816" s="1" t="n">
        <v>45912.40680555555</v>
      </c>
      <c r="C8816" s="1" t="n">
        <v>45971</v>
      </c>
      <c r="D8816" t="inlineStr">
        <is>
          <t>VÄSTERBOTTENS LÄN</t>
        </is>
      </c>
      <c r="E8816" t="inlineStr">
        <is>
          <t>UMEÅ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27735-2025</t>
        </is>
      </c>
      <c r="B8817" s="1" t="n">
        <v>45815</v>
      </c>
      <c r="C8817" s="1" t="n">
        <v>45971</v>
      </c>
      <c r="D8817" t="inlineStr">
        <is>
          <t>VÄSTERBOTTENS LÄN</t>
        </is>
      </c>
      <c r="E8817" t="inlineStr">
        <is>
          <t>LYCKSELE</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27736-2025</t>
        </is>
      </c>
      <c r="B8818" s="1" t="n">
        <v>45815.323125</v>
      </c>
      <c r="C8818" s="1" t="n">
        <v>45971</v>
      </c>
      <c r="D8818" t="inlineStr">
        <is>
          <t>VÄSTERBOTTENS LÄN</t>
        </is>
      </c>
      <c r="E8818" t="inlineStr">
        <is>
          <t>LYCKSELE</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37813-2023</t>
        </is>
      </c>
      <c r="B8819" s="1" t="n">
        <v>45159</v>
      </c>
      <c r="C8819" s="1" t="n">
        <v>45971</v>
      </c>
      <c r="D8819" t="inlineStr">
        <is>
          <t>VÄSTERBOTTENS LÄN</t>
        </is>
      </c>
      <c r="E8819" t="inlineStr">
        <is>
          <t>SORSELE</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43720-2025</t>
        </is>
      </c>
      <c r="B8820" s="1" t="n">
        <v>45912.42776620371</v>
      </c>
      <c r="C8820" s="1" t="n">
        <v>45971</v>
      </c>
      <c r="D8820" t="inlineStr">
        <is>
          <t>VÄSTERBOTTENS LÄN</t>
        </is>
      </c>
      <c r="E8820" t="inlineStr">
        <is>
          <t>DOROTEA</t>
        </is>
      </c>
      <c r="F8820" t="inlineStr">
        <is>
          <t>SCA</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43725-2025</t>
        </is>
      </c>
      <c r="B8821" s="1" t="n">
        <v>45912.42880787037</v>
      </c>
      <c r="C8821" s="1" t="n">
        <v>45971</v>
      </c>
      <c r="D8821" t="inlineStr">
        <is>
          <t>VÄSTERBOTTENS LÄN</t>
        </is>
      </c>
      <c r="E8821" t="inlineStr">
        <is>
          <t>MALÅ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43727-2025</t>
        </is>
      </c>
      <c r="B8822" s="1" t="n">
        <v>45912.42981481482</v>
      </c>
      <c r="C8822" s="1" t="n">
        <v>45971</v>
      </c>
      <c r="D8822" t="inlineStr">
        <is>
          <t>VÄSTERBOTTENS LÄN</t>
        </is>
      </c>
      <c r="E8822" t="inlineStr">
        <is>
          <t>SKELLEFTEÅ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43734-2025</t>
        </is>
      </c>
      <c r="B8823" s="1" t="n">
        <v>45912.44119212963</v>
      </c>
      <c r="C8823" s="1" t="n">
        <v>45971</v>
      </c>
      <c r="D8823" t="inlineStr">
        <is>
          <t>VÄSTERBOTTENS LÄN</t>
        </is>
      </c>
      <c r="E8823" t="inlineStr">
        <is>
          <t>VINDELN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52588-2025</t>
        </is>
      </c>
      <c r="B8824" s="1" t="n">
        <v>45954.6333912037</v>
      </c>
      <c r="C8824" s="1" t="n">
        <v>45971</v>
      </c>
      <c r="D8824" t="inlineStr">
        <is>
          <t>VÄSTERBOTTENS LÄN</t>
        </is>
      </c>
      <c r="E8824" t="inlineStr">
        <is>
          <t>SKELLEFTEÅ</t>
        </is>
      </c>
      <c r="F8824" t="inlineStr">
        <is>
          <t>Holmen skog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52444-2023</t>
        </is>
      </c>
      <c r="B8825" s="1" t="n">
        <v>45225.37877314815</v>
      </c>
      <c r="C8825" s="1" t="n">
        <v>45971</v>
      </c>
      <c r="D8825" t="inlineStr">
        <is>
          <t>VÄSTERBOTTENS LÄN</t>
        </is>
      </c>
      <c r="E8825" t="inlineStr">
        <is>
          <t>SKELLEFTEÅ</t>
        </is>
      </c>
      <c r="F8825" t="inlineStr">
        <is>
          <t>Sveaskog</t>
        </is>
      </c>
      <c r="G8825" t="n">
        <v>28.5</v>
      </c>
      <c r="H8825" t="n">
        <v>0</v>
      </c>
      <c r="I8825" t="n">
        <v>0</v>
      </c>
      <c r="J8825" t="n">
        <v>0</v>
      </c>
      <c r="K8825" t="n">
        <v>0</v>
      </c>
      <c r="L8825" t="n">
        <v>0</v>
      </c>
      <c r="M8825" t="n">
        <v>0</v>
      </c>
      <c r="N8825" t="n">
        <v>0</v>
      </c>
      <c r="O8825" t="n">
        <v>0</v>
      </c>
      <c r="P8825" t="n">
        <v>0</v>
      </c>
      <c r="Q8825" t="n">
        <v>0</v>
      </c>
      <c r="R8825" s="2" t="inlineStr"/>
    </row>
    <row r="8826" ht="15" customHeight="1">
      <c r="A8826" t="inlineStr">
        <is>
          <t>A 43463-2025</t>
        </is>
      </c>
      <c r="B8826" s="1" t="n">
        <v>45911.46953703704</v>
      </c>
      <c r="C8826" s="1" t="n">
        <v>45971</v>
      </c>
      <c r="D8826" t="inlineStr">
        <is>
          <t>VÄSTERBOTTENS LÄN</t>
        </is>
      </c>
      <c r="E8826" t="inlineStr">
        <is>
          <t>SKELLEFTEÅ</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28066-2025</t>
        </is>
      </c>
      <c r="B8827" s="1" t="n">
        <v>45817</v>
      </c>
      <c r="C8827" s="1" t="n">
        <v>45971</v>
      </c>
      <c r="D8827" t="inlineStr">
        <is>
          <t>VÄSTERBOTTENS LÄN</t>
        </is>
      </c>
      <c r="E8827" t="inlineStr">
        <is>
          <t>ÅSELE</t>
        </is>
      </c>
      <c r="F8827" t="inlineStr">
        <is>
          <t>Sveaskog</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16780-2022</t>
        </is>
      </c>
      <c r="B8828" s="1" t="n">
        <v>44673</v>
      </c>
      <c r="C8828" s="1" t="n">
        <v>45971</v>
      </c>
      <c r="D8828" t="inlineStr">
        <is>
          <t>VÄSTERBOTTENS LÄN</t>
        </is>
      </c>
      <c r="E8828" t="inlineStr">
        <is>
          <t>VINDELN</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35861-2023</t>
        </is>
      </c>
      <c r="B8829" s="1" t="n">
        <v>45147</v>
      </c>
      <c r="C8829" s="1" t="n">
        <v>45971</v>
      </c>
      <c r="D8829" t="inlineStr">
        <is>
          <t>VÄSTERBOTTENS LÄN</t>
        </is>
      </c>
      <c r="E8829" t="inlineStr">
        <is>
          <t>ÅSELE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27869-2025</t>
        </is>
      </c>
      <c r="B8830" s="1" t="n">
        <v>45817.42847222222</v>
      </c>
      <c r="C8830" s="1" t="n">
        <v>45971</v>
      </c>
      <c r="D8830" t="inlineStr">
        <is>
          <t>VÄSTERBOTTENS LÄN</t>
        </is>
      </c>
      <c r="E8830" t="inlineStr">
        <is>
          <t>SKELLEFTEÅ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7438-2022</t>
        </is>
      </c>
      <c r="B8831" s="1" t="n">
        <v>44606.93429398148</v>
      </c>
      <c r="C8831" s="1" t="n">
        <v>45971</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21965-2025</t>
        </is>
      </c>
      <c r="B8832" s="1" t="n">
        <v>45784</v>
      </c>
      <c r="C8832" s="1" t="n">
        <v>45971</v>
      </c>
      <c r="D8832" t="inlineStr">
        <is>
          <t>VÄSTERBOTTENS LÄN</t>
        </is>
      </c>
      <c r="E8832" t="inlineStr">
        <is>
          <t>VILHELMINA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52592-2025</t>
        </is>
      </c>
      <c r="B8833" s="1" t="n">
        <v>45954.63608796296</v>
      </c>
      <c r="C8833" s="1" t="n">
        <v>45971</v>
      </c>
      <c r="D8833" t="inlineStr">
        <is>
          <t>VÄSTERBOTTENS LÄN</t>
        </is>
      </c>
      <c r="E8833" t="inlineStr">
        <is>
          <t>LYCKSELE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6544-2025</t>
        </is>
      </c>
      <c r="B8834" s="1" t="n">
        <v>45699</v>
      </c>
      <c r="C8834" s="1" t="n">
        <v>45971</v>
      </c>
      <c r="D8834" t="inlineStr">
        <is>
          <t>VÄSTERBOTTENS LÄN</t>
        </is>
      </c>
      <c r="E8834" t="inlineStr">
        <is>
          <t>STORUMAN</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17132-2025</t>
        </is>
      </c>
      <c r="B8835" s="1" t="n">
        <v>45755</v>
      </c>
      <c r="C8835" s="1" t="n">
        <v>45971</v>
      </c>
      <c r="D8835" t="inlineStr">
        <is>
          <t>VÄSTERBOTTENS LÄN</t>
        </is>
      </c>
      <c r="E8835" t="inlineStr">
        <is>
          <t>DOROTEA</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29861-2023</t>
        </is>
      </c>
      <c r="B8836" s="1" t="n">
        <v>45107</v>
      </c>
      <c r="C8836" s="1" t="n">
        <v>45971</v>
      </c>
      <c r="D8836" t="inlineStr">
        <is>
          <t>VÄSTERBOTTENS LÄN</t>
        </is>
      </c>
      <c r="E8836" t="inlineStr">
        <is>
          <t>LYCKSELE</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15542-2025</t>
        </is>
      </c>
      <c r="B8837" s="1" t="n">
        <v>45747.65768518519</v>
      </c>
      <c r="C8837" s="1" t="n">
        <v>45971</v>
      </c>
      <c r="D8837" t="inlineStr">
        <is>
          <t>VÄSTERBOTTENS LÄN</t>
        </is>
      </c>
      <c r="E8837" t="inlineStr">
        <is>
          <t>SKELLEFTEÅ</t>
        </is>
      </c>
      <c r="F8837" t="inlineStr">
        <is>
          <t>Övriga Aktiebolag</t>
        </is>
      </c>
      <c r="G8837" t="n">
        <v>11.6</v>
      </c>
      <c r="H8837" t="n">
        <v>0</v>
      </c>
      <c r="I8837" t="n">
        <v>0</v>
      </c>
      <c r="J8837" t="n">
        <v>0</v>
      </c>
      <c r="K8837" t="n">
        <v>0</v>
      </c>
      <c r="L8837" t="n">
        <v>0</v>
      </c>
      <c r="M8837" t="n">
        <v>0</v>
      </c>
      <c r="N8837" t="n">
        <v>0</v>
      </c>
      <c r="O8837" t="n">
        <v>0</v>
      </c>
      <c r="P8837" t="n">
        <v>0</v>
      </c>
      <c r="Q8837" t="n">
        <v>0</v>
      </c>
      <c r="R8837" s="2" t="inlineStr"/>
    </row>
    <row r="8838" ht="15" customHeight="1">
      <c r="A8838" t="inlineStr">
        <is>
          <t>A 52214-2025</t>
        </is>
      </c>
      <c r="B8838" s="1" t="n">
        <v>45953.4275</v>
      </c>
      <c r="C8838" s="1" t="n">
        <v>45971</v>
      </c>
      <c r="D8838" t="inlineStr">
        <is>
          <t>VÄSTERBOTTENS LÄN</t>
        </is>
      </c>
      <c r="E8838" t="inlineStr">
        <is>
          <t>STORUMAN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44777-2023</t>
        </is>
      </c>
      <c r="B8839" s="1" t="n">
        <v>45190</v>
      </c>
      <c r="C8839" s="1" t="n">
        <v>45971</v>
      </c>
      <c r="D8839" t="inlineStr">
        <is>
          <t>VÄSTERBOTTENS LÄN</t>
        </is>
      </c>
      <c r="E8839" t="inlineStr">
        <is>
          <t>BJURHOLM</t>
        </is>
      </c>
      <c r="F8839" t="inlineStr">
        <is>
          <t>Holmen skog AB</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27875-2025</t>
        </is>
      </c>
      <c r="B8840" s="1" t="n">
        <v>45817.43524305556</v>
      </c>
      <c r="C8840" s="1" t="n">
        <v>45971</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29277-2023</t>
        </is>
      </c>
      <c r="B8841" s="1" t="n">
        <v>45105.70230324074</v>
      </c>
      <c r="C8841" s="1" t="n">
        <v>45971</v>
      </c>
      <c r="D8841" t="inlineStr">
        <is>
          <t>VÄSTERBOTTENS LÄN</t>
        </is>
      </c>
      <c r="E8841" t="inlineStr">
        <is>
          <t>LYCKSELE</t>
        </is>
      </c>
      <c r="F8841" t="inlineStr">
        <is>
          <t>Naturvårdsverket</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28019-2025</t>
        </is>
      </c>
      <c r="B8842" s="1" t="n">
        <v>45817.61545138889</v>
      </c>
      <c r="C8842" s="1" t="n">
        <v>45971</v>
      </c>
      <c r="D8842" t="inlineStr">
        <is>
          <t>VÄSTERBOTTENS LÄN</t>
        </is>
      </c>
      <c r="E8842" t="inlineStr">
        <is>
          <t>VILHELMINA</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18098-2025</t>
        </is>
      </c>
      <c r="B8843" s="1" t="n">
        <v>45761.5509375</v>
      </c>
      <c r="C8843" s="1" t="n">
        <v>45971</v>
      </c>
      <c r="D8843" t="inlineStr">
        <is>
          <t>VÄSTERBOTTENS LÄN</t>
        </is>
      </c>
      <c r="E8843" t="inlineStr">
        <is>
          <t>SKELLEFTEÅ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28345-2025</t>
        </is>
      </c>
      <c r="B8844" s="1" t="n">
        <v>45818.69081018519</v>
      </c>
      <c r="C8844" s="1" t="n">
        <v>45971</v>
      </c>
      <c r="D8844" t="inlineStr">
        <is>
          <t>VÄSTERBOTTENS LÄN</t>
        </is>
      </c>
      <c r="E8844" t="inlineStr">
        <is>
          <t>LYCKSELE</t>
        </is>
      </c>
      <c r="F8844" t="inlineStr">
        <is>
          <t>Holmen skog AB</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27843-2025</t>
        </is>
      </c>
      <c r="B8845" s="1" t="n">
        <v>45817.38577546296</v>
      </c>
      <c r="C8845" s="1" t="n">
        <v>45971</v>
      </c>
      <c r="D8845" t="inlineStr">
        <is>
          <t>VÄSTERBOTTENS LÄN</t>
        </is>
      </c>
      <c r="E8845" t="inlineStr">
        <is>
          <t>DOROTEA</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3944-2022</t>
        </is>
      </c>
      <c r="B8846" s="1" t="n">
        <v>44587</v>
      </c>
      <c r="C8846" s="1" t="n">
        <v>45971</v>
      </c>
      <c r="D8846" t="inlineStr">
        <is>
          <t>VÄSTERBOTTENS LÄN</t>
        </is>
      </c>
      <c r="E8846" t="inlineStr">
        <is>
          <t>SKELLEFTEÅ</t>
        </is>
      </c>
      <c r="F8846" t="inlineStr">
        <is>
          <t>Kommuner</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28495-2025</t>
        </is>
      </c>
      <c r="B8847" s="1" t="n">
        <v>45818</v>
      </c>
      <c r="C8847" s="1" t="n">
        <v>45971</v>
      </c>
      <c r="D8847" t="inlineStr">
        <is>
          <t>VÄSTERBOTTENS LÄN</t>
        </is>
      </c>
      <c r="E8847" t="inlineStr">
        <is>
          <t>ÅSELE</t>
        </is>
      </c>
      <c r="G8847" t="n">
        <v>37.6</v>
      </c>
      <c r="H8847" t="n">
        <v>0</v>
      </c>
      <c r="I8847" t="n">
        <v>0</v>
      </c>
      <c r="J8847" t="n">
        <v>0</v>
      </c>
      <c r="K8847" t="n">
        <v>0</v>
      </c>
      <c r="L8847" t="n">
        <v>0</v>
      </c>
      <c r="M8847" t="n">
        <v>0</v>
      </c>
      <c r="N8847" t="n">
        <v>0</v>
      </c>
      <c r="O8847" t="n">
        <v>0</v>
      </c>
      <c r="P8847" t="n">
        <v>0</v>
      </c>
      <c r="Q8847" t="n">
        <v>0</v>
      </c>
      <c r="R8847" s="2" t="inlineStr"/>
    </row>
    <row r="8848" ht="15" customHeight="1">
      <c r="A8848" t="inlineStr">
        <is>
          <t>A 30161-2024</t>
        </is>
      </c>
      <c r="B8848" s="1" t="n">
        <v>45488</v>
      </c>
      <c r="C8848" s="1" t="n">
        <v>45971</v>
      </c>
      <c r="D8848" t="inlineStr">
        <is>
          <t>VÄSTERBOTTENS LÄN</t>
        </is>
      </c>
      <c r="E8848" t="inlineStr">
        <is>
          <t>LYCKSELE</t>
        </is>
      </c>
      <c r="F8848" t="inlineStr">
        <is>
          <t>Sveaskog</t>
        </is>
      </c>
      <c r="G8848" t="n">
        <v>16.1</v>
      </c>
      <c r="H8848" t="n">
        <v>0</v>
      </c>
      <c r="I8848" t="n">
        <v>0</v>
      </c>
      <c r="J8848" t="n">
        <v>0</v>
      </c>
      <c r="K8848" t="n">
        <v>0</v>
      </c>
      <c r="L8848" t="n">
        <v>0</v>
      </c>
      <c r="M8848" t="n">
        <v>0</v>
      </c>
      <c r="N8848" t="n">
        <v>0</v>
      </c>
      <c r="O8848" t="n">
        <v>0</v>
      </c>
      <c r="P8848" t="n">
        <v>0</v>
      </c>
      <c r="Q8848" t="n">
        <v>0</v>
      </c>
      <c r="R8848" s="2" t="inlineStr"/>
    </row>
    <row r="8849" ht="15" customHeight="1">
      <c r="A8849" t="inlineStr">
        <is>
          <t>A 14248-2025</t>
        </is>
      </c>
      <c r="B8849" s="1" t="n">
        <v>45740</v>
      </c>
      <c r="C8849" s="1" t="n">
        <v>45971</v>
      </c>
      <c r="D8849" t="inlineStr">
        <is>
          <t>VÄSTERBOTTENS LÄN</t>
        </is>
      </c>
      <c r="E8849" t="inlineStr">
        <is>
          <t>LYCKSELE</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18070-2022</t>
        </is>
      </c>
      <c r="B8850" s="1" t="n">
        <v>44684</v>
      </c>
      <c r="C8850" s="1" t="n">
        <v>45971</v>
      </c>
      <c r="D8850" t="inlineStr">
        <is>
          <t>VÄSTERBOTTENS LÄN</t>
        </is>
      </c>
      <c r="E8850" t="inlineStr">
        <is>
          <t>SKELLEFTEÅ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27876-2025</t>
        </is>
      </c>
      <c r="B8851" s="1" t="n">
        <v>45817.43787037037</v>
      </c>
      <c r="C8851" s="1" t="n">
        <v>45971</v>
      </c>
      <c r="D8851" t="inlineStr">
        <is>
          <t>VÄSTERBOTTENS LÄN</t>
        </is>
      </c>
      <c r="E8851" t="inlineStr">
        <is>
          <t>SKELLEFTEÅ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20140-2022</t>
        </is>
      </c>
      <c r="B8852" s="1" t="n">
        <v>44698</v>
      </c>
      <c r="C8852" s="1" t="n">
        <v>45971</v>
      </c>
      <c r="D8852" t="inlineStr">
        <is>
          <t>VÄSTERBOTTENS LÄN</t>
        </is>
      </c>
      <c r="E8852" t="inlineStr">
        <is>
          <t>ÅSELE</t>
        </is>
      </c>
      <c r="F8852" t="inlineStr">
        <is>
          <t>Holmen skog AB</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28306-2025</t>
        </is>
      </c>
      <c r="B8853" s="1" t="n">
        <v>45818.61637731481</v>
      </c>
      <c r="C8853" s="1" t="n">
        <v>45971</v>
      </c>
      <c r="D8853" t="inlineStr">
        <is>
          <t>VÄSTERBOTTENS LÄN</t>
        </is>
      </c>
      <c r="E8853" t="inlineStr">
        <is>
          <t>LYCKSELE</t>
        </is>
      </c>
      <c r="F8853" t="inlineStr">
        <is>
          <t>Sveaskog</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28311-2025</t>
        </is>
      </c>
      <c r="B8854" s="1" t="n">
        <v>45818.62216435185</v>
      </c>
      <c r="C8854" s="1" t="n">
        <v>45971</v>
      </c>
      <c r="D8854" t="inlineStr">
        <is>
          <t>VÄSTERBOTTENS LÄN</t>
        </is>
      </c>
      <c r="E8854" t="inlineStr">
        <is>
          <t>SKELLEFTEÅ</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27943-2025</t>
        </is>
      </c>
      <c r="B8855" s="1" t="n">
        <v>45817.51078703703</v>
      </c>
      <c r="C8855" s="1" t="n">
        <v>45971</v>
      </c>
      <c r="D8855" t="inlineStr">
        <is>
          <t>VÄSTERBOTTENS LÄN</t>
        </is>
      </c>
      <c r="E8855" t="inlineStr">
        <is>
          <t>VILHELMINA</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52139-2025</t>
        </is>
      </c>
      <c r="B8856" s="1" t="n">
        <v>45953.32070601852</v>
      </c>
      <c r="C8856" s="1" t="n">
        <v>45971</v>
      </c>
      <c r="D8856" t="inlineStr">
        <is>
          <t>VÄSTERBOTTENS LÄN</t>
        </is>
      </c>
      <c r="E8856" t="inlineStr">
        <is>
          <t>ÅSELE</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52208-2025</t>
        </is>
      </c>
      <c r="B8857" s="1" t="n">
        <v>45953.41458333333</v>
      </c>
      <c r="C8857" s="1" t="n">
        <v>45971</v>
      </c>
      <c r="D8857" t="inlineStr">
        <is>
          <t>VÄSTERBOTTENS LÄN</t>
        </is>
      </c>
      <c r="E8857" t="inlineStr">
        <is>
          <t>BJURHOLM</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52213-2025</t>
        </is>
      </c>
      <c r="B8858" s="1" t="n">
        <v>45953.42744212963</v>
      </c>
      <c r="C8858" s="1" t="n">
        <v>45971</v>
      </c>
      <c r="D8858" t="inlineStr">
        <is>
          <t>VÄSTERBOTTENS LÄN</t>
        </is>
      </c>
      <c r="E8858" t="inlineStr">
        <is>
          <t>SORSELE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20144-2024</t>
        </is>
      </c>
      <c r="B8859" s="1" t="n">
        <v>45434</v>
      </c>
      <c r="C8859" s="1" t="n">
        <v>45971</v>
      </c>
      <c r="D8859" t="inlineStr">
        <is>
          <t>VÄSTERBOTTENS LÄN</t>
        </is>
      </c>
      <c r="E8859" t="inlineStr">
        <is>
          <t>VINDELN</t>
        </is>
      </c>
      <c r="F8859" t="inlineStr">
        <is>
          <t>Holmen skog AB</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27952-2025</t>
        </is>
      </c>
      <c r="B8860" s="1" t="n">
        <v>45817.53157407408</v>
      </c>
      <c r="C8860" s="1" t="n">
        <v>45971</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20455-2025</t>
        </is>
      </c>
      <c r="B8861" s="1" t="n">
        <v>45775</v>
      </c>
      <c r="C8861" s="1" t="n">
        <v>45971</v>
      </c>
      <c r="D8861" t="inlineStr">
        <is>
          <t>VÄSTERBOTTENS LÄN</t>
        </is>
      </c>
      <c r="E8861" t="inlineStr">
        <is>
          <t>ÅSELE</t>
        </is>
      </c>
      <c r="F8861" t="inlineStr">
        <is>
          <t>SCA</t>
        </is>
      </c>
      <c r="G8861" t="n">
        <v>18.4</v>
      </c>
      <c r="H8861" t="n">
        <v>0</v>
      </c>
      <c r="I8861" t="n">
        <v>0</v>
      </c>
      <c r="J8861" t="n">
        <v>0</v>
      </c>
      <c r="K8861" t="n">
        <v>0</v>
      </c>
      <c r="L8861" t="n">
        <v>0</v>
      </c>
      <c r="M8861" t="n">
        <v>0</v>
      </c>
      <c r="N8861" t="n">
        <v>0</v>
      </c>
      <c r="O8861" t="n">
        <v>0</v>
      </c>
      <c r="P8861" t="n">
        <v>0</v>
      </c>
      <c r="Q8861" t="n">
        <v>0</v>
      </c>
      <c r="R8861" s="2" t="inlineStr"/>
    </row>
    <row r="8862" ht="15" customHeight="1">
      <c r="A8862" t="inlineStr">
        <is>
          <t>A 20476-2025</t>
        </is>
      </c>
      <c r="B8862" s="1" t="n">
        <v>45775.54994212963</v>
      </c>
      <c r="C8862" s="1" t="n">
        <v>45971</v>
      </c>
      <c r="D8862" t="inlineStr">
        <is>
          <t>VÄSTERBOTTENS LÄN</t>
        </is>
      </c>
      <c r="E8862" t="inlineStr">
        <is>
          <t>NORDMALING</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43791-2025</t>
        </is>
      </c>
      <c r="B8863" s="1" t="n">
        <v>45912.54636574074</v>
      </c>
      <c r="C8863" s="1" t="n">
        <v>45971</v>
      </c>
      <c r="D8863" t="inlineStr">
        <is>
          <t>VÄSTERBOTTENS LÄN</t>
        </is>
      </c>
      <c r="E8863" t="inlineStr">
        <is>
          <t>SKELLEFTEÅ</t>
        </is>
      </c>
      <c r="F8863" t="inlineStr">
        <is>
          <t>Holmen skog AB</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43793-2025</t>
        </is>
      </c>
      <c r="B8864" s="1" t="n">
        <v>45912</v>
      </c>
      <c r="C8864" s="1" t="n">
        <v>45971</v>
      </c>
      <c r="D8864" t="inlineStr">
        <is>
          <t>VÄSTERBOTTENS LÄN</t>
        </is>
      </c>
      <c r="E8864" t="inlineStr">
        <is>
          <t>LYCKSELE</t>
        </is>
      </c>
      <c r="F8864" t="inlineStr">
        <is>
          <t>Holmen skog AB</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20479-2025</t>
        </is>
      </c>
      <c r="B8865" s="1" t="n">
        <v>45775</v>
      </c>
      <c r="C8865" s="1" t="n">
        <v>45971</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20481-2025</t>
        </is>
      </c>
      <c r="B8866" s="1" t="n">
        <v>45775</v>
      </c>
      <c r="C8866" s="1" t="n">
        <v>45971</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28337-2025</t>
        </is>
      </c>
      <c r="B8867" s="1" t="n">
        <v>45817</v>
      </c>
      <c r="C8867" s="1" t="n">
        <v>45971</v>
      </c>
      <c r="D8867" t="inlineStr">
        <is>
          <t>VÄSTERBOTTENS LÄN</t>
        </is>
      </c>
      <c r="E8867" t="inlineStr">
        <is>
          <t>SKELLEFTEÅ</t>
        </is>
      </c>
      <c r="G8867" t="n">
        <v>16.4</v>
      </c>
      <c r="H8867" t="n">
        <v>0</v>
      </c>
      <c r="I8867" t="n">
        <v>0</v>
      </c>
      <c r="J8867" t="n">
        <v>0</v>
      </c>
      <c r="K8867" t="n">
        <v>0</v>
      </c>
      <c r="L8867" t="n">
        <v>0</v>
      </c>
      <c r="M8867" t="n">
        <v>0</v>
      </c>
      <c r="N8867" t="n">
        <v>0</v>
      </c>
      <c r="O8867" t="n">
        <v>0</v>
      </c>
      <c r="P8867" t="n">
        <v>0</v>
      </c>
      <c r="Q8867" t="n">
        <v>0</v>
      </c>
      <c r="R8867" s="2" t="inlineStr"/>
    </row>
    <row r="8868" ht="15" customHeight="1">
      <c r="A8868" t="inlineStr">
        <is>
          <t>A 43840-2025</t>
        </is>
      </c>
      <c r="B8868" s="1" t="n">
        <v>45912.63535879629</v>
      </c>
      <c r="C8868" s="1" t="n">
        <v>45971</v>
      </c>
      <c r="D8868" t="inlineStr">
        <is>
          <t>VÄSTERBOTTENS LÄN</t>
        </is>
      </c>
      <c r="E8868" t="inlineStr">
        <is>
          <t>UMEÅ</t>
        </is>
      </c>
      <c r="F8868" t="inlineStr">
        <is>
          <t>Holmen skog AB</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43372-2025</t>
        </is>
      </c>
      <c r="B8869" s="1" t="n">
        <v>45911.35015046296</v>
      </c>
      <c r="C8869" s="1" t="n">
        <v>45971</v>
      </c>
      <c r="D8869" t="inlineStr">
        <is>
          <t>VÄSTERBOTTENS LÄN</t>
        </is>
      </c>
      <c r="E8869" t="inlineStr">
        <is>
          <t>SKELLEFTEÅ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164-2025</t>
        </is>
      </c>
      <c r="B8870" s="1" t="n">
        <v>45659.63700231481</v>
      </c>
      <c r="C8870" s="1" t="n">
        <v>45971</v>
      </c>
      <c r="D8870" t="inlineStr">
        <is>
          <t>VÄSTERBOTTENS LÄN</t>
        </is>
      </c>
      <c r="E8870" t="inlineStr">
        <is>
          <t>ROBERTSFORS</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34805-2023</t>
        </is>
      </c>
      <c r="B8871" s="1" t="n">
        <v>45140</v>
      </c>
      <c r="C8871" s="1" t="n">
        <v>45971</v>
      </c>
      <c r="D8871" t="inlineStr">
        <is>
          <t>VÄSTERBOTTENS LÄN</t>
        </is>
      </c>
      <c r="E8871" t="inlineStr">
        <is>
          <t>VILHELMINA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52285-2025</t>
        </is>
      </c>
      <c r="B8872" s="1" t="n">
        <v>45953.57572916667</v>
      </c>
      <c r="C8872" s="1" t="n">
        <v>45971</v>
      </c>
      <c r="D8872" t="inlineStr">
        <is>
          <t>VÄSTERBOTTENS LÄN</t>
        </is>
      </c>
      <c r="E8872" t="inlineStr">
        <is>
          <t>LYCKSELE</t>
        </is>
      </c>
      <c r="F8872" t="inlineStr">
        <is>
          <t>Sveaskog</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6717-2025</t>
        </is>
      </c>
      <c r="B8873" s="1" t="n">
        <v>45700.5734837963</v>
      </c>
      <c r="C8873" s="1" t="n">
        <v>45971</v>
      </c>
      <c r="D8873" t="inlineStr">
        <is>
          <t>VÄSTERBOTTENS LÄN</t>
        </is>
      </c>
      <c r="E8873" t="inlineStr">
        <is>
          <t>DOROTEA</t>
        </is>
      </c>
      <c r="F8873" t="inlineStr">
        <is>
          <t>SCA</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27744-2025</t>
        </is>
      </c>
      <c r="B8874" s="1" t="n">
        <v>45815.60288194445</v>
      </c>
      <c r="C8874" s="1" t="n">
        <v>45971</v>
      </c>
      <c r="D8874" t="inlineStr">
        <is>
          <t>VÄSTERBOTTENS LÄN</t>
        </is>
      </c>
      <c r="E8874" t="inlineStr">
        <is>
          <t>SORSELE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27746-2025</t>
        </is>
      </c>
      <c r="B8875" s="1" t="n">
        <v>45815.64054398148</v>
      </c>
      <c r="C8875" s="1" t="n">
        <v>45971</v>
      </c>
      <c r="D8875" t="inlineStr">
        <is>
          <t>VÄSTERBOTTENS LÄN</t>
        </is>
      </c>
      <c r="E8875" t="inlineStr">
        <is>
          <t>SORSELE</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43846-2025</t>
        </is>
      </c>
      <c r="B8876" s="1" t="n">
        <v>45912.63753472222</v>
      </c>
      <c r="C8876" s="1" t="n">
        <v>45971</v>
      </c>
      <c r="D8876" t="inlineStr">
        <is>
          <t>VÄSTERBOTTENS LÄN</t>
        </is>
      </c>
      <c r="E8876" t="inlineStr">
        <is>
          <t>VINDELN</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43861-2025</t>
        </is>
      </c>
      <c r="B8877" s="1" t="n">
        <v>45912.65596064815</v>
      </c>
      <c r="C8877" s="1" t="n">
        <v>45971</v>
      </c>
      <c r="D8877" t="inlineStr">
        <is>
          <t>VÄSTERBOTTENS LÄN</t>
        </is>
      </c>
      <c r="E8877" t="inlineStr">
        <is>
          <t>SKELLEFTEÅ</t>
        </is>
      </c>
      <c r="F8877" t="inlineStr">
        <is>
          <t>Sveaskog</t>
        </is>
      </c>
      <c r="G8877" t="n">
        <v>15.6</v>
      </c>
      <c r="H8877" t="n">
        <v>0</v>
      </c>
      <c r="I8877" t="n">
        <v>0</v>
      </c>
      <c r="J8877" t="n">
        <v>0</v>
      </c>
      <c r="K8877" t="n">
        <v>0</v>
      </c>
      <c r="L8877" t="n">
        <v>0</v>
      </c>
      <c r="M8877" t="n">
        <v>0</v>
      </c>
      <c r="N8877" t="n">
        <v>0</v>
      </c>
      <c r="O8877" t="n">
        <v>0</v>
      </c>
      <c r="P8877" t="n">
        <v>0</v>
      </c>
      <c r="Q8877" t="n">
        <v>0</v>
      </c>
      <c r="R8877" s="2" t="inlineStr"/>
    </row>
    <row r="8878" ht="15" customHeight="1">
      <c r="A8878" t="inlineStr">
        <is>
          <t>A 43870-2025</t>
        </is>
      </c>
      <c r="B8878" s="1" t="n">
        <v>45912.66537037037</v>
      </c>
      <c r="C8878" s="1" t="n">
        <v>45971</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52155-2025</t>
        </is>
      </c>
      <c r="B8879" s="1" t="n">
        <v>45953.3543287037</v>
      </c>
      <c r="C8879" s="1" t="n">
        <v>45971</v>
      </c>
      <c r="D8879" t="inlineStr">
        <is>
          <t>VÄSTERBOTTENS LÄN</t>
        </is>
      </c>
      <c r="E8879" t="inlineStr">
        <is>
          <t>UMEÅ</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52186-2025</t>
        </is>
      </c>
      <c r="B8880" s="1" t="n">
        <v>45953.38614583333</v>
      </c>
      <c r="C8880" s="1" t="n">
        <v>45971</v>
      </c>
      <c r="D8880" t="inlineStr">
        <is>
          <t>VÄSTERBOTTENS LÄN</t>
        </is>
      </c>
      <c r="E8880" t="inlineStr">
        <is>
          <t>DOROTEA</t>
        </is>
      </c>
      <c r="F8880" t="inlineStr">
        <is>
          <t>SCA</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13708-2022</t>
        </is>
      </c>
      <c r="B8881" s="1" t="n">
        <v>44648.92366898148</v>
      </c>
      <c r="C8881" s="1" t="n">
        <v>45971</v>
      </c>
      <c r="D8881" t="inlineStr">
        <is>
          <t>VÄSTERBOTTENS LÄN</t>
        </is>
      </c>
      <c r="E8881" t="inlineStr">
        <is>
          <t>STORUMAN</t>
        </is>
      </c>
      <c r="G8881" t="n">
        <v>17.1</v>
      </c>
      <c r="H8881" t="n">
        <v>0</v>
      </c>
      <c r="I8881" t="n">
        <v>0</v>
      </c>
      <c r="J8881" t="n">
        <v>0</v>
      </c>
      <c r="K8881" t="n">
        <v>0</v>
      </c>
      <c r="L8881" t="n">
        <v>0</v>
      </c>
      <c r="M8881" t="n">
        <v>0</v>
      </c>
      <c r="N8881" t="n">
        <v>0</v>
      </c>
      <c r="O8881" t="n">
        <v>0</v>
      </c>
      <c r="P8881" t="n">
        <v>0</v>
      </c>
      <c r="Q8881" t="n">
        <v>0</v>
      </c>
      <c r="R8881" s="2" t="inlineStr"/>
    </row>
    <row r="8882" ht="15" customHeight="1">
      <c r="A8882" t="inlineStr">
        <is>
          <t>A 27877-2025</t>
        </is>
      </c>
      <c r="B8882" s="1" t="n">
        <v>45817.44212962963</v>
      </c>
      <c r="C8882" s="1" t="n">
        <v>45971</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43748-2025</t>
        </is>
      </c>
      <c r="B8883" s="1" t="n">
        <v>45912.46197916667</v>
      </c>
      <c r="C8883" s="1" t="n">
        <v>45971</v>
      </c>
      <c r="D8883" t="inlineStr">
        <is>
          <t>VÄSTERBOTTENS LÄN</t>
        </is>
      </c>
      <c r="E8883" t="inlineStr">
        <is>
          <t>NORSJÖ</t>
        </is>
      </c>
      <c r="F8883" t="inlineStr">
        <is>
          <t>Sveaskog</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28016-2025</t>
        </is>
      </c>
      <c r="B8884" s="1" t="n">
        <v>45817.61506944444</v>
      </c>
      <c r="C8884" s="1" t="n">
        <v>45971</v>
      </c>
      <c r="D8884" t="inlineStr">
        <is>
          <t>VÄSTERBOTTENS LÄN</t>
        </is>
      </c>
      <c r="E8884" t="inlineStr">
        <is>
          <t>VILHELMINA</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43657-2025</t>
        </is>
      </c>
      <c r="B8885" s="1" t="n">
        <v>45912.34260416667</v>
      </c>
      <c r="C8885" s="1" t="n">
        <v>45971</v>
      </c>
      <c r="D8885" t="inlineStr">
        <is>
          <t>VÄSTERBOTTENS LÄN</t>
        </is>
      </c>
      <c r="E8885" t="inlineStr">
        <is>
          <t>ÅSELE</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3544-2025</t>
        </is>
      </c>
      <c r="B8886" s="1" t="n">
        <v>45680.64877314815</v>
      </c>
      <c r="C8886" s="1" t="n">
        <v>45971</v>
      </c>
      <c r="D8886" t="inlineStr">
        <is>
          <t>VÄSTERBOTTENS LÄN</t>
        </is>
      </c>
      <c r="E8886" t="inlineStr">
        <is>
          <t>STORUMAN</t>
        </is>
      </c>
      <c r="G8886" t="n">
        <v>19.3</v>
      </c>
      <c r="H8886" t="n">
        <v>0</v>
      </c>
      <c r="I8886" t="n">
        <v>0</v>
      </c>
      <c r="J8886" t="n">
        <v>0</v>
      </c>
      <c r="K8886" t="n">
        <v>0</v>
      </c>
      <c r="L8886" t="n">
        <v>0</v>
      </c>
      <c r="M8886" t="n">
        <v>0</v>
      </c>
      <c r="N8886" t="n">
        <v>0</v>
      </c>
      <c r="O8886" t="n">
        <v>0</v>
      </c>
      <c r="P8886" t="n">
        <v>0</v>
      </c>
      <c r="Q8886" t="n">
        <v>0</v>
      </c>
      <c r="R8886" s="2" t="inlineStr"/>
    </row>
    <row r="8887" ht="15" customHeight="1">
      <c r="A8887" t="inlineStr">
        <is>
          <t>A 5039-2025</t>
        </is>
      </c>
      <c r="B8887" s="1" t="n">
        <v>45691</v>
      </c>
      <c r="C8887" s="1" t="n">
        <v>45971</v>
      </c>
      <c r="D8887" t="inlineStr">
        <is>
          <t>VÄSTERBOTTENS LÄN</t>
        </is>
      </c>
      <c r="E8887" t="inlineStr">
        <is>
          <t>LYCKSELE</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28316-2025</t>
        </is>
      </c>
      <c r="B8888" s="1" t="n">
        <v>45818.62799768519</v>
      </c>
      <c r="C8888" s="1" t="n">
        <v>45971</v>
      </c>
      <c r="D8888" t="inlineStr">
        <is>
          <t>VÄSTERBOTTENS LÄN</t>
        </is>
      </c>
      <c r="E8888" t="inlineStr">
        <is>
          <t>SKELLEFTEÅ</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28327-2025</t>
        </is>
      </c>
      <c r="B8889" s="1" t="n">
        <v>45817</v>
      </c>
      <c r="C8889" s="1" t="n">
        <v>45971</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28050-2025</t>
        </is>
      </c>
      <c r="B8890" s="1" t="n">
        <v>45817.65658564815</v>
      </c>
      <c r="C8890" s="1" t="n">
        <v>45971</v>
      </c>
      <c r="D8890" t="inlineStr">
        <is>
          <t>VÄSTERBOTTENS LÄN</t>
        </is>
      </c>
      <c r="E8890" t="inlineStr">
        <is>
          <t>VILHELMINA</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28051-2025</t>
        </is>
      </c>
      <c r="B8891" s="1" t="n">
        <v>45817.65678240741</v>
      </c>
      <c r="C8891" s="1" t="n">
        <v>45971</v>
      </c>
      <c r="D8891" t="inlineStr">
        <is>
          <t>VÄSTERBOTTENS LÄN</t>
        </is>
      </c>
      <c r="E8891" t="inlineStr">
        <is>
          <t>VINDELN</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43677-2025</t>
        </is>
      </c>
      <c r="B8892" s="1" t="n">
        <v>45912.3656712963</v>
      </c>
      <c r="C8892" s="1" t="n">
        <v>45971</v>
      </c>
      <c r="D8892" t="inlineStr">
        <is>
          <t>VÄSTERBOTTENS LÄN</t>
        </is>
      </c>
      <c r="E8892" t="inlineStr">
        <is>
          <t>SKELLEFTEÅ</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28186-2025</t>
        </is>
      </c>
      <c r="B8893" s="1" t="n">
        <v>45818</v>
      </c>
      <c r="C8893" s="1" t="n">
        <v>45971</v>
      </c>
      <c r="D8893" t="inlineStr">
        <is>
          <t>VÄSTERBOTTENS LÄN</t>
        </is>
      </c>
      <c r="E8893" t="inlineStr">
        <is>
          <t>SORSELE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69621-2020</t>
        </is>
      </c>
      <c r="B8894" s="1" t="n">
        <v>44195</v>
      </c>
      <c r="C8894" s="1" t="n">
        <v>45971</v>
      </c>
      <c r="D8894" t="inlineStr">
        <is>
          <t>VÄSTERBOTTENS LÄN</t>
        </is>
      </c>
      <c r="E8894" t="inlineStr">
        <is>
          <t>VILHELMINA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43683-2025</t>
        </is>
      </c>
      <c r="B8895" s="1" t="n">
        <v>45912.37668981482</v>
      </c>
      <c r="C8895" s="1" t="n">
        <v>45971</v>
      </c>
      <c r="D8895" t="inlineStr">
        <is>
          <t>VÄSTERBOTTENS LÄN</t>
        </is>
      </c>
      <c r="E8895" t="inlineStr">
        <is>
          <t>SKELLEFTEÅ</t>
        </is>
      </c>
      <c r="F8895" t="inlineStr">
        <is>
          <t>Holmen skog AB</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43695-2025</t>
        </is>
      </c>
      <c r="B8896" s="1" t="n">
        <v>45912.39425925926</v>
      </c>
      <c r="C8896" s="1" t="n">
        <v>45971</v>
      </c>
      <c r="D8896" t="inlineStr">
        <is>
          <t>VÄSTERBOTTENS LÄN</t>
        </is>
      </c>
      <c r="E8896" t="inlineStr">
        <is>
          <t>BJURHOLM</t>
        </is>
      </c>
      <c r="F8896" t="inlineStr">
        <is>
          <t>Holmen skog AB</t>
        </is>
      </c>
      <c r="G8896" t="n">
        <v>12.9</v>
      </c>
      <c r="H8896" t="n">
        <v>0</v>
      </c>
      <c r="I8896" t="n">
        <v>0</v>
      </c>
      <c r="J8896" t="n">
        <v>0</v>
      </c>
      <c r="K8896" t="n">
        <v>0</v>
      </c>
      <c r="L8896" t="n">
        <v>0</v>
      </c>
      <c r="M8896" t="n">
        <v>0</v>
      </c>
      <c r="N8896" t="n">
        <v>0</v>
      </c>
      <c r="O8896" t="n">
        <v>0</v>
      </c>
      <c r="P8896" t="n">
        <v>0</v>
      </c>
      <c r="Q8896" t="n">
        <v>0</v>
      </c>
      <c r="R8896" s="2" t="inlineStr"/>
    </row>
    <row r="8897" ht="15" customHeight="1">
      <c r="A8897" t="inlineStr">
        <is>
          <t>A 27799-2025</t>
        </is>
      </c>
      <c r="B8897" s="1" t="n">
        <v>45816.90836805556</v>
      </c>
      <c r="C8897" s="1" t="n">
        <v>45971</v>
      </c>
      <c r="D8897" t="inlineStr">
        <is>
          <t>VÄSTERBOTTENS LÄN</t>
        </is>
      </c>
      <c r="E8897" t="inlineStr">
        <is>
          <t>VINDELN</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28022-2025</t>
        </is>
      </c>
      <c r="B8898" s="1" t="n">
        <v>45817.61836805556</v>
      </c>
      <c r="C8898" s="1" t="n">
        <v>45971</v>
      </c>
      <c r="D8898" t="inlineStr">
        <is>
          <t>VÄSTERBOTTENS LÄN</t>
        </is>
      </c>
      <c r="E8898" t="inlineStr">
        <is>
          <t>BJURHOLM</t>
        </is>
      </c>
      <c r="F8898" t="inlineStr">
        <is>
          <t>Holmen skog AB</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28032-2025</t>
        </is>
      </c>
      <c r="B8899" s="1" t="n">
        <v>45817.63113425926</v>
      </c>
      <c r="C8899" s="1" t="n">
        <v>45971</v>
      </c>
      <c r="D8899" t="inlineStr">
        <is>
          <t>VÄSTERBOTTENS LÄN</t>
        </is>
      </c>
      <c r="E8899" t="inlineStr">
        <is>
          <t>BJURHOLM</t>
        </is>
      </c>
      <c r="F8899" t="inlineStr">
        <is>
          <t>Holmen skog AB</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44872-2023</t>
        </is>
      </c>
      <c r="B8900" s="1" t="n">
        <v>45190.60226851852</v>
      </c>
      <c r="C8900" s="1" t="n">
        <v>45971</v>
      </c>
      <c r="D8900" t="inlineStr">
        <is>
          <t>VÄSTERBOTTENS LÄN</t>
        </is>
      </c>
      <c r="E8900" t="inlineStr">
        <is>
          <t>SKELLEFTEÅ</t>
        </is>
      </c>
      <c r="F8900" t="inlineStr">
        <is>
          <t>Holmen skog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46280-2023</t>
        </is>
      </c>
      <c r="B8901" s="1" t="n">
        <v>45195</v>
      </c>
      <c r="C8901" s="1" t="n">
        <v>45971</v>
      </c>
      <c r="D8901" t="inlineStr">
        <is>
          <t>VÄSTERBOTTENS LÄN</t>
        </is>
      </c>
      <c r="E8901" t="inlineStr">
        <is>
          <t>MALÅ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18564-2022</t>
        </is>
      </c>
      <c r="B8902" s="1" t="n">
        <v>44686</v>
      </c>
      <c r="C8902" s="1" t="n">
        <v>45971</v>
      </c>
      <c r="D8902" t="inlineStr">
        <is>
          <t>VÄSTERBOTTENS LÄN</t>
        </is>
      </c>
      <c r="E8902" t="inlineStr">
        <is>
          <t>VILHELMINA</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46372-2023</t>
        </is>
      </c>
      <c r="B8903" s="1" t="n">
        <v>45197</v>
      </c>
      <c r="C8903" s="1" t="n">
        <v>45971</v>
      </c>
      <c r="D8903" t="inlineStr">
        <is>
          <t>VÄSTERBOTTENS LÄN</t>
        </is>
      </c>
      <c r="E8903" t="inlineStr">
        <is>
          <t>UMEÅ</t>
        </is>
      </c>
      <c r="F8903" t="inlineStr">
        <is>
          <t>Holmen skog AB</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43841-2025</t>
        </is>
      </c>
      <c r="B8904" s="1" t="n">
        <v>45912.63537037037</v>
      </c>
      <c r="C8904" s="1" t="n">
        <v>45971</v>
      </c>
      <c r="D8904" t="inlineStr">
        <is>
          <t>VÄSTERBOTTENS LÄN</t>
        </is>
      </c>
      <c r="E8904" t="inlineStr">
        <is>
          <t>ROBERTSFORS</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37959-2023</t>
        </is>
      </c>
      <c r="B8905" s="1" t="n">
        <v>45159</v>
      </c>
      <c r="C8905" s="1" t="n">
        <v>45971</v>
      </c>
      <c r="D8905" t="inlineStr">
        <is>
          <t>VÄSTERBOTTENS LÄN</t>
        </is>
      </c>
      <c r="E8905" t="inlineStr">
        <is>
          <t>VINDELN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43876-2025</t>
        </is>
      </c>
      <c r="B8906" s="1" t="n">
        <v>45912.67747685185</v>
      </c>
      <c r="C8906" s="1" t="n">
        <v>45971</v>
      </c>
      <c r="D8906" t="inlineStr">
        <is>
          <t>VÄSTERBOTTENS LÄN</t>
        </is>
      </c>
      <c r="E8906" t="inlineStr">
        <is>
          <t>DOROTEA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28220-2025</t>
        </is>
      </c>
      <c r="B8907" s="1" t="n">
        <v>45818.47373842593</v>
      </c>
      <c r="C8907" s="1" t="n">
        <v>45971</v>
      </c>
      <c r="D8907" t="inlineStr">
        <is>
          <t>VÄSTERBOTTENS LÄN</t>
        </is>
      </c>
      <c r="E8907" t="inlineStr">
        <is>
          <t>SKELLEFTEÅ</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7019-2025</t>
        </is>
      </c>
      <c r="B8908" s="1" t="n">
        <v>45701.61490740741</v>
      </c>
      <c r="C8908" s="1" t="n">
        <v>45971</v>
      </c>
      <c r="D8908" t="inlineStr">
        <is>
          <t>VÄSTERBOTTENS LÄN</t>
        </is>
      </c>
      <c r="E8908" t="inlineStr">
        <is>
          <t>NORDMALING</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7027-2025</t>
        </is>
      </c>
      <c r="B8909" s="1" t="n">
        <v>45701.63026620371</v>
      </c>
      <c r="C8909" s="1" t="n">
        <v>45971</v>
      </c>
      <c r="D8909" t="inlineStr">
        <is>
          <t>VÄSTERBOTTENS LÄN</t>
        </is>
      </c>
      <c r="E8909" t="inlineStr">
        <is>
          <t>SKELLEFTEÅ</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28071-2025</t>
        </is>
      </c>
      <c r="B8910" s="1" t="n">
        <v>45817.67755787037</v>
      </c>
      <c r="C8910" s="1" t="n">
        <v>45971</v>
      </c>
      <c r="D8910" t="inlineStr">
        <is>
          <t>VÄSTERBOTTENS LÄN</t>
        </is>
      </c>
      <c r="E8910" t="inlineStr">
        <is>
          <t>VILHELMINA</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55269-2024</t>
        </is>
      </c>
      <c r="B8911" s="1" t="n">
        <v>45621.61444444444</v>
      </c>
      <c r="C8911" s="1" t="n">
        <v>45971</v>
      </c>
      <c r="D8911" t="inlineStr">
        <is>
          <t>VÄSTERBOTTENS LÄN</t>
        </is>
      </c>
      <c r="E8911" t="inlineStr">
        <is>
          <t>SKELLEFTEÅ</t>
        </is>
      </c>
      <c r="F8911" t="inlineStr">
        <is>
          <t>Sveaskog</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4650-2025</t>
        </is>
      </c>
      <c r="B8912" s="1" t="n">
        <v>45687.66449074074</v>
      </c>
      <c r="C8912" s="1" t="n">
        <v>45971</v>
      </c>
      <c r="D8912" t="inlineStr">
        <is>
          <t>VÄSTERBOTTENS LÄN</t>
        </is>
      </c>
      <c r="E8912" t="inlineStr">
        <is>
          <t>UMEÅ</t>
        </is>
      </c>
      <c r="F8912" t="inlineStr">
        <is>
          <t>Holmen skog AB</t>
        </is>
      </c>
      <c r="G8912" t="n">
        <v>20.8</v>
      </c>
      <c r="H8912" t="n">
        <v>0</v>
      </c>
      <c r="I8912" t="n">
        <v>0</v>
      </c>
      <c r="J8912" t="n">
        <v>0</v>
      </c>
      <c r="K8912" t="n">
        <v>0</v>
      </c>
      <c r="L8912" t="n">
        <v>0</v>
      </c>
      <c r="M8912" t="n">
        <v>0</v>
      </c>
      <c r="N8912" t="n">
        <v>0</v>
      </c>
      <c r="O8912" t="n">
        <v>0</v>
      </c>
      <c r="P8912" t="n">
        <v>0</v>
      </c>
      <c r="Q8912" t="n">
        <v>0</v>
      </c>
      <c r="R8912" s="2" t="inlineStr"/>
    </row>
    <row r="8913" ht="15" customHeight="1">
      <c r="A8913" t="inlineStr">
        <is>
          <t>A 28072-2025</t>
        </is>
      </c>
      <c r="B8913" s="1" t="n">
        <v>45817.6778587963</v>
      </c>
      <c r="C8913" s="1" t="n">
        <v>45971</v>
      </c>
      <c r="D8913" t="inlineStr">
        <is>
          <t>VÄSTERBOTTENS LÄN</t>
        </is>
      </c>
      <c r="E8913" t="inlineStr">
        <is>
          <t>DOROTEA</t>
        </is>
      </c>
      <c r="F8913" t="inlineStr">
        <is>
          <t>SCA</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57845-2023</t>
        </is>
      </c>
      <c r="B8914" s="1" t="n">
        <v>45247</v>
      </c>
      <c r="C8914" s="1" t="n">
        <v>45971</v>
      </c>
      <c r="D8914" t="inlineStr">
        <is>
          <t>VÄSTERBOTTENS LÄN</t>
        </is>
      </c>
      <c r="E8914" t="inlineStr">
        <is>
          <t>LYCKSELE</t>
        </is>
      </c>
      <c r="F8914" t="inlineStr">
        <is>
          <t>Sveaskog</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4671-2025</t>
        </is>
      </c>
      <c r="B8915" s="1" t="n">
        <v>45687</v>
      </c>
      <c r="C8915" s="1" t="n">
        <v>45971</v>
      </c>
      <c r="D8915" t="inlineStr">
        <is>
          <t>VÄSTERBOTTENS LÄN</t>
        </is>
      </c>
      <c r="E8915" t="inlineStr">
        <is>
          <t>LYCKSELE</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8313-2025</t>
        </is>
      </c>
      <c r="B8916" s="1" t="n">
        <v>45708.61552083334</v>
      </c>
      <c r="C8916" s="1" t="n">
        <v>45971</v>
      </c>
      <c r="D8916" t="inlineStr">
        <is>
          <t>VÄSTERBOTTENS LÄN</t>
        </is>
      </c>
      <c r="E8916" t="inlineStr">
        <is>
          <t>LYCKSELE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27864-2025</t>
        </is>
      </c>
      <c r="B8917" s="1" t="n">
        <v>45817.42127314815</v>
      </c>
      <c r="C8917" s="1" t="n">
        <v>45971</v>
      </c>
      <c r="D8917" t="inlineStr">
        <is>
          <t>VÄSTERBOTTENS LÄN</t>
        </is>
      </c>
      <c r="E8917" t="inlineStr">
        <is>
          <t>SKELLEFTEÅ</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43940-2025</t>
        </is>
      </c>
      <c r="B8918" s="1" t="n">
        <v>45912</v>
      </c>
      <c r="C8918" s="1" t="n">
        <v>45971</v>
      </c>
      <c r="D8918" t="inlineStr">
        <is>
          <t>VÄSTERBOTTENS LÄN</t>
        </is>
      </c>
      <c r="E8918" t="inlineStr">
        <is>
          <t>NORDMALING</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29468-2024</t>
        </is>
      </c>
      <c r="B8919" s="1" t="n">
        <v>45483</v>
      </c>
      <c r="C8919" s="1" t="n">
        <v>45971</v>
      </c>
      <c r="D8919" t="inlineStr">
        <is>
          <t>VÄSTERBOTTENS LÄN</t>
        </is>
      </c>
      <c r="E8919" t="inlineStr">
        <is>
          <t>VINDELN</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36745-2023</t>
        </is>
      </c>
      <c r="B8920" s="1" t="n">
        <v>45153</v>
      </c>
      <c r="C8920" s="1" t="n">
        <v>45971</v>
      </c>
      <c r="D8920" t="inlineStr">
        <is>
          <t>VÄSTERBOTTENS LÄN</t>
        </is>
      </c>
      <c r="E8920" t="inlineStr">
        <is>
          <t>MALÅ</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28577-2025</t>
        </is>
      </c>
      <c r="B8921" s="1" t="n">
        <v>45819</v>
      </c>
      <c r="C8921" s="1" t="n">
        <v>45971</v>
      </c>
      <c r="D8921" t="inlineStr">
        <is>
          <t>VÄSTERBOTTENS LÄN</t>
        </is>
      </c>
      <c r="E8921" t="inlineStr">
        <is>
          <t>SKELLEFTEÅ</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57476-2024</t>
        </is>
      </c>
      <c r="B8922" s="1" t="n">
        <v>45630.34612268519</v>
      </c>
      <c r="C8922" s="1" t="n">
        <v>45971</v>
      </c>
      <c r="D8922" t="inlineStr">
        <is>
          <t>VÄSTERBOTTENS LÄN</t>
        </is>
      </c>
      <c r="E8922" t="inlineStr">
        <is>
          <t>NORSJÖ</t>
        </is>
      </c>
      <c r="F8922" t="inlineStr">
        <is>
          <t>Holmen skog AB</t>
        </is>
      </c>
      <c r="G8922" t="n">
        <v>23.7</v>
      </c>
      <c r="H8922" t="n">
        <v>0</v>
      </c>
      <c r="I8922" t="n">
        <v>0</v>
      </c>
      <c r="J8922" t="n">
        <v>0</v>
      </c>
      <c r="K8922" t="n">
        <v>0</v>
      </c>
      <c r="L8922" t="n">
        <v>0</v>
      </c>
      <c r="M8922" t="n">
        <v>0</v>
      </c>
      <c r="N8922" t="n">
        <v>0</v>
      </c>
      <c r="O8922" t="n">
        <v>0</v>
      </c>
      <c r="P8922" t="n">
        <v>0</v>
      </c>
      <c r="Q8922" t="n">
        <v>0</v>
      </c>
      <c r="R8922" s="2" t="inlineStr"/>
    </row>
    <row r="8923" ht="15" customHeight="1">
      <c r="A8923" t="inlineStr">
        <is>
          <t>A 28377-2025</t>
        </is>
      </c>
      <c r="B8923" s="1" t="n">
        <v>45819</v>
      </c>
      <c r="C8923" s="1" t="n">
        <v>45971</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31449-2024</t>
        </is>
      </c>
      <c r="B8924" s="1" t="n">
        <v>45505.9299537037</v>
      </c>
      <c r="C8924" s="1" t="n">
        <v>45971</v>
      </c>
      <c r="D8924" t="inlineStr">
        <is>
          <t>VÄSTERBOTTENS LÄN</t>
        </is>
      </c>
      <c r="E8924" t="inlineStr">
        <is>
          <t>VILHELMINA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21440-2024</t>
        </is>
      </c>
      <c r="B8925" s="1" t="n">
        <v>45441</v>
      </c>
      <c r="C8925" s="1" t="n">
        <v>45971</v>
      </c>
      <c r="D8925" t="inlineStr">
        <is>
          <t>VÄSTERBOTTENS LÄN</t>
        </is>
      </c>
      <c r="E8925" t="inlineStr">
        <is>
          <t>UMEÅ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43889-2025</t>
        </is>
      </c>
      <c r="B8926" s="1" t="n">
        <v>45912.6982175926</v>
      </c>
      <c r="C8926" s="1" t="n">
        <v>45971</v>
      </c>
      <c r="D8926" t="inlineStr">
        <is>
          <t>VÄSTERBOTTENS LÄN</t>
        </is>
      </c>
      <c r="E8926" t="inlineStr">
        <is>
          <t>UMEÅ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43894-2025</t>
        </is>
      </c>
      <c r="B8927" s="1" t="n">
        <v>45912.73649305556</v>
      </c>
      <c r="C8927" s="1" t="n">
        <v>45971</v>
      </c>
      <c r="D8927" t="inlineStr">
        <is>
          <t>VÄSTERBOTTENS LÄN</t>
        </is>
      </c>
      <c r="E8927" t="inlineStr">
        <is>
          <t>SKELLEFTEÅ</t>
        </is>
      </c>
      <c r="F8927" t="inlineStr">
        <is>
          <t>Sveaskog</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43895-2025</t>
        </is>
      </c>
      <c r="B8928" s="1" t="n">
        <v>45912.73758101852</v>
      </c>
      <c r="C8928" s="1" t="n">
        <v>45971</v>
      </c>
      <c r="D8928" t="inlineStr">
        <is>
          <t>VÄSTERBOTTENS LÄN</t>
        </is>
      </c>
      <c r="E8928" t="inlineStr">
        <is>
          <t>SKELLEFTEÅ</t>
        </is>
      </c>
      <c r="F8928" t="inlineStr">
        <is>
          <t>Sveaskog</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16971-2025</t>
        </is>
      </c>
      <c r="B8929" s="1" t="n">
        <v>45755.46940972222</v>
      </c>
      <c r="C8929" s="1" t="n">
        <v>45971</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52232-2025</t>
        </is>
      </c>
      <c r="B8930" s="1" t="n">
        <v>45953.45091435185</v>
      </c>
      <c r="C8930" s="1" t="n">
        <v>45971</v>
      </c>
      <c r="D8930" t="inlineStr">
        <is>
          <t>VÄSTERBOTTENS LÄN</t>
        </is>
      </c>
      <c r="E8930" t="inlineStr">
        <is>
          <t>UMEÅ</t>
        </is>
      </c>
      <c r="F8930" t="inlineStr">
        <is>
          <t>Holmen skog AB</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52235-2025</t>
        </is>
      </c>
      <c r="B8931" s="1" t="n">
        <v>45953.4543287037</v>
      </c>
      <c r="C8931" s="1" t="n">
        <v>45971</v>
      </c>
      <c r="D8931" t="inlineStr">
        <is>
          <t>VÄSTERBOTTENS LÄN</t>
        </is>
      </c>
      <c r="E8931" t="inlineStr">
        <is>
          <t>BJURHOLM</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28929-2025</t>
        </is>
      </c>
      <c r="B8932" s="1" t="n">
        <v>45820.6775</v>
      </c>
      <c r="C8932" s="1" t="n">
        <v>45971</v>
      </c>
      <c r="D8932" t="inlineStr">
        <is>
          <t>VÄSTERBOTTENS LÄN</t>
        </is>
      </c>
      <c r="E8932" t="inlineStr">
        <is>
          <t>ÅSELE</t>
        </is>
      </c>
      <c r="F8932" t="inlineStr">
        <is>
          <t>SCA</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17547-2025</t>
        </is>
      </c>
      <c r="B8933" s="1" t="n">
        <v>45757.60878472222</v>
      </c>
      <c r="C8933" s="1" t="n">
        <v>45971</v>
      </c>
      <c r="D8933" t="inlineStr">
        <is>
          <t>VÄSTERBOTTENS LÄN</t>
        </is>
      </c>
      <c r="E8933" t="inlineStr">
        <is>
          <t>ROBERTSFORS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28706-2025</t>
        </is>
      </c>
      <c r="B8934" s="1" t="n">
        <v>45820.31462962963</v>
      </c>
      <c r="C8934" s="1" t="n">
        <v>45971</v>
      </c>
      <c r="D8934" t="inlineStr">
        <is>
          <t>VÄSTERBOTTENS LÄN</t>
        </is>
      </c>
      <c r="E8934" t="inlineStr">
        <is>
          <t>VINDELN</t>
        </is>
      </c>
      <c r="F8934" t="inlineStr">
        <is>
          <t>Holmen skog AB</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21662-2025</t>
        </is>
      </c>
      <c r="B8935" s="1" t="n">
        <v>45783</v>
      </c>
      <c r="C8935" s="1" t="n">
        <v>45971</v>
      </c>
      <c r="D8935" t="inlineStr">
        <is>
          <t>VÄSTERBOTTENS LÄN</t>
        </is>
      </c>
      <c r="E8935" t="inlineStr">
        <is>
          <t>STORUMAN</t>
        </is>
      </c>
      <c r="G8935" t="n">
        <v>47.2</v>
      </c>
      <c r="H8935" t="n">
        <v>0</v>
      </c>
      <c r="I8935" t="n">
        <v>0</v>
      </c>
      <c r="J8935" t="n">
        <v>0</v>
      </c>
      <c r="K8935" t="n">
        <v>0</v>
      </c>
      <c r="L8935" t="n">
        <v>0</v>
      </c>
      <c r="M8935" t="n">
        <v>0</v>
      </c>
      <c r="N8935" t="n">
        <v>0</v>
      </c>
      <c r="O8935" t="n">
        <v>0</v>
      </c>
      <c r="P8935" t="n">
        <v>0</v>
      </c>
      <c r="Q8935" t="n">
        <v>0</v>
      </c>
      <c r="R8935" s="2" t="inlineStr"/>
    </row>
    <row r="8936" ht="15" customHeight="1">
      <c r="A8936" t="inlineStr">
        <is>
          <t>A 61044-2024</t>
        </is>
      </c>
      <c r="B8936" s="1" t="n">
        <v>45645.47677083333</v>
      </c>
      <c r="C8936" s="1" t="n">
        <v>45971</v>
      </c>
      <c r="D8936" t="inlineStr">
        <is>
          <t>VÄSTERBOTTENS LÄN</t>
        </is>
      </c>
      <c r="E8936" t="inlineStr">
        <is>
          <t>VINDELN</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36853-2023</t>
        </is>
      </c>
      <c r="B8937" s="1" t="n">
        <v>45154</v>
      </c>
      <c r="C8937" s="1" t="n">
        <v>45971</v>
      </c>
      <c r="D8937" t="inlineStr">
        <is>
          <t>VÄSTERBOTTENS LÄN</t>
        </is>
      </c>
      <c r="E8937" t="inlineStr">
        <is>
          <t>SORSELE</t>
        </is>
      </c>
      <c r="G8937" t="n">
        <v>16.9</v>
      </c>
      <c r="H8937" t="n">
        <v>0</v>
      </c>
      <c r="I8937" t="n">
        <v>0</v>
      </c>
      <c r="J8937" t="n">
        <v>0</v>
      </c>
      <c r="K8937" t="n">
        <v>0</v>
      </c>
      <c r="L8937" t="n">
        <v>0</v>
      </c>
      <c r="M8937" t="n">
        <v>0</v>
      </c>
      <c r="N8937" t="n">
        <v>0</v>
      </c>
      <c r="O8937" t="n">
        <v>0</v>
      </c>
      <c r="P8937" t="n">
        <v>0</v>
      </c>
      <c r="Q8937" t="n">
        <v>0</v>
      </c>
      <c r="R8937" s="2" t="inlineStr"/>
    </row>
    <row r="8938" ht="15" customHeight="1">
      <c r="A8938" t="inlineStr">
        <is>
          <t>A 28486-2025</t>
        </is>
      </c>
      <c r="B8938" s="1" t="n">
        <v>45819</v>
      </c>
      <c r="C8938" s="1" t="n">
        <v>45971</v>
      </c>
      <c r="D8938" t="inlineStr">
        <is>
          <t>VÄSTERBOTTENS LÄN</t>
        </is>
      </c>
      <c r="E8938" t="inlineStr">
        <is>
          <t>LYCKSELE</t>
        </is>
      </c>
      <c r="F8938" t="inlineStr">
        <is>
          <t>Holmen skog AB</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28354-2025</t>
        </is>
      </c>
      <c r="B8939" s="1" t="n">
        <v>45818.77484953704</v>
      </c>
      <c r="C8939" s="1" t="n">
        <v>45971</v>
      </c>
      <c r="D8939" t="inlineStr">
        <is>
          <t>VÄSTERBOTTENS LÄN</t>
        </is>
      </c>
      <c r="E8939" t="inlineStr">
        <is>
          <t>SKELLEFTEÅ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28358-2025</t>
        </is>
      </c>
      <c r="B8940" s="1" t="n">
        <v>45818.79246527778</v>
      </c>
      <c r="C8940" s="1" t="n">
        <v>45971</v>
      </c>
      <c r="D8940" t="inlineStr">
        <is>
          <t>VÄSTERBOTTENS LÄN</t>
        </is>
      </c>
      <c r="E8940" t="inlineStr">
        <is>
          <t>SKELLEFTEÅ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52596-2025</t>
        </is>
      </c>
      <c r="B8941" s="1" t="n">
        <v>45954.65212962963</v>
      </c>
      <c r="C8941" s="1" t="n">
        <v>45971</v>
      </c>
      <c r="D8941" t="inlineStr">
        <is>
          <t>VÄSTERBOTTENS LÄN</t>
        </is>
      </c>
      <c r="E8941" t="inlineStr">
        <is>
          <t>SKELLEFTEÅ</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28832-2025</t>
        </is>
      </c>
      <c r="B8942" s="1" t="n">
        <v>45820.55613425926</v>
      </c>
      <c r="C8942" s="1" t="n">
        <v>45971</v>
      </c>
      <c r="D8942" t="inlineStr">
        <is>
          <t>VÄSTERBOTTENS LÄN</t>
        </is>
      </c>
      <c r="E8942" t="inlineStr">
        <is>
          <t>UMEÅ</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44880-2023</t>
        </is>
      </c>
      <c r="B8943" s="1" t="n">
        <v>45190.60920138889</v>
      </c>
      <c r="C8943" s="1" t="n">
        <v>45971</v>
      </c>
      <c r="D8943" t="inlineStr">
        <is>
          <t>VÄSTERBOTTENS LÄN</t>
        </is>
      </c>
      <c r="E8943" t="inlineStr">
        <is>
          <t>BJURHOLM</t>
        </is>
      </c>
      <c r="F8943" t="inlineStr">
        <is>
          <t>Holmen skog AB</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52419-2025</t>
        </is>
      </c>
      <c r="B8944" s="1" t="n">
        <v>45954.36858796296</v>
      </c>
      <c r="C8944" s="1" t="n">
        <v>45971</v>
      </c>
      <c r="D8944" t="inlineStr">
        <is>
          <t>VÄSTERBOTTENS LÄN</t>
        </is>
      </c>
      <c r="E8944" t="inlineStr">
        <is>
          <t>SKELLEFTEÅ</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51825-2023</t>
        </is>
      </c>
      <c r="B8945" s="1" t="n">
        <v>45222</v>
      </c>
      <c r="C8945" s="1" t="n">
        <v>45971</v>
      </c>
      <c r="D8945" t="inlineStr">
        <is>
          <t>VÄSTERBOTTENS LÄN</t>
        </is>
      </c>
      <c r="E8945" t="inlineStr">
        <is>
          <t>VILHELMINA</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28833-2025</t>
        </is>
      </c>
      <c r="B8946" s="1" t="n">
        <v>45820.55636574074</v>
      </c>
      <c r="C8946" s="1" t="n">
        <v>45971</v>
      </c>
      <c r="D8946" t="inlineStr">
        <is>
          <t>VÄSTERBOTTENS LÄN</t>
        </is>
      </c>
      <c r="E8946" t="inlineStr">
        <is>
          <t>LYCKSELE</t>
        </is>
      </c>
      <c r="F8946" t="inlineStr">
        <is>
          <t>Sveaskog</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48348-2023</t>
        </is>
      </c>
      <c r="B8947" s="1" t="n">
        <v>45201</v>
      </c>
      <c r="C8947" s="1" t="n">
        <v>45971</v>
      </c>
      <c r="D8947" t="inlineStr">
        <is>
          <t>VÄSTERBOTTENS LÄN</t>
        </is>
      </c>
      <c r="E8947" t="inlineStr">
        <is>
          <t>MALÅ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38250-2023</t>
        </is>
      </c>
      <c r="B8948" s="1" t="n">
        <v>45161.58166666667</v>
      </c>
      <c r="C8948" s="1" t="n">
        <v>45971</v>
      </c>
      <c r="D8948" t="inlineStr">
        <is>
          <t>VÄSTERBOTTENS LÄN</t>
        </is>
      </c>
      <c r="E8948" t="inlineStr">
        <is>
          <t>LYCKSELE</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3828-2025</t>
        </is>
      </c>
      <c r="B8949" s="1" t="n">
        <v>45681.82818287037</v>
      </c>
      <c r="C8949" s="1" t="n">
        <v>45971</v>
      </c>
      <c r="D8949" t="inlineStr">
        <is>
          <t>VÄSTERBOTTENS LÄN</t>
        </is>
      </c>
      <c r="E8949" t="inlineStr">
        <is>
          <t>UMEÅ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3829-2025</t>
        </is>
      </c>
      <c r="B8950" s="1" t="n">
        <v>45681.83350694444</v>
      </c>
      <c r="C8950" s="1" t="n">
        <v>45971</v>
      </c>
      <c r="D8950" t="inlineStr">
        <is>
          <t>VÄSTERBOTTENS LÄN</t>
        </is>
      </c>
      <c r="E8950" t="inlineStr">
        <is>
          <t>UMEÅ</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28897-2025</t>
        </is>
      </c>
      <c r="B8951" s="1" t="n">
        <v>45820.6360300926</v>
      </c>
      <c r="C8951" s="1" t="n">
        <v>45971</v>
      </c>
      <c r="D8951" t="inlineStr">
        <is>
          <t>VÄSTERBOTTENS LÄN</t>
        </is>
      </c>
      <c r="E8951" t="inlineStr">
        <is>
          <t>VILHELMINA</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9162-2022</t>
        </is>
      </c>
      <c r="B8952" s="1" t="n">
        <v>44615</v>
      </c>
      <c r="C8952" s="1" t="n">
        <v>45971</v>
      </c>
      <c r="D8952" t="inlineStr">
        <is>
          <t>VÄSTERBOTTENS LÄN</t>
        </is>
      </c>
      <c r="E8952" t="inlineStr">
        <is>
          <t>VILHELMINA</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52229-2025</t>
        </is>
      </c>
      <c r="B8953" s="1" t="n">
        <v>45953.44894675926</v>
      </c>
      <c r="C8953" s="1" t="n">
        <v>45971</v>
      </c>
      <c r="D8953" t="inlineStr">
        <is>
          <t>VÄSTERBOTTENS LÄN</t>
        </is>
      </c>
      <c r="E8953" t="inlineStr">
        <is>
          <t>NORDMALING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28726-2025</t>
        </is>
      </c>
      <c r="B8954" s="1" t="n">
        <v>45820</v>
      </c>
      <c r="C8954" s="1" t="n">
        <v>45971</v>
      </c>
      <c r="D8954" t="inlineStr">
        <is>
          <t>VÄSTERBOTTENS LÄN</t>
        </is>
      </c>
      <c r="E8954" t="inlineStr">
        <is>
          <t>LYCKSELE</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10527-2025</t>
        </is>
      </c>
      <c r="B8955" s="1" t="n">
        <v>45721.445625</v>
      </c>
      <c r="C8955" s="1" t="n">
        <v>45971</v>
      </c>
      <c r="D8955" t="inlineStr">
        <is>
          <t>VÄSTERBOTTENS LÄN</t>
        </is>
      </c>
      <c r="E8955" t="inlineStr">
        <is>
          <t>BJURHOLM</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22457-2025</t>
        </is>
      </c>
      <c r="B8956" s="1" t="n">
        <v>45786</v>
      </c>
      <c r="C8956" s="1" t="n">
        <v>45971</v>
      </c>
      <c r="D8956" t="inlineStr">
        <is>
          <t>VÄSTERBOTTENS LÄN</t>
        </is>
      </c>
      <c r="E8956" t="inlineStr">
        <is>
          <t>VILHELMINA</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41842-2024</t>
        </is>
      </c>
      <c r="B8957" s="1" t="n">
        <v>45561.42701388889</v>
      </c>
      <c r="C8957" s="1" t="n">
        <v>45971</v>
      </c>
      <c r="D8957" t="inlineStr">
        <is>
          <t>VÄSTERBOTTENS LÄN</t>
        </is>
      </c>
      <c r="E8957" t="inlineStr">
        <is>
          <t>STORUMAN</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28581-2025</t>
        </is>
      </c>
      <c r="B8958" s="1" t="n">
        <v>45819</v>
      </c>
      <c r="C8958" s="1" t="n">
        <v>45971</v>
      </c>
      <c r="D8958" t="inlineStr">
        <is>
          <t>VÄSTERBOTTENS LÄN</t>
        </is>
      </c>
      <c r="E8958" t="inlineStr">
        <is>
          <t>ÅSELE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27817-2022</t>
        </is>
      </c>
      <c r="B8959" s="1" t="n">
        <v>44743</v>
      </c>
      <c r="C8959" s="1" t="n">
        <v>45971</v>
      </c>
      <c r="D8959" t="inlineStr">
        <is>
          <t>VÄSTERBOTTENS LÄN</t>
        </is>
      </c>
      <c r="E8959" t="inlineStr">
        <is>
          <t>SKELLEFTEÅ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28804-2025</t>
        </is>
      </c>
      <c r="B8960" s="1" t="n">
        <v>45820.50423611111</v>
      </c>
      <c r="C8960" s="1" t="n">
        <v>45971</v>
      </c>
      <c r="D8960" t="inlineStr">
        <is>
          <t>VÄSTERBOTTENS LÄN</t>
        </is>
      </c>
      <c r="E8960" t="inlineStr">
        <is>
          <t>SKELLEFTEÅ</t>
        </is>
      </c>
      <c r="F8960" t="inlineStr">
        <is>
          <t>Holmen skog AB</t>
        </is>
      </c>
      <c r="G8960" t="n">
        <v>10.5</v>
      </c>
      <c r="H8960" t="n">
        <v>0</v>
      </c>
      <c r="I8960" t="n">
        <v>0</v>
      </c>
      <c r="J8960" t="n">
        <v>0</v>
      </c>
      <c r="K8960" t="n">
        <v>0</v>
      </c>
      <c r="L8960" t="n">
        <v>0</v>
      </c>
      <c r="M8960" t="n">
        <v>0</v>
      </c>
      <c r="N8960" t="n">
        <v>0</v>
      </c>
      <c r="O8960" t="n">
        <v>0</v>
      </c>
      <c r="P8960" t="n">
        <v>0</v>
      </c>
      <c r="Q8960" t="n">
        <v>0</v>
      </c>
      <c r="R8960" s="2" t="inlineStr"/>
    </row>
    <row r="8961" ht="15" customHeight="1">
      <c r="A8961" t="inlineStr">
        <is>
          <t>A 28373-2025</t>
        </is>
      </c>
      <c r="B8961" s="1" t="n">
        <v>45819</v>
      </c>
      <c r="C8961" s="1" t="n">
        <v>45971</v>
      </c>
      <c r="D8961" t="inlineStr">
        <is>
          <t>VÄSTERBOTTENS LÄN</t>
        </is>
      </c>
      <c r="E8961" t="inlineStr">
        <is>
          <t>SKELLEFTEÅ</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28818-2025</t>
        </is>
      </c>
      <c r="B8962" s="1" t="n">
        <v>45820.53545138889</v>
      </c>
      <c r="C8962" s="1" t="n">
        <v>45971</v>
      </c>
      <c r="D8962" t="inlineStr">
        <is>
          <t>VÄSTERBOTTENS LÄN</t>
        </is>
      </c>
      <c r="E8962" t="inlineStr">
        <is>
          <t>NORDMALING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52210-2025</t>
        </is>
      </c>
      <c r="B8963" s="1" t="n">
        <v>45953.42037037037</v>
      </c>
      <c r="C8963" s="1" t="n">
        <v>45971</v>
      </c>
      <c r="D8963" t="inlineStr">
        <is>
          <t>VÄSTERBOTTENS LÄN</t>
        </is>
      </c>
      <c r="E8963" t="inlineStr">
        <is>
          <t>UMEÅ</t>
        </is>
      </c>
      <c r="F8963" t="inlineStr">
        <is>
          <t>Holmen skog AB</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52215-2025</t>
        </is>
      </c>
      <c r="B8964" s="1" t="n">
        <v>45953.42755787037</v>
      </c>
      <c r="C8964" s="1" t="n">
        <v>45971</v>
      </c>
      <c r="D8964" t="inlineStr">
        <is>
          <t>VÄSTERBOTTENS LÄN</t>
        </is>
      </c>
      <c r="E8964" t="inlineStr">
        <is>
          <t>SORSELE</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44771-2024</t>
        </is>
      </c>
      <c r="B8965" s="1" t="n">
        <v>45574</v>
      </c>
      <c r="C8965" s="1" t="n">
        <v>45971</v>
      </c>
      <c r="D8965" t="inlineStr">
        <is>
          <t>VÄSTERBOTTENS LÄN</t>
        </is>
      </c>
      <c r="E8965" t="inlineStr">
        <is>
          <t>NORSJÖ</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22159-2025</t>
        </is>
      </c>
      <c r="B8966" s="1" t="n">
        <v>45785.58716435185</v>
      </c>
      <c r="C8966" s="1" t="n">
        <v>45971</v>
      </c>
      <c r="D8966" t="inlineStr">
        <is>
          <t>VÄSTERBOTTENS LÄN</t>
        </is>
      </c>
      <c r="E8966" t="inlineStr">
        <is>
          <t>UMEÅ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28777-2025</t>
        </is>
      </c>
      <c r="B8967" s="1" t="n">
        <v>45820.44814814815</v>
      </c>
      <c r="C8967" s="1" t="n">
        <v>45971</v>
      </c>
      <c r="D8967" t="inlineStr">
        <is>
          <t>VÄSTERBOTTENS LÄN</t>
        </is>
      </c>
      <c r="E8967" t="inlineStr">
        <is>
          <t>SKELLEFTEÅ</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9769-2022</t>
        </is>
      </c>
      <c r="B8968" s="1" t="n">
        <v>44619.71880787037</v>
      </c>
      <c r="C8968" s="1" t="n">
        <v>45971</v>
      </c>
      <c r="D8968" t="inlineStr">
        <is>
          <t>VÄSTERBOTTENS LÄN</t>
        </is>
      </c>
      <c r="E8968" t="inlineStr">
        <is>
          <t>UMEÅ</t>
        </is>
      </c>
      <c r="G8968" t="n">
        <v>12.6</v>
      </c>
      <c r="H8968" t="n">
        <v>0</v>
      </c>
      <c r="I8968" t="n">
        <v>0</v>
      </c>
      <c r="J8968" t="n">
        <v>0</v>
      </c>
      <c r="K8968" t="n">
        <v>0</v>
      </c>
      <c r="L8968" t="n">
        <v>0</v>
      </c>
      <c r="M8968" t="n">
        <v>0</v>
      </c>
      <c r="N8968" t="n">
        <v>0</v>
      </c>
      <c r="O8968" t="n">
        <v>0</v>
      </c>
      <c r="P8968" t="n">
        <v>0</v>
      </c>
      <c r="Q8968" t="n">
        <v>0</v>
      </c>
      <c r="R8968" s="2" t="inlineStr"/>
    </row>
    <row r="8969" ht="15" customHeight="1">
      <c r="A8969" t="inlineStr">
        <is>
          <t>A 20302-2025</t>
        </is>
      </c>
      <c r="B8969" s="1" t="n">
        <v>45774.7928587963</v>
      </c>
      <c r="C8969" s="1" t="n">
        <v>45971</v>
      </c>
      <c r="D8969" t="inlineStr">
        <is>
          <t>VÄSTERBOTTENS LÄN</t>
        </is>
      </c>
      <c r="E8969" t="inlineStr">
        <is>
          <t>ÅSELE</t>
        </is>
      </c>
      <c r="G8969" t="n">
        <v>12.7</v>
      </c>
      <c r="H8969" t="n">
        <v>0</v>
      </c>
      <c r="I8969" t="n">
        <v>0</v>
      </c>
      <c r="J8969" t="n">
        <v>0</v>
      </c>
      <c r="K8969" t="n">
        <v>0</v>
      </c>
      <c r="L8969" t="n">
        <v>0</v>
      </c>
      <c r="M8969" t="n">
        <v>0</v>
      </c>
      <c r="N8969" t="n">
        <v>0</v>
      </c>
      <c r="O8969" t="n">
        <v>0</v>
      </c>
      <c r="P8969" t="n">
        <v>0</v>
      </c>
      <c r="Q8969" t="n">
        <v>0</v>
      </c>
      <c r="R8969" s="2" t="inlineStr"/>
    </row>
    <row r="8970" ht="15" customHeight="1">
      <c r="A8970" t="inlineStr">
        <is>
          <t>A 20303-2025</t>
        </is>
      </c>
      <c r="B8970" s="1" t="n">
        <v>45774.80667824074</v>
      </c>
      <c r="C8970" s="1" t="n">
        <v>45971</v>
      </c>
      <c r="D8970" t="inlineStr">
        <is>
          <t>VÄSTERBOTTENS LÄN</t>
        </is>
      </c>
      <c r="E8970" t="inlineStr">
        <is>
          <t>ÅSELE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60606-2023</t>
        </is>
      </c>
      <c r="B8971" s="1" t="n">
        <v>45260.34408564815</v>
      </c>
      <c r="C8971" s="1" t="n">
        <v>45971</v>
      </c>
      <c r="D8971" t="inlineStr">
        <is>
          <t>VÄSTERBOTTENS LÄN</t>
        </is>
      </c>
      <c r="E8971" t="inlineStr">
        <is>
          <t>BJURHOLM</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22440-2025</t>
        </is>
      </c>
      <c r="B8972" s="1" t="n">
        <v>45786</v>
      </c>
      <c r="C8972" s="1" t="n">
        <v>45971</v>
      </c>
      <c r="D8972" t="inlineStr">
        <is>
          <t>VÄSTERBOTTENS LÄN</t>
        </is>
      </c>
      <c r="E8972" t="inlineStr">
        <is>
          <t>VILHELMINA</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36308-2025</t>
        </is>
      </c>
      <c r="B8973" s="1" t="n">
        <v>45868</v>
      </c>
      <c r="C8973" s="1" t="n">
        <v>45971</v>
      </c>
      <c r="D8973" t="inlineStr">
        <is>
          <t>VÄSTERBOTTENS LÄN</t>
        </is>
      </c>
      <c r="E8973" t="inlineStr">
        <is>
          <t>STORUMAN</t>
        </is>
      </c>
      <c r="G8973" t="n">
        <v>25.3</v>
      </c>
      <c r="H8973" t="n">
        <v>0</v>
      </c>
      <c r="I8973" t="n">
        <v>0</v>
      </c>
      <c r="J8973" t="n">
        <v>0</v>
      </c>
      <c r="K8973" t="n">
        <v>0</v>
      </c>
      <c r="L8973" t="n">
        <v>0</v>
      </c>
      <c r="M8973" t="n">
        <v>0</v>
      </c>
      <c r="N8973" t="n">
        <v>0</v>
      </c>
      <c r="O8973" t="n">
        <v>0</v>
      </c>
      <c r="P8973" t="n">
        <v>0</v>
      </c>
      <c r="Q8973" t="n">
        <v>0</v>
      </c>
      <c r="R8973" s="2" t="inlineStr"/>
    </row>
    <row r="8974" ht="15" customHeight="1">
      <c r="A8974" t="inlineStr">
        <is>
          <t>A 43788-2025</t>
        </is>
      </c>
      <c r="B8974" s="1" t="n">
        <v>45912</v>
      </c>
      <c r="C8974" s="1" t="n">
        <v>45971</v>
      </c>
      <c r="D8974" t="inlineStr">
        <is>
          <t>VÄSTERBOTTENS LÄN</t>
        </is>
      </c>
      <c r="E8974" t="inlineStr">
        <is>
          <t>LYCKSELE</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43835-2025</t>
        </is>
      </c>
      <c r="B8975" s="1" t="n">
        <v>45912.63228009259</v>
      </c>
      <c r="C8975" s="1" t="n">
        <v>45971</v>
      </c>
      <c r="D8975" t="inlineStr">
        <is>
          <t>VÄSTERBOTTENS LÄN</t>
        </is>
      </c>
      <c r="E8975" t="inlineStr">
        <is>
          <t>NORSJÖ</t>
        </is>
      </c>
      <c r="F8975" t="inlineStr">
        <is>
          <t>Sveaskog</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28694-2025</t>
        </is>
      </c>
      <c r="B8976" s="1" t="n">
        <v>45819.88594907407</v>
      </c>
      <c r="C8976" s="1" t="n">
        <v>45971</v>
      </c>
      <c r="D8976" t="inlineStr">
        <is>
          <t>VÄSTERBOTTENS LÄN</t>
        </is>
      </c>
      <c r="E8976" t="inlineStr">
        <is>
          <t>VÄNNÄS</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43866-2025</t>
        </is>
      </c>
      <c r="B8977" s="1" t="n">
        <v>45912.65726851852</v>
      </c>
      <c r="C8977" s="1" t="n">
        <v>45971</v>
      </c>
      <c r="D8977" t="inlineStr">
        <is>
          <t>VÄSTERBOTTENS LÄN</t>
        </is>
      </c>
      <c r="E8977" t="inlineStr">
        <is>
          <t>DOROTEA</t>
        </is>
      </c>
      <c r="F8977" t="inlineStr">
        <is>
          <t>SCA</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52234-2025</t>
        </is>
      </c>
      <c r="B8978" s="1" t="n">
        <v>45953.45195601852</v>
      </c>
      <c r="C8978" s="1" t="n">
        <v>45971</v>
      </c>
      <c r="D8978" t="inlineStr">
        <is>
          <t>VÄSTERBOTTENS LÄN</t>
        </is>
      </c>
      <c r="E8978" t="inlineStr">
        <is>
          <t>NORDMALING</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52238-2025</t>
        </is>
      </c>
      <c r="B8979" s="1" t="n">
        <v>45953.46032407408</v>
      </c>
      <c r="C8979" s="1" t="n">
        <v>45971</v>
      </c>
      <c r="D8979" t="inlineStr">
        <is>
          <t>VÄSTERBOTTENS LÄN</t>
        </is>
      </c>
      <c r="E8979" t="inlineStr">
        <is>
          <t>UMEÅ</t>
        </is>
      </c>
      <c r="F8979" t="inlineStr">
        <is>
          <t>Holmen skog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28528-2025</t>
        </is>
      </c>
      <c r="B8980" s="1" t="n">
        <v>45819.49827546296</v>
      </c>
      <c r="C8980" s="1" t="n">
        <v>45971</v>
      </c>
      <c r="D8980" t="inlineStr">
        <is>
          <t>VÄSTERBOTTENS LÄN</t>
        </is>
      </c>
      <c r="E8980" t="inlineStr">
        <is>
          <t>VINDELN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43724-2025</t>
        </is>
      </c>
      <c r="B8981" s="1" t="n">
        <v>45912.42877314815</v>
      </c>
      <c r="C8981" s="1" t="n">
        <v>45971</v>
      </c>
      <c r="D8981" t="inlineStr">
        <is>
          <t>VÄSTERBOTTENS LÄN</t>
        </is>
      </c>
      <c r="E8981" t="inlineStr">
        <is>
          <t>MALÅ</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47299-2023</t>
        </is>
      </c>
      <c r="B8982" s="1" t="n">
        <v>45196</v>
      </c>
      <c r="C8982" s="1" t="n">
        <v>45971</v>
      </c>
      <c r="D8982" t="inlineStr">
        <is>
          <t>VÄSTERBOTTENS LÄN</t>
        </is>
      </c>
      <c r="E8982" t="inlineStr">
        <is>
          <t>STORUMAN</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28787-2025</t>
        </is>
      </c>
      <c r="B8983" s="1" t="n">
        <v>45820.46806712963</v>
      </c>
      <c r="C8983" s="1" t="n">
        <v>45971</v>
      </c>
      <c r="D8983" t="inlineStr">
        <is>
          <t>VÄSTERBOTTENS LÄN</t>
        </is>
      </c>
      <c r="E8983" t="inlineStr">
        <is>
          <t>SKELLEFTEÅ</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28408-2025</t>
        </is>
      </c>
      <c r="B8984" s="1" t="n">
        <v>45819.34600694444</v>
      </c>
      <c r="C8984" s="1" t="n">
        <v>45971</v>
      </c>
      <c r="D8984" t="inlineStr">
        <is>
          <t>VÄSTERBOTTENS LÄN</t>
        </is>
      </c>
      <c r="E8984" t="inlineStr">
        <is>
          <t>SKELLEFTEÅ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28816-2025</t>
        </is>
      </c>
      <c r="B8985" s="1" t="n">
        <v>45820.5315625</v>
      </c>
      <c r="C8985" s="1" t="n">
        <v>45971</v>
      </c>
      <c r="D8985" t="inlineStr">
        <is>
          <t>VÄSTERBOTTENS LÄN</t>
        </is>
      </c>
      <c r="E8985" t="inlineStr">
        <is>
          <t>VINDELN</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28822-2025</t>
        </is>
      </c>
      <c r="B8986" s="1" t="n">
        <v>45820</v>
      </c>
      <c r="C8986" s="1" t="n">
        <v>45971</v>
      </c>
      <c r="D8986" t="inlineStr">
        <is>
          <t>VÄSTERBOTTENS LÄN</t>
        </is>
      </c>
      <c r="E8986" t="inlineStr">
        <is>
          <t>NORSJÖ</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28825-2025</t>
        </is>
      </c>
      <c r="B8987" s="1" t="n">
        <v>45820.54582175926</v>
      </c>
      <c r="C8987" s="1" t="n">
        <v>45971</v>
      </c>
      <c r="D8987" t="inlineStr">
        <is>
          <t>VÄSTERBOTTENS LÄN</t>
        </is>
      </c>
      <c r="E8987" t="inlineStr">
        <is>
          <t>LYCKSELE</t>
        </is>
      </c>
      <c r="F8987" t="inlineStr">
        <is>
          <t>Sveaskog</t>
        </is>
      </c>
      <c r="G8987" t="n">
        <v>11.9</v>
      </c>
      <c r="H8987" t="n">
        <v>0</v>
      </c>
      <c r="I8987" t="n">
        <v>0</v>
      </c>
      <c r="J8987" t="n">
        <v>0</v>
      </c>
      <c r="K8987" t="n">
        <v>0</v>
      </c>
      <c r="L8987" t="n">
        <v>0</v>
      </c>
      <c r="M8987" t="n">
        <v>0</v>
      </c>
      <c r="N8987" t="n">
        <v>0</v>
      </c>
      <c r="O8987" t="n">
        <v>0</v>
      </c>
      <c r="P8987" t="n">
        <v>0</v>
      </c>
      <c r="Q8987" t="n">
        <v>0</v>
      </c>
      <c r="R8987" s="2" t="inlineStr"/>
    </row>
    <row r="8988" ht="15" customHeight="1">
      <c r="A8988" t="inlineStr">
        <is>
          <t>A 28826-2025</t>
        </is>
      </c>
      <c r="B8988" s="1" t="n">
        <v>45820.54883101852</v>
      </c>
      <c r="C8988" s="1" t="n">
        <v>45971</v>
      </c>
      <c r="D8988" t="inlineStr">
        <is>
          <t>VÄSTERBOTTENS LÄN</t>
        </is>
      </c>
      <c r="E8988" t="inlineStr">
        <is>
          <t>LYCKSELE</t>
        </is>
      </c>
      <c r="F8988" t="inlineStr">
        <is>
          <t>Sveaskog</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28836-2025</t>
        </is>
      </c>
      <c r="B8989" s="1" t="n">
        <v>45820.55875</v>
      </c>
      <c r="C8989" s="1" t="n">
        <v>45971</v>
      </c>
      <c r="D8989" t="inlineStr">
        <is>
          <t>VÄSTERBOTTENS LÄN</t>
        </is>
      </c>
      <c r="E8989" t="inlineStr">
        <is>
          <t>UMEÅ</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28908-2025</t>
        </is>
      </c>
      <c r="B8990" s="1" t="n">
        <v>45820.65319444444</v>
      </c>
      <c r="C8990" s="1" t="n">
        <v>45971</v>
      </c>
      <c r="D8990" t="inlineStr">
        <is>
          <t>VÄSTERBOTTENS LÄN</t>
        </is>
      </c>
      <c r="E8990" t="inlineStr">
        <is>
          <t>NORSJÖ</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52398-2025</t>
        </is>
      </c>
      <c r="B8991" s="1" t="n">
        <v>45954.34572916666</v>
      </c>
      <c r="C8991" s="1" t="n">
        <v>45971</v>
      </c>
      <c r="D8991" t="inlineStr">
        <is>
          <t>VÄSTERBOTTENS LÄN</t>
        </is>
      </c>
      <c r="E8991" t="inlineStr">
        <is>
          <t>VILHELMINA</t>
        </is>
      </c>
      <c r="F8991" t="inlineStr">
        <is>
          <t>Sveaskog</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52412-2025</t>
        </is>
      </c>
      <c r="B8992" s="1" t="n">
        <v>45954.36586805555</v>
      </c>
      <c r="C8992" s="1" t="n">
        <v>45971</v>
      </c>
      <c r="D8992" t="inlineStr">
        <is>
          <t>VÄSTERBOTTENS LÄN</t>
        </is>
      </c>
      <c r="E8992" t="inlineStr">
        <is>
          <t>DOROTEA</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22516-2023</t>
        </is>
      </c>
      <c r="B8993" s="1" t="n">
        <v>45069</v>
      </c>
      <c r="C8993" s="1" t="n">
        <v>45971</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43489-2025</t>
        </is>
      </c>
      <c r="B8994" s="1" t="n">
        <v>45911.51107638889</v>
      </c>
      <c r="C8994" s="1" t="n">
        <v>45971</v>
      </c>
      <c r="D8994" t="inlineStr">
        <is>
          <t>VÄSTERBOTTENS LÄN</t>
        </is>
      </c>
      <c r="E8994" t="inlineStr">
        <is>
          <t>ÅSELE</t>
        </is>
      </c>
      <c r="F8994" t="inlineStr">
        <is>
          <t>SCA</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28360-2025</t>
        </is>
      </c>
      <c r="B8995" s="1" t="n">
        <v>45818.80997685185</v>
      </c>
      <c r="C8995" s="1" t="n">
        <v>45971</v>
      </c>
      <c r="D8995" t="inlineStr">
        <is>
          <t>VÄSTERBOTTENS LÄN</t>
        </is>
      </c>
      <c r="E8995" t="inlineStr">
        <is>
          <t>SKELLEFTEÅ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46839-2024</t>
        </is>
      </c>
      <c r="B8996" s="1" t="n">
        <v>45583.59901620371</v>
      </c>
      <c r="C8996" s="1" t="n">
        <v>45971</v>
      </c>
      <c r="D8996" t="inlineStr">
        <is>
          <t>VÄSTERBOTTENS LÄN</t>
        </is>
      </c>
      <c r="E8996" t="inlineStr">
        <is>
          <t>VINDELN</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28359-2025</t>
        </is>
      </c>
      <c r="B8997" s="1" t="n">
        <v>45818.79951388889</v>
      </c>
      <c r="C8997" s="1" t="n">
        <v>45971</v>
      </c>
      <c r="D8997" t="inlineStr">
        <is>
          <t>VÄSTERBOTTENS LÄN</t>
        </is>
      </c>
      <c r="E8997" t="inlineStr">
        <is>
          <t>SKELLEFTEÅ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60614-2023</t>
        </is>
      </c>
      <c r="B8998" s="1" t="n">
        <v>45260</v>
      </c>
      <c r="C8998" s="1" t="n">
        <v>45971</v>
      </c>
      <c r="D8998" t="inlineStr">
        <is>
          <t>VÄSTERBOTTENS LÄN</t>
        </is>
      </c>
      <c r="E8998" t="inlineStr">
        <is>
          <t>SKELLEFTEÅ</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43374-2025</t>
        </is>
      </c>
      <c r="B8999" s="1" t="n">
        <v>45911.35045138889</v>
      </c>
      <c r="C8999" s="1" t="n">
        <v>45971</v>
      </c>
      <c r="D8999" t="inlineStr">
        <is>
          <t>VÄSTERBOTTENS LÄN</t>
        </is>
      </c>
      <c r="E8999" t="inlineStr">
        <is>
          <t>NORDMALING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43783-2025</t>
        </is>
      </c>
      <c r="B9000" s="1" t="n">
        <v>45912.52703703703</v>
      </c>
      <c r="C9000" s="1" t="n">
        <v>45971</v>
      </c>
      <c r="D9000" t="inlineStr">
        <is>
          <t>VÄSTERBOTTENS LÄN</t>
        </is>
      </c>
      <c r="E9000" t="inlineStr">
        <is>
          <t>VINDELN</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43789-2025</t>
        </is>
      </c>
      <c r="B9001" s="1" t="n">
        <v>45912.53976851852</v>
      </c>
      <c r="C9001" s="1" t="n">
        <v>45971</v>
      </c>
      <c r="D9001" t="inlineStr">
        <is>
          <t>VÄSTERBOTTENS LÄN</t>
        </is>
      </c>
      <c r="E9001" t="inlineStr">
        <is>
          <t>UMEÅ</t>
        </is>
      </c>
      <c r="F9001" t="inlineStr">
        <is>
          <t>Holmen skog AB</t>
        </is>
      </c>
      <c r="G9001" t="n">
        <v>21.1</v>
      </c>
      <c r="H9001" t="n">
        <v>0</v>
      </c>
      <c r="I9001" t="n">
        <v>0</v>
      </c>
      <c r="J9001" t="n">
        <v>0</v>
      </c>
      <c r="K9001" t="n">
        <v>0</v>
      </c>
      <c r="L9001" t="n">
        <v>0</v>
      </c>
      <c r="M9001" t="n">
        <v>0</v>
      </c>
      <c r="N9001" t="n">
        <v>0</v>
      </c>
      <c r="O9001" t="n">
        <v>0</v>
      </c>
      <c r="P9001" t="n">
        <v>0</v>
      </c>
      <c r="Q9001" t="n">
        <v>0</v>
      </c>
      <c r="R9001" s="2" t="inlineStr"/>
    </row>
    <row r="9002" ht="15" customHeight="1">
      <c r="A9002" t="inlineStr">
        <is>
          <t>A 53469-2024</t>
        </is>
      </c>
      <c r="B9002" s="1" t="n">
        <v>45611</v>
      </c>
      <c r="C9002" s="1" t="n">
        <v>45971</v>
      </c>
      <c r="D9002" t="inlineStr">
        <is>
          <t>VÄSTERBOTTENS LÄN</t>
        </is>
      </c>
      <c r="E9002" t="inlineStr">
        <is>
          <t>DOROTEA</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43800-2025</t>
        </is>
      </c>
      <c r="B9003" s="1" t="n">
        <v>45912.57226851852</v>
      </c>
      <c r="C9003" s="1" t="n">
        <v>45971</v>
      </c>
      <c r="D9003" t="inlineStr">
        <is>
          <t>VÄSTERBOTTENS LÄN</t>
        </is>
      </c>
      <c r="E9003" t="inlineStr">
        <is>
          <t>SKELLEFTEÅ</t>
        </is>
      </c>
      <c r="F9003" t="inlineStr">
        <is>
          <t>Sveaskog</t>
        </is>
      </c>
      <c r="G9003" t="n">
        <v>25.3</v>
      </c>
      <c r="H9003" t="n">
        <v>0</v>
      </c>
      <c r="I9003" t="n">
        <v>0</v>
      </c>
      <c r="J9003" t="n">
        <v>0</v>
      </c>
      <c r="K9003" t="n">
        <v>0</v>
      </c>
      <c r="L9003" t="n">
        <v>0</v>
      </c>
      <c r="M9003" t="n">
        <v>0</v>
      </c>
      <c r="N9003" t="n">
        <v>0</v>
      </c>
      <c r="O9003" t="n">
        <v>0</v>
      </c>
      <c r="P9003" t="n">
        <v>0</v>
      </c>
      <c r="Q9003" t="n">
        <v>0</v>
      </c>
      <c r="R9003" s="2" t="inlineStr"/>
    </row>
    <row r="9004" ht="15" customHeight="1">
      <c r="A9004" t="inlineStr">
        <is>
          <t>A 29789-2025</t>
        </is>
      </c>
      <c r="B9004" s="1" t="n">
        <v>45825</v>
      </c>
      <c r="C9004" s="1" t="n">
        <v>45971</v>
      </c>
      <c r="D9004" t="inlineStr">
        <is>
          <t>VÄSTERBOTTENS LÄN</t>
        </is>
      </c>
      <c r="E9004" t="inlineStr">
        <is>
          <t>SORSELE</t>
        </is>
      </c>
      <c r="F9004" t="inlineStr">
        <is>
          <t>Allmännings- och besparingsskogar</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28823-2025</t>
        </is>
      </c>
      <c r="B9005" s="1" t="n">
        <v>45820</v>
      </c>
      <c r="C9005" s="1" t="n">
        <v>45971</v>
      </c>
      <c r="D9005" t="inlineStr">
        <is>
          <t>VÄSTERBOTTENS LÄN</t>
        </is>
      </c>
      <c r="E9005" t="inlineStr">
        <is>
          <t>NORSJÖ</t>
        </is>
      </c>
      <c r="G9005" t="n">
        <v>14.1</v>
      </c>
      <c r="H9005" t="n">
        <v>0</v>
      </c>
      <c r="I9005" t="n">
        <v>0</v>
      </c>
      <c r="J9005" t="n">
        <v>0</v>
      </c>
      <c r="K9005" t="n">
        <v>0</v>
      </c>
      <c r="L9005" t="n">
        <v>0</v>
      </c>
      <c r="M9005" t="n">
        <v>0</v>
      </c>
      <c r="N9005" t="n">
        <v>0</v>
      </c>
      <c r="O9005" t="n">
        <v>0</v>
      </c>
      <c r="P9005" t="n">
        <v>0</v>
      </c>
      <c r="Q9005" t="n">
        <v>0</v>
      </c>
      <c r="R9005" s="2" t="inlineStr"/>
    </row>
    <row r="9006" ht="15" customHeight="1">
      <c r="A9006" t="inlineStr">
        <is>
          <t>A 28827-2025</t>
        </is>
      </c>
      <c r="B9006" s="1" t="n">
        <v>45820.55162037037</v>
      </c>
      <c r="C9006" s="1" t="n">
        <v>45971</v>
      </c>
      <c r="D9006" t="inlineStr">
        <is>
          <t>VÄSTERBOTTENS LÄN</t>
        </is>
      </c>
      <c r="E9006" t="inlineStr">
        <is>
          <t>UMEÅ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43474-2023</t>
        </is>
      </c>
      <c r="B9007" s="1" t="n">
        <v>45184.42844907408</v>
      </c>
      <c r="C9007" s="1" t="n">
        <v>45971</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53564-2024</t>
        </is>
      </c>
      <c r="B9008" s="1" t="n">
        <v>45611</v>
      </c>
      <c r="C9008" s="1" t="n">
        <v>45971</v>
      </c>
      <c r="D9008" t="inlineStr">
        <is>
          <t>VÄSTERBOTTENS LÄN</t>
        </is>
      </c>
      <c r="E9008" t="inlineStr">
        <is>
          <t>ROBERTSFORS</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55654-2024</t>
        </is>
      </c>
      <c r="B9009" s="1" t="n">
        <v>45621</v>
      </c>
      <c r="C9009" s="1" t="n">
        <v>45971</v>
      </c>
      <c r="D9009" t="inlineStr">
        <is>
          <t>VÄSTERBOTTENS LÄN</t>
        </is>
      </c>
      <c r="E9009" t="inlineStr">
        <is>
          <t>SKELLEFTEÅ</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21996-2022</t>
        </is>
      </c>
      <c r="B9010" s="1" t="n">
        <v>44711.56952546296</v>
      </c>
      <c r="C9010" s="1" t="n">
        <v>45971</v>
      </c>
      <c r="D9010" t="inlineStr">
        <is>
          <t>VÄSTERBOTTENS LÄN</t>
        </is>
      </c>
      <c r="E9010" t="inlineStr">
        <is>
          <t>SKELLEFTEÅ</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61033-2023</t>
        </is>
      </c>
      <c r="B9011" s="1" t="n">
        <v>45261</v>
      </c>
      <c r="C9011" s="1" t="n">
        <v>45971</v>
      </c>
      <c r="D9011" t="inlineStr">
        <is>
          <t>VÄSTERBOTTENS LÄN</t>
        </is>
      </c>
      <c r="E9011" t="inlineStr">
        <is>
          <t>SKELLEFTEÅ</t>
        </is>
      </c>
      <c r="F9011" t="inlineStr">
        <is>
          <t>Sveaskog</t>
        </is>
      </c>
      <c r="G9011" t="n">
        <v>16.4</v>
      </c>
      <c r="H9011" t="n">
        <v>0</v>
      </c>
      <c r="I9011" t="n">
        <v>0</v>
      </c>
      <c r="J9011" t="n">
        <v>0</v>
      </c>
      <c r="K9011" t="n">
        <v>0</v>
      </c>
      <c r="L9011" t="n">
        <v>0</v>
      </c>
      <c r="M9011" t="n">
        <v>0</v>
      </c>
      <c r="N9011" t="n">
        <v>0</v>
      </c>
      <c r="O9011" t="n">
        <v>0</v>
      </c>
      <c r="P9011" t="n">
        <v>0</v>
      </c>
      <c r="Q9011" t="n">
        <v>0</v>
      </c>
      <c r="R9011" s="2" t="inlineStr"/>
    </row>
    <row r="9012" ht="15" customHeight="1">
      <c r="A9012" t="inlineStr">
        <is>
          <t>A 28749-2025</t>
        </is>
      </c>
      <c r="B9012" s="1" t="n">
        <v>45820.39708333334</v>
      </c>
      <c r="C9012" s="1" t="n">
        <v>45971</v>
      </c>
      <c r="D9012" t="inlineStr">
        <is>
          <t>VÄSTERBOTTENS LÄN</t>
        </is>
      </c>
      <c r="E9012" t="inlineStr">
        <is>
          <t>VINDELN</t>
        </is>
      </c>
      <c r="F9012" t="inlineStr">
        <is>
          <t>Naturvårdsverket</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28989-2025</t>
        </is>
      </c>
      <c r="B9013" s="1" t="n">
        <v>45821.37027777778</v>
      </c>
      <c r="C9013" s="1" t="n">
        <v>45971</v>
      </c>
      <c r="D9013" t="inlineStr">
        <is>
          <t>VÄSTERBOTTENS LÄN</t>
        </is>
      </c>
      <c r="E9013" t="inlineStr">
        <is>
          <t>SKELLEFTEÅ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28999-2025</t>
        </is>
      </c>
      <c r="B9014" s="1" t="n">
        <v>45821.38677083333</v>
      </c>
      <c r="C9014" s="1" t="n">
        <v>45971</v>
      </c>
      <c r="D9014" t="inlineStr">
        <is>
          <t>VÄSTERBOTTENS LÄN</t>
        </is>
      </c>
      <c r="E9014" t="inlineStr">
        <is>
          <t>NORSJÖ</t>
        </is>
      </c>
      <c r="F9014" t="inlineStr">
        <is>
          <t>Holmen skog AB</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6655-2025</t>
        </is>
      </c>
      <c r="B9015" s="1" t="n">
        <v>45700.42770833334</v>
      </c>
      <c r="C9015" s="1" t="n">
        <v>45971</v>
      </c>
      <c r="D9015" t="inlineStr">
        <is>
          <t>VÄSTERBOTTENS LÄN</t>
        </is>
      </c>
      <c r="E9015" t="inlineStr">
        <is>
          <t>MALÅ</t>
        </is>
      </c>
      <c r="F9015" t="inlineStr">
        <is>
          <t>SCA</t>
        </is>
      </c>
      <c r="G9015" t="n">
        <v>10.2</v>
      </c>
      <c r="H9015" t="n">
        <v>0</v>
      </c>
      <c r="I9015" t="n">
        <v>0</v>
      </c>
      <c r="J9015" t="n">
        <v>0</v>
      </c>
      <c r="K9015" t="n">
        <v>0</v>
      </c>
      <c r="L9015" t="n">
        <v>0</v>
      </c>
      <c r="M9015" t="n">
        <v>0</v>
      </c>
      <c r="N9015" t="n">
        <v>0</v>
      </c>
      <c r="O9015" t="n">
        <v>0</v>
      </c>
      <c r="P9015" t="n">
        <v>0</v>
      </c>
      <c r="Q9015" t="n">
        <v>0</v>
      </c>
      <c r="R9015" s="2" t="inlineStr"/>
    </row>
    <row r="9016" ht="15" customHeight="1">
      <c r="A9016" t="inlineStr">
        <is>
          <t>A 7080-2025</t>
        </is>
      </c>
      <c r="B9016" s="1" t="n">
        <v>45701.69836805556</v>
      </c>
      <c r="C9016" s="1" t="n">
        <v>45971</v>
      </c>
      <c r="D9016" t="inlineStr">
        <is>
          <t>VÄSTERBOTTENS LÄN</t>
        </is>
      </c>
      <c r="E9016" t="inlineStr">
        <is>
          <t>NORDMALING</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29235-2025</t>
        </is>
      </c>
      <c r="B9017" s="1" t="n">
        <v>45824.34488425926</v>
      </c>
      <c r="C9017" s="1" t="n">
        <v>45971</v>
      </c>
      <c r="D9017" t="inlineStr">
        <is>
          <t>VÄSTERBOTTENS LÄN</t>
        </is>
      </c>
      <c r="E9017" t="inlineStr">
        <is>
          <t>LYCKSELE</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60059-2024</t>
        </is>
      </c>
      <c r="B9018" s="1" t="n">
        <v>45642.49046296296</v>
      </c>
      <c r="C9018" s="1" t="n">
        <v>45971</v>
      </c>
      <c r="D9018" t="inlineStr">
        <is>
          <t>VÄSTERBOTTENS LÄN</t>
        </is>
      </c>
      <c r="E9018" t="inlineStr">
        <is>
          <t>VINDELN</t>
        </is>
      </c>
      <c r="F9018" t="inlineStr">
        <is>
          <t>SCA</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29438-2025</t>
        </is>
      </c>
      <c r="B9019" s="1" t="n">
        <v>45824.65788194445</v>
      </c>
      <c r="C9019" s="1" t="n">
        <v>45971</v>
      </c>
      <c r="D9019" t="inlineStr">
        <is>
          <t>VÄSTERBOTTENS LÄN</t>
        </is>
      </c>
      <c r="E9019" t="inlineStr">
        <is>
          <t>LYCKSELE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52388-2025</t>
        </is>
      </c>
      <c r="B9020" s="1" t="n">
        <v>45954.32572916667</v>
      </c>
      <c r="C9020" s="1" t="n">
        <v>45971</v>
      </c>
      <c r="D9020" t="inlineStr">
        <is>
          <t>VÄSTERBOTTENS LÄN</t>
        </is>
      </c>
      <c r="E9020" t="inlineStr">
        <is>
          <t>SKELLEFTEÅ</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29203-2025</t>
        </is>
      </c>
      <c r="B9021" s="1" t="n">
        <v>45823</v>
      </c>
      <c r="C9021" s="1" t="n">
        <v>45971</v>
      </c>
      <c r="D9021" t="inlineStr">
        <is>
          <t>VÄSTERBOTTENS LÄN</t>
        </is>
      </c>
      <c r="E9021" t="inlineStr">
        <is>
          <t>VILHELMINA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41861-2024</t>
        </is>
      </c>
      <c r="B9022" s="1" t="n">
        <v>45561</v>
      </c>
      <c r="C9022" s="1" t="n">
        <v>45971</v>
      </c>
      <c r="D9022" t="inlineStr">
        <is>
          <t>VÄSTERBOTTENS LÄN</t>
        </is>
      </c>
      <c r="E9022" t="inlineStr">
        <is>
          <t>ÅSELE</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29379-2025</t>
        </is>
      </c>
      <c r="B9023" s="1" t="n">
        <v>45824.58925925926</v>
      </c>
      <c r="C9023" s="1" t="n">
        <v>45971</v>
      </c>
      <c r="D9023" t="inlineStr">
        <is>
          <t>VÄSTERBOTTENS LÄN</t>
        </is>
      </c>
      <c r="E9023" t="inlineStr">
        <is>
          <t>NORSJÖ</t>
        </is>
      </c>
      <c r="F9023" t="inlineStr">
        <is>
          <t>Holmen skog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29236-2025</t>
        </is>
      </c>
      <c r="B9024" s="1" t="n">
        <v>45824.34488425926</v>
      </c>
      <c r="C9024" s="1" t="n">
        <v>45971</v>
      </c>
      <c r="D9024" t="inlineStr">
        <is>
          <t>VÄSTERBOTTENS LÄN</t>
        </is>
      </c>
      <c r="E9024" t="inlineStr">
        <is>
          <t>LYCKSELE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28984-2025</t>
        </is>
      </c>
      <c r="B9025" s="1" t="n">
        <v>45821.36861111111</v>
      </c>
      <c r="C9025" s="1" t="n">
        <v>45971</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21336-2023</t>
        </is>
      </c>
      <c r="B9026" s="1" t="n">
        <v>45062</v>
      </c>
      <c r="C9026" s="1" t="n">
        <v>45971</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2933-2022</t>
        </is>
      </c>
      <c r="B9027" s="1" t="n">
        <v>44581</v>
      </c>
      <c r="C9027" s="1" t="n">
        <v>45971</v>
      </c>
      <c r="D9027" t="inlineStr">
        <is>
          <t>VÄSTERBOTTENS LÄN</t>
        </is>
      </c>
      <c r="E9027" t="inlineStr">
        <is>
          <t>VÄNNÄS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20591-2025</t>
        </is>
      </c>
      <c r="B9028" s="1" t="n">
        <v>45775</v>
      </c>
      <c r="C9028" s="1" t="n">
        <v>45971</v>
      </c>
      <c r="D9028" t="inlineStr">
        <is>
          <t>VÄSTERBOTTENS LÄN</t>
        </is>
      </c>
      <c r="E9028" t="inlineStr">
        <is>
          <t>VILHELMINA</t>
        </is>
      </c>
      <c r="F9028" t="inlineStr">
        <is>
          <t>SCA</t>
        </is>
      </c>
      <c r="G9028" t="n">
        <v>27.4</v>
      </c>
      <c r="H9028" t="n">
        <v>0</v>
      </c>
      <c r="I9028" t="n">
        <v>0</v>
      </c>
      <c r="J9028" t="n">
        <v>0</v>
      </c>
      <c r="K9028" t="n">
        <v>0</v>
      </c>
      <c r="L9028" t="n">
        <v>0</v>
      </c>
      <c r="M9028" t="n">
        <v>0</v>
      </c>
      <c r="N9028" t="n">
        <v>0</v>
      </c>
      <c r="O9028" t="n">
        <v>0</v>
      </c>
      <c r="P9028" t="n">
        <v>0</v>
      </c>
      <c r="Q9028" t="n">
        <v>0</v>
      </c>
      <c r="R9028" s="2" t="inlineStr"/>
    </row>
    <row r="9029" ht="15" customHeight="1">
      <c r="A9029" t="inlineStr">
        <is>
          <t>A 29465-2025</t>
        </is>
      </c>
      <c r="B9029" s="1" t="n">
        <v>45824</v>
      </c>
      <c r="C9029" s="1" t="n">
        <v>45971</v>
      </c>
      <c r="D9029" t="inlineStr">
        <is>
          <t>VÄSTERBOTTENS LÄN</t>
        </is>
      </c>
      <c r="E9029" t="inlineStr">
        <is>
          <t>DOROTEA</t>
        </is>
      </c>
      <c r="F9029" t="inlineStr">
        <is>
          <t>SCA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6667-2024</t>
        </is>
      </c>
      <c r="B9030" s="1" t="n">
        <v>45341</v>
      </c>
      <c r="C9030" s="1" t="n">
        <v>45971</v>
      </c>
      <c r="D9030" t="inlineStr">
        <is>
          <t>VÄSTERBOTTENS LÄN</t>
        </is>
      </c>
      <c r="E9030" t="inlineStr">
        <is>
          <t>NORSJÖ</t>
        </is>
      </c>
      <c r="F9030" t="inlineStr">
        <is>
          <t>Holmen skog AB</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29088-2025</t>
        </is>
      </c>
      <c r="B9031" s="1" t="n">
        <v>45821.54648148148</v>
      </c>
      <c r="C9031" s="1" t="n">
        <v>45971</v>
      </c>
      <c r="D9031" t="inlineStr">
        <is>
          <t>VÄSTERBOTTENS LÄN</t>
        </is>
      </c>
      <c r="E9031" t="inlineStr">
        <is>
          <t>LYCKSELE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29120-2025</t>
        </is>
      </c>
      <c r="B9032" s="1" t="n">
        <v>45821</v>
      </c>
      <c r="C9032" s="1" t="n">
        <v>45971</v>
      </c>
      <c r="D9032" t="inlineStr">
        <is>
          <t>VÄSTERBOTTENS LÄN</t>
        </is>
      </c>
      <c r="E9032" t="inlineStr">
        <is>
          <t>VILHELMINA</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29134-2025</t>
        </is>
      </c>
      <c r="B9033" s="1" t="n">
        <v>45821.60568287037</v>
      </c>
      <c r="C9033" s="1" t="n">
        <v>45971</v>
      </c>
      <c r="D9033" t="inlineStr">
        <is>
          <t>VÄSTERBOTTENS LÄN</t>
        </is>
      </c>
      <c r="E9033" t="inlineStr">
        <is>
          <t>SKELLEFTEÅ</t>
        </is>
      </c>
      <c r="F9033" t="inlineStr">
        <is>
          <t>Holmen skog AB</t>
        </is>
      </c>
      <c r="G9033" t="n">
        <v>10.5</v>
      </c>
      <c r="H9033" t="n">
        <v>0</v>
      </c>
      <c r="I9033" t="n">
        <v>0</v>
      </c>
      <c r="J9033" t="n">
        <v>0</v>
      </c>
      <c r="K9033" t="n">
        <v>0</v>
      </c>
      <c r="L9033" t="n">
        <v>0</v>
      </c>
      <c r="M9033" t="n">
        <v>0</v>
      </c>
      <c r="N9033" t="n">
        <v>0</v>
      </c>
      <c r="O9033" t="n">
        <v>0</v>
      </c>
      <c r="P9033" t="n">
        <v>0</v>
      </c>
      <c r="Q9033" t="n">
        <v>0</v>
      </c>
      <c r="R9033" s="2" t="inlineStr"/>
    </row>
    <row r="9034" ht="15" customHeight="1">
      <c r="A9034" t="inlineStr">
        <is>
          <t>A 43797-2025</t>
        </is>
      </c>
      <c r="B9034" s="1" t="n">
        <v>45912.5659837963</v>
      </c>
      <c r="C9034" s="1" t="n">
        <v>45971</v>
      </c>
      <c r="D9034" t="inlineStr">
        <is>
          <t>VÄSTERBOTTENS LÄN</t>
        </is>
      </c>
      <c r="E9034" t="inlineStr">
        <is>
          <t>SKELLEFTEÅ</t>
        </is>
      </c>
      <c r="F9034" t="inlineStr">
        <is>
          <t>Sveaskog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43799-2025</t>
        </is>
      </c>
      <c r="B9035" s="1" t="n">
        <v>45912</v>
      </c>
      <c r="C9035" s="1" t="n">
        <v>45971</v>
      </c>
      <c r="D9035" t="inlineStr">
        <is>
          <t>VÄSTERBOTTENS LÄN</t>
        </is>
      </c>
      <c r="E9035" t="inlineStr">
        <is>
          <t>ROBERTSFORS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49949-2023</t>
        </is>
      </c>
      <c r="B9036" s="1" t="n">
        <v>45215.36532407408</v>
      </c>
      <c r="C9036" s="1" t="n">
        <v>45971</v>
      </c>
      <c r="D9036" t="inlineStr">
        <is>
          <t>VÄSTERBOTTENS LÄN</t>
        </is>
      </c>
      <c r="E9036" t="inlineStr">
        <is>
          <t>SKELLEFTEÅ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16294-2022</t>
        </is>
      </c>
      <c r="B9037" s="1" t="n">
        <v>44670.54792824074</v>
      </c>
      <c r="C9037" s="1" t="n">
        <v>45971</v>
      </c>
      <c r="D9037" t="inlineStr">
        <is>
          <t>VÄSTERBOTTENS LÄN</t>
        </is>
      </c>
      <c r="E9037" t="inlineStr">
        <is>
          <t>NORSJÖ</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29194-2025</t>
        </is>
      </c>
      <c r="B9038" s="1" t="n">
        <v>45822</v>
      </c>
      <c r="C9038" s="1" t="n">
        <v>45971</v>
      </c>
      <c r="D9038" t="inlineStr">
        <is>
          <t>VÄSTERBOTTENS LÄN</t>
        </is>
      </c>
      <c r="E9038" t="inlineStr">
        <is>
          <t>SKELLEFTEÅ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43828-2025</t>
        </is>
      </c>
      <c r="B9039" s="1" t="n">
        <v>45912.62778935185</v>
      </c>
      <c r="C9039" s="1" t="n">
        <v>45971</v>
      </c>
      <c r="D9039" t="inlineStr">
        <is>
          <t>VÄSTERBOTTENS LÄN</t>
        </is>
      </c>
      <c r="E9039" t="inlineStr">
        <is>
          <t>VINDELN</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43392-2025</t>
        </is>
      </c>
      <c r="B9040" s="1" t="n">
        <v>45911.36961805556</v>
      </c>
      <c r="C9040" s="1" t="n">
        <v>45971</v>
      </c>
      <c r="D9040" t="inlineStr">
        <is>
          <t>VÄSTERBOTTENS LÄN</t>
        </is>
      </c>
      <c r="E9040" t="inlineStr">
        <is>
          <t>VINDELN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43409-2025</t>
        </is>
      </c>
      <c r="B9041" s="1" t="n">
        <v>45911.39513888889</v>
      </c>
      <c r="C9041" s="1" t="n">
        <v>45971</v>
      </c>
      <c r="D9041" t="inlineStr">
        <is>
          <t>VÄSTERBOTTENS LÄN</t>
        </is>
      </c>
      <c r="E9041" t="inlineStr">
        <is>
          <t>LYCKSELE</t>
        </is>
      </c>
      <c r="F9041" t="inlineStr">
        <is>
          <t>Holmen skog AB</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43825-2025</t>
        </is>
      </c>
      <c r="B9042" s="1" t="n">
        <v>45912.61891203704</v>
      </c>
      <c r="C9042" s="1" t="n">
        <v>45971</v>
      </c>
      <c r="D9042" t="inlineStr">
        <is>
          <t>VÄSTERBOTTENS LÄN</t>
        </is>
      </c>
      <c r="E9042" t="inlineStr">
        <is>
          <t>SKELLEFTEÅ</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1573-2025</t>
        </is>
      </c>
      <c r="B9043" s="1" t="n">
        <v>45670</v>
      </c>
      <c r="C9043" s="1" t="n">
        <v>45971</v>
      </c>
      <c r="D9043" t="inlineStr">
        <is>
          <t>VÄSTERBOTTENS LÄN</t>
        </is>
      </c>
      <c r="E9043" t="inlineStr">
        <is>
          <t>ROBERTSFORS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28961-2025</t>
        </is>
      </c>
      <c r="B9044" s="1" t="n">
        <v>45821.32046296296</v>
      </c>
      <c r="C9044" s="1" t="n">
        <v>45971</v>
      </c>
      <c r="D9044" t="inlineStr">
        <is>
          <t>VÄSTERBOTTENS LÄN</t>
        </is>
      </c>
      <c r="E9044" t="inlineStr">
        <is>
          <t>SKELLEFTEÅ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43826-2025</t>
        </is>
      </c>
      <c r="B9045" s="1" t="n">
        <v>45912.62055555556</v>
      </c>
      <c r="C9045" s="1" t="n">
        <v>45971</v>
      </c>
      <c r="D9045" t="inlineStr">
        <is>
          <t>VÄSTERBOTTENS LÄN</t>
        </is>
      </c>
      <c r="E9045" t="inlineStr">
        <is>
          <t>ROBERTSFORS</t>
        </is>
      </c>
      <c r="F9045" t="inlineStr">
        <is>
          <t>Holmen skog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43845-2025</t>
        </is>
      </c>
      <c r="B9046" s="1" t="n">
        <v>45912.63668981481</v>
      </c>
      <c r="C9046" s="1" t="n">
        <v>45971</v>
      </c>
      <c r="D9046" t="inlineStr">
        <is>
          <t>VÄSTERBOTTENS LÄN</t>
        </is>
      </c>
      <c r="E9046" t="inlineStr">
        <is>
          <t>NORSJÖ</t>
        </is>
      </c>
      <c r="F9046" t="inlineStr">
        <is>
          <t>Sveaskog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39594-2023</t>
        </is>
      </c>
      <c r="B9047" s="1" t="n">
        <v>45167</v>
      </c>
      <c r="C9047" s="1" t="n">
        <v>45971</v>
      </c>
      <c r="D9047" t="inlineStr">
        <is>
          <t>VÄSTERBOTTENS LÄN</t>
        </is>
      </c>
      <c r="E9047" t="inlineStr">
        <is>
          <t>UMEÅ</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29395-2025</t>
        </is>
      </c>
      <c r="B9048" s="1" t="n">
        <v>45824.60665509259</v>
      </c>
      <c r="C9048" s="1" t="n">
        <v>45971</v>
      </c>
      <c r="D9048" t="inlineStr">
        <is>
          <t>VÄSTERBOTTENS LÄN</t>
        </is>
      </c>
      <c r="E9048" t="inlineStr">
        <is>
          <t>NORSJÖ</t>
        </is>
      </c>
      <c r="F9048" t="inlineStr">
        <is>
          <t>Holmen skog AB</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29442-2025</t>
        </is>
      </c>
      <c r="B9049" s="1" t="n">
        <v>45824.66078703704</v>
      </c>
      <c r="C9049" s="1" t="n">
        <v>45971</v>
      </c>
      <c r="D9049" t="inlineStr">
        <is>
          <t>VÄSTERBOTTENS LÄN</t>
        </is>
      </c>
      <c r="E9049" t="inlineStr">
        <is>
          <t>SKELLEFTEÅ</t>
        </is>
      </c>
      <c r="F9049" t="inlineStr">
        <is>
          <t>Holmen skog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29455-2025</t>
        </is>
      </c>
      <c r="B9050" s="1" t="n">
        <v>45824.68148148148</v>
      </c>
      <c r="C9050" s="1" t="n">
        <v>45971</v>
      </c>
      <c r="D9050" t="inlineStr">
        <is>
          <t>VÄSTERBOTTENS LÄN</t>
        </is>
      </c>
      <c r="E9050" t="inlineStr">
        <is>
          <t>SKELLEFTEÅ</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33636-2021</t>
        </is>
      </c>
      <c r="B9051" s="1" t="n">
        <v>44378</v>
      </c>
      <c r="C9051" s="1" t="n">
        <v>45971</v>
      </c>
      <c r="D9051" t="inlineStr">
        <is>
          <t>VÄSTERBOTTENS LÄN</t>
        </is>
      </c>
      <c r="E9051" t="inlineStr">
        <is>
          <t>VILHELMINA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29034-2025</t>
        </is>
      </c>
      <c r="B9052" s="1" t="n">
        <v>45821.44274305556</v>
      </c>
      <c r="C9052" s="1" t="n">
        <v>45971</v>
      </c>
      <c r="D9052" t="inlineStr">
        <is>
          <t>VÄSTERBOTTENS LÄN</t>
        </is>
      </c>
      <c r="E9052" t="inlineStr">
        <is>
          <t>LYCKSELE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29045-2025</t>
        </is>
      </c>
      <c r="B9053" s="1" t="n">
        <v>45821.45783564815</v>
      </c>
      <c r="C9053" s="1" t="n">
        <v>45971</v>
      </c>
      <c r="D9053" t="inlineStr">
        <is>
          <t>VÄSTERBOTTENS LÄN</t>
        </is>
      </c>
      <c r="E9053" t="inlineStr">
        <is>
          <t>LYCKSELE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32767-2024</t>
        </is>
      </c>
      <c r="B9054" s="1" t="n">
        <v>45516</v>
      </c>
      <c r="C9054" s="1" t="n">
        <v>45971</v>
      </c>
      <c r="D9054" t="inlineStr">
        <is>
          <t>VÄSTERBOTTENS LÄN</t>
        </is>
      </c>
      <c r="E9054" t="inlineStr">
        <is>
          <t>MALÅ</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29258-2025</t>
        </is>
      </c>
      <c r="B9055" s="1" t="n">
        <v>45824.38880787037</v>
      </c>
      <c r="C9055" s="1" t="n">
        <v>45971</v>
      </c>
      <c r="D9055" t="inlineStr">
        <is>
          <t>VÄSTERBOTTENS LÄN</t>
        </is>
      </c>
      <c r="E9055" t="inlineStr">
        <is>
          <t>DOROTEA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29262-2025</t>
        </is>
      </c>
      <c r="B9056" s="1" t="n">
        <v>45824.39509259259</v>
      </c>
      <c r="C9056" s="1" t="n">
        <v>45971</v>
      </c>
      <c r="D9056" t="inlineStr">
        <is>
          <t>VÄSTERBOTTENS LÄN</t>
        </is>
      </c>
      <c r="E9056" t="inlineStr">
        <is>
          <t>ROBERTSFORS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29272-2025</t>
        </is>
      </c>
      <c r="B9057" s="1" t="n">
        <v>45824.41008101852</v>
      </c>
      <c r="C9057" s="1" t="n">
        <v>45971</v>
      </c>
      <c r="D9057" t="inlineStr">
        <is>
          <t>VÄSTERBOTTENS LÄN</t>
        </is>
      </c>
      <c r="E9057" t="inlineStr">
        <is>
          <t>ROBERTSFORS</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29330-2025</t>
        </is>
      </c>
      <c r="B9058" s="1" t="n">
        <v>45824.48680555556</v>
      </c>
      <c r="C9058" s="1" t="n">
        <v>45971</v>
      </c>
      <c r="D9058" t="inlineStr">
        <is>
          <t>VÄSTERBOTTENS LÄN</t>
        </is>
      </c>
      <c r="E9058" t="inlineStr">
        <is>
          <t>UMEÅ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29229-2025</t>
        </is>
      </c>
      <c r="B9059" s="1" t="n">
        <v>45822</v>
      </c>
      <c r="C9059" s="1" t="n">
        <v>45971</v>
      </c>
      <c r="D9059" t="inlineStr">
        <is>
          <t>VÄSTERBOTTENS LÄN</t>
        </is>
      </c>
      <c r="E9059" t="inlineStr">
        <is>
          <t>SORSELE</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18482-2025</t>
        </is>
      </c>
      <c r="B9060" s="1" t="n">
        <v>45763.26912037037</v>
      </c>
      <c r="C9060" s="1" t="n">
        <v>45971</v>
      </c>
      <c r="D9060" t="inlineStr">
        <is>
          <t>VÄSTERBOTTENS LÄN</t>
        </is>
      </c>
      <c r="E9060" t="inlineStr">
        <is>
          <t>VINDELN</t>
        </is>
      </c>
      <c r="F9060" t="inlineStr">
        <is>
          <t>Holmen skog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29234-2025</t>
        </is>
      </c>
      <c r="B9061" s="1" t="n">
        <v>45824.34478009259</v>
      </c>
      <c r="C9061" s="1" t="n">
        <v>45971</v>
      </c>
      <c r="D9061" t="inlineStr">
        <is>
          <t>VÄSTERBOTTENS LÄN</t>
        </is>
      </c>
      <c r="E9061" t="inlineStr">
        <is>
          <t>VILHELMINA</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29344-2025</t>
        </is>
      </c>
      <c r="B9062" s="1" t="n">
        <v>45824.50795138889</v>
      </c>
      <c r="C9062" s="1" t="n">
        <v>45971</v>
      </c>
      <c r="D9062" t="inlineStr">
        <is>
          <t>VÄSTERBOTTENS LÄN</t>
        </is>
      </c>
      <c r="E9062" t="inlineStr">
        <is>
          <t>UMEÅ</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29413-2025</t>
        </is>
      </c>
      <c r="B9063" s="1" t="n">
        <v>45824.62412037037</v>
      </c>
      <c r="C9063" s="1" t="n">
        <v>45971</v>
      </c>
      <c r="D9063" t="inlineStr">
        <is>
          <t>VÄSTERBOTTENS LÄN</t>
        </is>
      </c>
      <c r="E9063" t="inlineStr">
        <is>
          <t>SKELLEFTEÅ</t>
        </is>
      </c>
      <c r="F9063" t="inlineStr">
        <is>
          <t>Holmen skog AB</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43729-2025</t>
        </is>
      </c>
      <c r="B9064" s="1" t="n">
        <v>45912.43429398148</v>
      </c>
      <c r="C9064" s="1" t="n">
        <v>45971</v>
      </c>
      <c r="D9064" t="inlineStr">
        <is>
          <t>VÄSTERBOTTENS LÄN</t>
        </is>
      </c>
      <c r="E9064" t="inlineStr">
        <is>
          <t>SKELLEFTEÅ</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45971</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45971</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57085-2023</t>
        </is>
      </c>
      <c r="B9067" s="1" t="n">
        <v>45245.25636574074</v>
      </c>
      <c r="C9067" s="1" t="n">
        <v>45971</v>
      </c>
      <c r="D9067" t="inlineStr">
        <is>
          <t>VÄSTERBOTTENS LÄN</t>
        </is>
      </c>
      <c r="E9067" t="inlineStr">
        <is>
          <t>SKELLEFTEÅ</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45971</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29347-2025</t>
        </is>
      </c>
      <c r="B9069" s="1" t="n">
        <v>45824.51351851852</v>
      </c>
      <c r="C9069" s="1" t="n">
        <v>45971</v>
      </c>
      <c r="D9069" t="inlineStr">
        <is>
          <t>VÄSTERBOTTENS LÄN</t>
        </is>
      </c>
      <c r="E9069" t="inlineStr">
        <is>
          <t>NORSJÖ</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52329-2023</t>
        </is>
      </c>
      <c r="B9070" s="1" t="n">
        <v>45224.65313657407</v>
      </c>
      <c r="C9070" s="1" t="n">
        <v>45971</v>
      </c>
      <c r="D9070" t="inlineStr">
        <is>
          <t>VÄSTERBOTTENS LÄN</t>
        </is>
      </c>
      <c r="E9070" t="inlineStr">
        <is>
          <t>VINDELN</t>
        </is>
      </c>
      <c r="F9070" t="inlineStr">
        <is>
          <t>Sveaskog</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16519-2024</t>
        </is>
      </c>
      <c r="B9071" s="1" t="n">
        <v>45408</v>
      </c>
      <c r="C9071" s="1" t="n">
        <v>45971</v>
      </c>
      <c r="D9071" t="inlineStr">
        <is>
          <t>VÄSTERBOTTENS LÄN</t>
        </is>
      </c>
      <c r="E9071" t="inlineStr">
        <is>
          <t>SKELLEFTEÅ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24726-2024</t>
        </is>
      </c>
      <c r="B9072" s="1" t="n">
        <v>45460</v>
      </c>
      <c r="C9072" s="1" t="n">
        <v>45971</v>
      </c>
      <c r="D9072" t="inlineStr">
        <is>
          <t>VÄSTERBOTTENS LÄN</t>
        </is>
      </c>
      <c r="E9072" t="inlineStr">
        <is>
          <t>VINDELN</t>
        </is>
      </c>
      <c r="F9072" t="inlineStr">
        <is>
          <t>Holmen skog AB</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45971</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44279-2025</t>
        </is>
      </c>
      <c r="B9074" s="1" t="n">
        <v>45916.34494212963</v>
      </c>
      <c r="C9074" s="1" t="n">
        <v>45971</v>
      </c>
      <c r="D9074" t="inlineStr">
        <is>
          <t>VÄSTERBOTTENS LÄN</t>
        </is>
      </c>
      <c r="E9074" t="inlineStr">
        <is>
          <t>ÅSELE</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44282-2025</t>
        </is>
      </c>
      <c r="B9075" s="1" t="n">
        <v>45916.34527777778</v>
      </c>
      <c r="C9075" s="1" t="n">
        <v>45971</v>
      </c>
      <c r="D9075" t="inlineStr">
        <is>
          <t>VÄSTERBOTTENS LÄN</t>
        </is>
      </c>
      <c r="E9075" t="inlineStr">
        <is>
          <t>DOROTEA</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9053-2022</t>
        </is>
      </c>
      <c r="B9076" s="1" t="n">
        <v>44615</v>
      </c>
      <c r="C9076" s="1" t="n">
        <v>45971</v>
      </c>
      <c r="D9076" t="inlineStr">
        <is>
          <t>VÄSTERBOTTENS LÄN</t>
        </is>
      </c>
      <c r="E9076" t="inlineStr">
        <is>
          <t>SKELLEFTEÅ</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29283-2025</t>
        </is>
      </c>
      <c r="B9077" s="1" t="n">
        <v>45824.43114583333</v>
      </c>
      <c r="C9077" s="1" t="n">
        <v>45971</v>
      </c>
      <c r="D9077" t="inlineStr">
        <is>
          <t>VÄSTERBOTTENS LÄN</t>
        </is>
      </c>
      <c r="E9077" t="inlineStr">
        <is>
          <t>UMEÅ</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35984-2023</t>
        </is>
      </c>
      <c r="B9078" s="1" t="n">
        <v>45148.96195601852</v>
      </c>
      <c r="C9078" s="1" t="n">
        <v>45971</v>
      </c>
      <c r="D9078" t="inlineStr">
        <is>
          <t>VÄSTERBOTTENS LÄN</t>
        </is>
      </c>
      <c r="E9078" t="inlineStr">
        <is>
          <t>VILHELMINA</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25009-2022</t>
        </is>
      </c>
      <c r="B9079" s="1" t="n">
        <v>44728.92866898148</v>
      </c>
      <c r="C9079" s="1" t="n">
        <v>45971</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17582-2024</t>
        </is>
      </c>
      <c r="B9080" s="1" t="n">
        <v>45415</v>
      </c>
      <c r="C9080" s="1" t="n">
        <v>45971</v>
      </c>
      <c r="D9080" t="inlineStr">
        <is>
          <t>VÄSTERBOTTENS LÄN</t>
        </is>
      </c>
      <c r="E9080" t="inlineStr">
        <is>
          <t>VÄNNÄS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29195-2025</t>
        </is>
      </c>
      <c r="B9081" s="1" t="n">
        <v>45822.96603009259</v>
      </c>
      <c r="C9081" s="1" t="n">
        <v>45971</v>
      </c>
      <c r="D9081" t="inlineStr">
        <is>
          <t>VÄSTERBOTTENS LÄN</t>
        </is>
      </c>
      <c r="E9081" t="inlineStr">
        <is>
          <t>LYCKSELE</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29475-2025</t>
        </is>
      </c>
      <c r="B9082" s="1" t="n">
        <v>45824.7070949074</v>
      </c>
      <c r="C9082" s="1" t="n">
        <v>45971</v>
      </c>
      <c r="D9082" t="inlineStr">
        <is>
          <t>VÄSTERBOTTENS LÄN</t>
        </is>
      </c>
      <c r="E9082" t="inlineStr">
        <is>
          <t>NORSJÖ</t>
        </is>
      </c>
      <c r="F9082" t="inlineStr">
        <is>
          <t>Holmen skog AB</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44026-2022</t>
        </is>
      </c>
      <c r="B9083" s="1" t="n">
        <v>44838.92494212963</v>
      </c>
      <c r="C9083" s="1" t="n">
        <v>45971</v>
      </c>
      <c r="D9083" t="inlineStr">
        <is>
          <t>VÄSTERBOTTENS LÄN</t>
        </is>
      </c>
      <c r="E9083" t="inlineStr">
        <is>
          <t>ROBERTSFORS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26106-2025</t>
        </is>
      </c>
      <c r="B9084" s="1" t="n">
        <v>45805</v>
      </c>
      <c r="C9084" s="1" t="n">
        <v>45971</v>
      </c>
      <c r="D9084" t="inlineStr">
        <is>
          <t>VÄSTERBOTTENS LÄN</t>
        </is>
      </c>
      <c r="E9084" t="inlineStr">
        <is>
          <t>STORUMAN</t>
        </is>
      </c>
      <c r="F9084" t="inlineStr">
        <is>
          <t>Allmännings- och besparingsskogar</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5582-2025</t>
        </is>
      </c>
      <c r="B9085" s="1" t="n">
        <v>45693.55229166667</v>
      </c>
      <c r="C9085" s="1" t="n">
        <v>45971</v>
      </c>
      <c r="D9085" t="inlineStr">
        <is>
          <t>VÄSTERBOTTENS LÄN</t>
        </is>
      </c>
      <c r="E9085" t="inlineStr">
        <is>
          <t>BJURHOLM</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44322-2025</t>
        </is>
      </c>
      <c r="B9086" s="1" t="n">
        <v>45915</v>
      </c>
      <c r="C9086" s="1" t="n">
        <v>45971</v>
      </c>
      <c r="D9086" t="inlineStr">
        <is>
          <t>VÄSTERBOTTENS LÄN</t>
        </is>
      </c>
      <c r="E9086" t="inlineStr">
        <is>
          <t>DOROTEA</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55528-2023</t>
        </is>
      </c>
      <c r="B9087" s="1" t="n">
        <v>45238.59362268518</v>
      </c>
      <c r="C9087" s="1" t="n">
        <v>45971</v>
      </c>
      <c r="D9087" t="inlineStr">
        <is>
          <t>VÄSTERBOTTENS LÄN</t>
        </is>
      </c>
      <c r="E9087" t="inlineStr">
        <is>
          <t>SKELLEFTEÅ</t>
        </is>
      </c>
      <c r="G9087" t="n">
        <v>9.6</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45971</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55305-2023</t>
        </is>
      </c>
      <c r="B9089" s="1" t="n">
        <v>45237.86452546297</v>
      </c>
      <c r="C9089" s="1" t="n">
        <v>45971</v>
      </c>
      <c r="D9089" t="inlineStr">
        <is>
          <t>VÄSTERBOTTENS LÄN</t>
        </is>
      </c>
      <c r="E9089" t="inlineStr">
        <is>
          <t>NORDMALING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45971</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45971</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22339-2024</t>
        </is>
      </c>
      <c r="B9092" s="1" t="n">
        <v>45446</v>
      </c>
      <c r="C9092" s="1" t="n">
        <v>45971</v>
      </c>
      <c r="D9092" t="inlineStr">
        <is>
          <t>VÄSTERBOTTENS LÄN</t>
        </is>
      </c>
      <c r="E9092" t="inlineStr">
        <is>
          <t>ROBERTSFORS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23973-2024</t>
        </is>
      </c>
      <c r="B9093" s="1" t="n">
        <v>45455.9684837963</v>
      </c>
      <c r="C9093" s="1" t="n">
        <v>45971</v>
      </c>
      <c r="D9093" t="inlineStr">
        <is>
          <t>VÄSTERBOTTENS LÄN</t>
        </is>
      </c>
      <c r="E9093" t="inlineStr">
        <is>
          <t>LYCKSELE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44121-2022</t>
        </is>
      </c>
      <c r="B9094" s="1" t="n">
        <v>44839</v>
      </c>
      <c r="C9094" s="1" t="n">
        <v>45971</v>
      </c>
      <c r="D9094" t="inlineStr">
        <is>
          <t>VÄSTERBOTTENS LÄN</t>
        </is>
      </c>
      <c r="E9094" t="inlineStr">
        <is>
          <t>UMEÅ</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44340-2025</t>
        </is>
      </c>
      <c r="B9095" s="1" t="n">
        <v>45916.43275462963</v>
      </c>
      <c r="C9095" s="1" t="n">
        <v>45971</v>
      </c>
      <c r="D9095" t="inlineStr">
        <is>
          <t>VÄSTERBOTTENS LÄN</t>
        </is>
      </c>
      <c r="E9095" t="inlineStr">
        <is>
          <t>LYCKSELE</t>
        </is>
      </c>
      <c r="F9095" t="inlineStr">
        <is>
          <t>Sveaskog</t>
        </is>
      </c>
      <c r="G9095" t="n">
        <v>19.6</v>
      </c>
      <c r="H9095" t="n">
        <v>0</v>
      </c>
      <c r="I9095" t="n">
        <v>0</v>
      </c>
      <c r="J9095" t="n">
        <v>0</v>
      </c>
      <c r="K9095" t="n">
        <v>0</v>
      </c>
      <c r="L9095" t="n">
        <v>0</v>
      </c>
      <c r="M9095" t="n">
        <v>0</v>
      </c>
      <c r="N9095" t="n">
        <v>0</v>
      </c>
      <c r="O9095" t="n">
        <v>0</v>
      </c>
      <c r="P9095" t="n">
        <v>0</v>
      </c>
      <c r="Q9095" t="n">
        <v>0</v>
      </c>
      <c r="R9095" s="2" t="inlineStr"/>
    </row>
    <row r="9096" ht="15" customHeight="1">
      <c r="A9096" t="inlineStr">
        <is>
          <t>A 12990-2025</t>
        </is>
      </c>
      <c r="B9096" s="1" t="n">
        <v>45734</v>
      </c>
      <c r="C9096" s="1" t="n">
        <v>45971</v>
      </c>
      <c r="D9096" t="inlineStr">
        <is>
          <t>VÄSTERBOTTENS LÄN</t>
        </is>
      </c>
      <c r="E9096" t="inlineStr">
        <is>
          <t>VILHELMINA</t>
        </is>
      </c>
      <c r="G9096" t="n">
        <v>11.2</v>
      </c>
      <c r="H9096" t="n">
        <v>0</v>
      </c>
      <c r="I9096" t="n">
        <v>0</v>
      </c>
      <c r="J9096" t="n">
        <v>0</v>
      </c>
      <c r="K9096" t="n">
        <v>0</v>
      </c>
      <c r="L9096" t="n">
        <v>0</v>
      </c>
      <c r="M9096" t="n">
        <v>0</v>
      </c>
      <c r="N9096" t="n">
        <v>0</v>
      </c>
      <c r="O9096" t="n">
        <v>0</v>
      </c>
      <c r="P9096" t="n">
        <v>0</v>
      </c>
      <c r="Q9096" t="n">
        <v>0</v>
      </c>
      <c r="R9096" s="2" t="inlineStr"/>
    </row>
    <row r="9097" ht="15" customHeight="1">
      <c r="A9097" t="inlineStr">
        <is>
          <t>A 22405-2024</t>
        </is>
      </c>
      <c r="B9097" s="1" t="n">
        <v>45446</v>
      </c>
      <c r="C9097" s="1" t="n">
        <v>45971</v>
      </c>
      <c r="D9097" t="inlineStr">
        <is>
          <t>VÄSTERBOTTENS LÄN</t>
        </is>
      </c>
      <c r="E9097" t="inlineStr">
        <is>
          <t>VINDELN</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29468-2025</t>
        </is>
      </c>
      <c r="B9098" s="1" t="n">
        <v>45824.69888888889</v>
      </c>
      <c r="C9098" s="1" t="n">
        <v>45971</v>
      </c>
      <c r="D9098" t="inlineStr">
        <is>
          <t>VÄSTERBOTTENS LÄN</t>
        </is>
      </c>
      <c r="E9098" t="inlineStr">
        <is>
          <t>VILHELMINA</t>
        </is>
      </c>
      <c r="F9098" t="inlineStr">
        <is>
          <t>SCA</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6228-2025</t>
        </is>
      </c>
      <c r="B9099" s="1" t="n">
        <v>45697</v>
      </c>
      <c r="C9099" s="1" t="n">
        <v>45971</v>
      </c>
      <c r="D9099" t="inlineStr">
        <is>
          <t>VÄSTERBOTTENS LÄN</t>
        </is>
      </c>
      <c r="E9099" t="inlineStr">
        <is>
          <t>SORSELE</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29219-2025</t>
        </is>
      </c>
      <c r="B9100" s="1" t="n">
        <v>45824.31930555555</v>
      </c>
      <c r="C9100" s="1" t="n">
        <v>45971</v>
      </c>
      <c r="D9100" t="inlineStr">
        <is>
          <t>VÄSTERBOTTENS LÄN</t>
        </is>
      </c>
      <c r="E9100" t="inlineStr">
        <is>
          <t>UMEÅ</t>
        </is>
      </c>
      <c r="F9100" t="inlineStr">
        <is>
          <t>Holmen skog AB</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29224-2025</t>
        </is>
      </c>
      <c r="B9101" s="1" t="n">
        <v>45824.33494212963</v>
      </c>
      <c r="C9101" s="1" t="n">
        <v>45971</v>
      </c>
      <c r="D9101" t="inlineStr">
        <is>
          <t>VÄSTERBOTTENS LÄN</t>
        </is>
      </c>
      <c r="E9101" t="inlineStr">
        <is>
          <t>ROBERTSFORS</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29466-2025</t>
        </is>
      </c>
      <c r="B9102" s="1" t="n">
        <v>45824.69865740741</v>
      </c>
      <c r="C9102" s="1" t="n">
        <v>45971</v>
      </c>
      <c r="D9102" t="inlineStr">
        <is>
          <t>VÄSTERBOTTENS LÄN</t>
        </is>
      </c>
      <c r="E9102" t="inlineStr">
        <is>
          <t>VILHELMINA</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28728-2023</t>
        </is>
      </c>
      <c r="B9103" s="1" t="n">
        <v>45103</v>
      </c>
      <c r="C9103" s="1" t="n">
        <v>45971</v>
      </c>
      <c r="D9103" t="inlineStr">
        <is>
          <t>VÄSTERBOTTENS LÄN</t>
        </is>
      </c>
      <c r="E9103" t="inlineStr">
        <is>
          <t>ÅSELE</t>
        </is>
      </c>
      <c r="F9103" t="inlineStr">
        <is>
          <t>Sveaskog</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28731-2023</t>
        </is>
      </c>
      <c r="B9104" s="1" t="n">
        <v>45103</v>
      </c>
      <c r="C9104" s="1" t="n">
        <v>45971</v>
      </c>
      <c r="D9104" t="inlineStr">
        <is>
          <t>VÄSTERBOTTENS LÄN</t>
        </is>
      </c>
      <c r="E9104" t="inlineStr">
        <is>
          <t>ÅSELE</t>
        </is>
      </c>
      <c r="F9104" t="inlineStr">
        <is>
          <t>Sveaskog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45800-2023</t>
        </is>
      </c>
      <c r="B9105" s="1" t="n">
        <v>45189</v>
      </c>
      <c r="C9105" s="1" t="n">
        <v>45971</v>
      </c>
      <c r="D9105" t="inlineStr">
        <is>
          <t>VÄSTERBOTTENS LÄN</t>
        </is>
      </c>
      <c r="E9105" t="inlineStr">
        <is>
          <t>ÅSELE</t>
        </is>
      </c>
      <c r="G9105" t="n">
        <v>42.1</v>
      </c>
      <c r="H9105" t="n">
        <v>0</v>
      </c>
      <c r="I9105" t="n">
        <v>0</v>
      </c>
      <c r="J9105" t="n">
        <v>0</v>
      </c>
      <c r="K9105" t="n">
        <v>0</v>
      </c>
      <c r="L9105" t="n">
        <v>0</v>
      </c>
      <c r="M9105" t="n">
        <v>0</v>
      </c>
      <c r="N9105" t="n">
        <v>0</v>
      </c>
      <c r="O9105" t="n">
        <v>0</v>
      </c>
      <c r="P9105" t="n">
        <v>0</v>
      </c>
      <c r="Q9105" t="n">
        <v>0</v>
      </c>
      <c r="R9105" s="2" t="inlineStr"/>
    </row>
    <row r="9106" ht="15" customHeight="1">
      <c r="A9106" t="inlineStr">
        <is>
          <t>A 45812-2023</t>
        </is>
      </c>
      <c r="B9106" s="1" t="n">
        <v>45189</v>
      </c>
      <c r="C9106" s="1" t="n">
        <v>45971</v>
      </c>
      <c r="D9106" t="inlineStr">
        <is>
          <t>VÄSTERBOTTENS LÄN</t>
        </is>
      </c>
      <c r="E9106" t="inlineStr">
        <is>
          <t>MALÅ</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55920-2023</t>
        </is>
      </c>
      <c r="B9107" s="1" t="n">
        <v>45239.96893518518</v>
      </c>
      <c r="C9107" s="1" t="n">
        <v>45971</v>
      </c>
      <c r="D9107" t="inlineStr">
        <is>
          <t>VÄSTERBOTTENS LÄN</t>
        </is>
      </c>
      <c r="E9107" t="inlineStr">
        <is>
          <t>ÅSELE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55938-2023</t>
        </is>
      </c>
      <c r="B9108" s="1" t="n">
        <v>45240.28634259259</v>
      </c>
      <c r="C9108" s="1" t="n">
        <v>45971</v>
      </c>
      <c r="D9108" t="inlineStr">
        <is>
          <t>VÄSTERBOTTENS LÄN</t>
        </is>
      </c>
      <c r="E9108" t="inlineStr">
        <is>
          <t>LYCKSELE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44061-2025</t>
        </is>
      </c>
      <c r="B9109" s="1" t="n">
        <v>45915.53731481481</v>
      </c>
      <c r="C9109" s="1" t="n">
        <v>45971</v>
      </c>
      <c r="D9109" t="inlineStr">
        <is>
          <t>VÄSTERBOTTENS LÄN</t>
        </is>
      </c>
      <c r="E9109" t="inlineStr">
        <is>
          <t>SKELLEFTEÅ</t>
        </is>
      </c>
      <c r="F9109" t="inlineStr">
        <is>
          <t>Sveaskog</t>
        </is>
      </c>
      <c r="G9109" t="n">
        <v>11.8</v>
      </c>
      <c r="H9109" t="n">
        <v>0</v>
      </c>
      <c r="I9109" t="n">
        <v>0</v>
      </c>
      <c r="J9109" t="n">
        <v>0</v>
      </c>
      <c r="K9109" t="n">
        <v>0</v>
      </c>
      <c r="L9109" t="n">
        <v>0</v>
      </c>
      <c r="M9109" t="n">
        <v>0</v>
      </c>
      <c r="N9109" t="n">
        <v>0</v>
      </c>
      <c r="O9109" t="n">
        <v>0</v>
      </c>
      <c r="P9109" t="n">
        <v>0</v>
      </c>
      <c r="Q9109" t="n">
        <v>0</v>
      </c>
      <c r="R9109" s="2" t="inlineStr"/>
    </row>
    <row r="9110" ht="15" customHeight="1">
      <c r="A9110" t="inlineStr">
        <is>
          <t>A 32129-2024</t>
        </is>
      </c>
      <c r="B9110" s="1" t="n">
        <v>45511</v>
      </c>
      <c r="C9110" s="1" t="n">
        <v>45971</v>
      </c>
      <c r="D9110" t="inlineStr">
        <is>
          <t>VÄSTERBOTTENS LÄN</t>
        </is>
      </c>
      <c r="E9110" t="inlineStr">
        <is>
          <t>BJURHOLM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44208-2025</t>
        </is>
      </c>
      <c r="B9111" s="1" t="n">
        <v>45915.62952546297</v>
      </c>
      <c r="C9111" s="1" t="n">
        <v>45971</v>
      </c>
      <c r="D9111" t="inlineStr">
        <is>
          <t>VÄSTERBOTTENS LÄN</t>
        </is>
      </c>
      <c r="E9111" t="inlineStr">
        <is>
          <t>ÅSELE</t>
        </is>
      </c>
      <c r="F9111" t="inlineStr">
        <is>
          <t>Naturvårdsverket</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44210-2025</t>
        </is>
      </c>
      <c r="B9112" s="1" t="n">
        <v>45915.63162037037</v>
      </c>
      <c r="C9112" s="1" t="n">
        <v>45971</v>
      </c>
      <c r="D9112" t="inlineStr">
        <is>
          <t>VÄSTERBOTTENS LÄN</t>
        </is>
      </c>
      <c r="E9112" t="inlineStr">
        <is>
          <t>ÅSELE</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44227-2025</t>
        </is>
      </c>
      <c r="B9113" s="1" t="n">
        <v>45915.64064814815</v>
      </c>
      <c r="C9113" s="1" t="n">
        <v>45971</v>
      </c>
      <c r="D9113" t="inlineStr">
        <is>
          <t>VÄSTERBOTTENS LÄN</t>
        </is>
      </c>
      <c r="E9113" t="inlineStr">
        <is>
          <t>VINDELN</t>
        </is>
      </c>
      <c r="F9113" t="inlineStr">
        <is>
          <t>Sveaskog</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38076-2023</t>
        </is>
      </c>
      <c r="B9114" s="1" t="n">
        <v>45160</v>
      </c>
      <c r="C9114" s="1" t="n">
        <v>45971</v>
      </c>
      <c r="D9114" t="inlineStr">
        <is>
          <t>VÄSTERBOTTENS LÄN</t>
        </is>
      </c>
      <c r="E9114" t="inlineStr">
        <is>
          <t>ÅSELE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29847-2025</t>
        </is>
      </c>
      <c r="B9115" s="1" t="n">
        <v>45826.32677083334</v>
      </c>
      <c r="C9115" s="1" t="n">
        <v>45971</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29877-2025</t>
        </is>
      </c>
      <c r="B9116" s="1" t="n">
        <v>45826.36219907407</v>
      </c>
      <c r="C9116" s="1" t="n">
        <v>45971</v>
      </c>
      <c r="D9116" t="inlineStr">
        <is>
          <t>VÄSTERBOTTENS LÄN</t>
        </is>
      </c>
      <c r="E9116" t="inlineStr">
        <is>
          <t>VINDELN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29939-2025</t>
        </is>
      </c>
      <c r="B9117" s="1" t="n">
        <v>45826.45071759259</v>
      </c>
      <c r="C9117" s="1" t="n">
        <v>45971</v>
      </c>
      <c r="D9117" t="inlineStr">
        <is>
          <t>VÄSTERBOTTENS LÄN</t>
        </is>
      </c>
      <c r="E9117" t="inlineStr">
        <is>
          <t>ROBERTSFORS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6231-2025</t>
        </is>
      </c>
      <c r="B9118" s="1" t="n">
        <v>45697</v>
      </c>
      <c r="C9118" s="1" t="n">
        <v>45971</v>
      </c>
      <c r="D9118" t="inlineStr">
        <is>
          <t>VÄSTERBOTTENS LÄN</t>
        </is>
      </c>
      <c r="E9118" t="inlineStr">
        <is>
          <t>SORSELE</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48394-2023</t>
        </is>
      </c>
      <c r="B9119" s="1" t="n">
        <v>45201</v>
      </c>
      <c r="C9119" s="1" t="n">
        <v>45971</v>
      </c>
      <c r="D9119" t="inlineStr">
        <is>
          <t>VÄSTERBOTTENS LÄN</t>
        </is>
      </c>
      <c r="E9119" t="inlineStr">
        <is>
          <t>SKELLEFTEÅ</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56-2025</t>
        </is>
      </c>
      <c r="B9120" s="1" t="n">
        <v>45659.39510416667</v>
      </c>
      <c r="C9120" s="1" t="n">
        <v>45971</v>
      </c>
      <c r="D9120" t="inlineStr">
        <is>
          <t>VÄSTERBOTTENS LÄN</t>
        </is>
      </c>
      <c r="E9120" t="inlineStr">
        <is>
          <t>BJURHOLM</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29940-2025</t>
        </is>
      </c>
      <c r="B9121" s="1" t="n">
        <v>45826.45104166667</v>
      </c>
      <c r="C9121" s="1" t="n">
        <v>45971</v>
      </c>
      <c r="D9121" t="inlineStr">
        <is>
          <t>VÄSTERBOTTENS LÄN</t>
        </is>
      </c>
      <c r="E9121" t="inlineStr">
        <is>
          <t>VILHELMINA</t>
        </is>
      </c>
      <c r="F9121" t="inlineStr">
        <is>
          <t>Sveaskog</t>
        </is>
      </c>
      <c r="G9121" t="n">
        <v>11.6</v>
      </c>
      <c r="H9121" t="n">
        <v>0</v>
      </c>
      <c r="I9121" t="n">
        <v>0</v>
      </c>
      <c r="J9121" t="n">
        <v>0</v>
      </c>
      <c r="K9121" t="n">
        <v>0</v>
      </c>
      <c r="L9121" t="n">
        <v>0</v>
      </c>
      <c r="M9121" t="n">
        <v>0</v>
      </c>
      <c r="N9121" t="n">
        <v>0</v>
      </c>
      <c r="O9121" t="n">
        <v>0</v>
      </c>
      <c r="P9121" t="n">
        <v>0</v>
      </c>
      <c r="Q9121" t="n">
        <v>0</v>
      </c>
      <c r="R9121" s="2" t="inlineStr"/>
    </row>
    <row r="9122" ht="15" customHeight="1">
      <c r="A9122" t="inlineStr">
        <is>
          <t>A 42557-2023</t>
        </is>
      </c>
      <c r="B9122" s="1" t="n">
        <v>45181.38291666667</v>
      </c>
      <c r="C9122" s="1" t="n">
        <v>45971</v>
      </c>
      <c r="D9122" t="inlineStr">
        <is>
          <t>VÄSTERBOTTENS LÄN</t>
        </is>
      </c>
      <c r="E9122" t="inlineStr">
        <is>
          <t>BJURHOLM</t>
        </is>
      </c>
      <c r="F9122" t="inlineStr">
        <is>
          <t>Holmen skog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52789-2025</t>
        </is>
      </c>
      <c r="B9123" s="1" t="n">
        <v>45957.42777777778</v>
      </c>
      <c r="C9123" s="1" t="n">
        <v>45971</v>
      </c>
      <c r="D9123" t="inlineStr">
        <is>
          <t>VÄSTERBOTTENS LÄN</t>
        </is>
      </c>
      <c r="E9123" t="inlineStr">
        <is>
          <t>VILHELMINA</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52820-2025</t>
        </is>
      </c>
      <c r="B9124" s="1" t="n">
        <v>45957.45483796296</v>
      </c>
      <c r="C9124" s="1" t="n">
        <v>45971</v>
      </c>
      <c r="D9124" t="inlineStr">
        <is>
          <t>VÄSTERBOTTENS LÄN</t>
        </is>
      </c>
      <c r="E9124" t="inlineStr">
        <is>
          <t>VÄNNÄS</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52835-2025</t>
        </is>
      </c>
      <c r="B9125" s="1" t="n">
        <v>45957.47133101852</v>
      </c>
      <c r="C9125" s="1" t="n">
        <v>45971</v>
      </c>
      <c r="D9125" t="inlineStr">
        <is>
          <t>VÄSTERBOTTENS LÄN</t>
        </is>
      </c>
      <c r="E9125" t="inlineStr">
        <is>
          <t>VÄNNÄS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29925-2025</t>
        </is>
      </c>
      <c r="B9126" s="1" t="n">
        <v>45826.42918981481</v>
      </c>
      <c r="C9126" s="1" t="n">
        <v>45971</v>
      </c>
      <c r="D9126" t="inlineStr">
        <is>
          <t>VÄSTERBOTTENS LÄN</t>
        </is>
      </c>
      <c r="E9126" t="inlineStr">
        <is>
          <t>UMEÅ</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52889-2025</t>
        </is>
      </c>
      <c r="B9127" s="1" t="n">
        <v>45957.57303240741</v>
      </c>
      <c r="C9127" s="1" t="n">
        <v>45971</v>
      </c>
      <c r="D9127" t="inlineStr">
        <is>
          <t>VÄSTERBOTTENS LÄN</t>
        </is>
      </c>
      <c r="E9127" t="inlineStr">
        <is>
          <t>SKELLEFTEÅ</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52916-2025</t>
        </is>
      </c>
      <c r="B9128" s="1" t="n">
        <v>45957.60758101852</v>
      </c>
      <c r="C9128" s="1" t="n">
        <v>45971</v>
      </c>
      <c r="D9128" t="inlineStr">
        <is>
          <t>VÄSTERBOTTENS LÄN</t>
        </is>
      </c>
      <c r="E9128" t="inlineStr">
        <is>
          <t>NORDMALING</t>
        </is>
      </c>
      <c r="G9128" t="n">
        <v>19.9</v>
      </c>
      <c r="H9128" t="n">
        <v>0</v>
      </c>
      <c r="I9128" t="n">
        <v>0</v>
      </c>
      <c r="J9128" t="n">
        <v>0</v>
      </c>
      <c r="K9128" t="n">
        <v>0</v>
      </c>
      <c r="L9128" t="n">
        <v>0</v>
      </c>
      <c r="M9128" t="n">
        <v>0</v>
      </c>
      <c r="N9128" t="n">
        <v>0</v>
      </c>
      <c r="O9128" t="n">
        <v>0</v>
      </c>
      <c r="P9128" t="n">
        <v>0</v>
      </c>
      <c r="Q9128" t="n">
        <v>0</v>
      </c>
      <c r="R9128" s="2" t="inlineStr"/>
    </row>
    <row r="9129" ht="15" customHeight="1">
      <c r="A9129" t="inlineStr">
        <is>
          <t>A 52919-2025</t>
        </is>
      </c>
      <c r="B9129" s="1" t="n">
        <v>45957.61322916667</v>
      </c>
      <c r="C9129" s="1" t="n">
        <v>45971</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27558-2022</t>
        </is>
      </c>
      <c r="B9130" s="1" t="n">
        <v>44742</v>
      </c>
      <c r="C9130" s="1" t="n">
        <v>45971</v>
      </c>
      <c r="D9130" t="inlineStr">
        <is>
          <t>VÄSTERBOTTENS LÄN</t>
        </is>
      </c>
      <c r="E9130" t="inlineStr">
        <is>
          <t>DOROTEA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29752-2025</t>
        </is>
      </c>
      <c r="B9131" s="1" t="n">
        <v>45825.60962962963</v>
      </c>
      <c r="C9131" s="1" t="n">
        <v>45971</v>
      </c>
      <c r="D9131" t="inlineStr">
        <is>
          <t>VÄSTERBOTTENS LÄN</t>
        </is>
      </c>
      <c r="E9131" t="inlineStr">
        <is>
          <t>VINDELN</t>
        </is>
      </c>
      <c r="F9131" t="inlineStr">
        <is>
          <t>Holmen skog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29765-2025</t>
        </is>
      </c>
      <c r="B9132" s="1" t="n">
        <v>45825.61898148148</v>
      </c>
      <c r="C9132" s="1" t="n">
        <v>45971</v>
      </c>
      <c r="D9132" t="inlineStr">
        <is>
          <t>VÄSTERBOTTENS LÄN</t>
        </is>
      </c>
      <c r="E9132" t="inlineStr">
        <is>
          <t>SKELLEFTEÅ</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29774-2025</t>
        </is>
      </c>
      <c r="B9133" s="1" t="n">
        <v>45825.63641203703</v>
      </c>
      <c r="C9133" s="1" t="n">
        <v>45971</v>
      </c>
      <c r="D9133" t="inlineStr">
        <is>
          <t>VÄSTERBOTTENS LÄN</t>
        </is>
      </c>
      <c r="E9133" t="inlineStr">
        <is>
          <t>UMEÅ</t>
        </is>
      </c>
      <c r="G9133" t="n">
        <v>9.800000000000001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61064-2023</t>
        </is>
      </c>
      <c r="B9134" s="1" t="n">
        <v>45259</v>
      </c>
      <c r="C9134" s="1" t="n">
        <v>45971</v>
      </c>
      <c r="D9134" t="inlineStr">
        <is>
          <t>VÄSTERBOTTENS LÄN</t>
        </is>
      </c>
      <c r="E9134" t="inlineStr">
        <is>
          <t>SKELLEFTEÅ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61094-2023</t>
        </is>
      </c>
      <c r="B9135" s="1" t="n">
        <v>45261</v>
      </c>
      <c r="C9135" s="1" t="n">
        <v>45971</v>
      </c>
      <c r="D9135" t="inlineStr">
        <is>
          <t>VÄSTERBOTTENS LÄN</t>
        </is>
      </c>
      <c r="E9135" t="inlineStr">
        <is>
          <t>LYCKSELE</t>
        </is>
      </c>
      <c r="G9135" t="n">
        <v>0</v>
      </c>
      <c r="H9135" t="n">
        <v>0</v>
      </c>
      <c r="I9135" t="n">
        <v>0</v>
      </c>
      <c r="J9135" t="n">
        <v>0</v>
      </c>
      <c r="K9135" t="n">
        <v>0</v>
      </c>
      <c r="L9135" t="n">
        <v>0</v>
      </c>
      <c r="M9135" t="n">
        <v>0</v>
      </c>
      <c r="N9135" t="n">
        <v>0</v>
      </c>
      <c r="O9135" t="n">
        <v>0</v>
      </c>
      <c r="P9135" t="n">
        <v>0</v>
      </c>
      <c r="Q9135" t="n">
        <v>0</v>
      </c>
      <c r="R9135" s="2" t="inlineStr"/>
    </row>
    <row r="9136" ht="15" customHeight="1">
      <c r="A9136" t="inlineStr">
        <is>
          <t>A 6660-2025</t>
        </is>
      </c>
      <c r="B9136" s="1" t="n">
        <v>45700.44704861111</v>
      </c>
      <c r="C9136" s="1" t="n">
        <v>45971</v>
      </c>
      <c r="D9136" t="inlineStr">
        <is>
          <t>VÄSTERBOTTENS LÄN</t>
        </is>
      </c>
      <c r="E9136" t="inlineStr">
        <is>
          <t>VINDELN</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6662-2025</t>
        </is>
      </c>
      <c r="B9137" s="1" t="n">
        <v>45700.45233796296</v>
      </c>
      <c r="C9137" s="1" t="n">
        <v>45971</v>
      </c>
      <c r="D9137" t="inlineStr">
        <is>
          <t>VÄSTERBOTTENS LÄN</t>
        </is>
      </c>
      <c r="E9137" t="inlineStr">
        <is>
          <t>VINDELN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12873-2025</t>
        </is>
      </c>
      <c r="B9138" s="1" t="n">
        <v>45733</v>
      </c>
      <c r="C9138" s="1" t="n">
        <v>45971</v>
      </c>
      <c r="D9138" t="inlineStr">
        <is>
          <t>VÄSTERBOTTENS LÄN</t>
        </is>
      </c>
      <c r="E9138" t="inlineStr">
        <is>
          <t>SKELLEFTEÅ</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6725-2025</t>
        </is>
      </c>
      <c r="B9139" s="1" t="n">
        <v>45700</v>
      </c>
      <c r="C9139" s="1" t="n">
        <v>45971</v>
      </c>
      <c r="D9139" t="inlineStr">
        <is>
          <t>VÄSTERBOTTENS LÄN</t>
        </is>
      </c>
      <c r="E9139" t="inlineStr">
        <is>
          <t>ROBERTSFORS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29576-2025</t>
        </is>
      </c>
      <c r="B9140" s="1" t="n">
        <v>45825.37471064815</v>
      </c>
      <c r="C9140" s="1" t="n">
        <v>45971</v>
      </c>
      <c r="D9140" t="inlineStr">
        <is>
          <t>VÄSTERBOTTENS LÄN</t>
        </is>
      </c>
      <c r="E9140" t="inlineStr">
        <is>
          <t>NORDMALING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18366-2022</t>
        </is>
      </c>
      <c r="B9141" s="1" t="n">
        <v>44685</v>
      </c>
      <c r="C9141" s="1" t="n">
        <v>45971</v>
      </c>
      <c r="D9141" t="inlineStr">
        <is>
          <t>VÄSTERBOTTENS LÄN</t>
        </is>
      </c>
      <c r="E9141" t="inlineStr">
        <is>
          <t>STORUMAN</t>
        </is>
      </c>
      <c r="G9141" t="n">
        <v>19.6</v>
      </c>
      <c r="H9141" t="n">
        <v>0</v>
      </c>
      <c r="I9141" t="n">
        <v>0</v>
      </c>
      <c r="J9141" t="n">
        <v>0</v>
      </c>
      <c r="K9141" t="n">
        <v>0</v>
      </c>
      <c r="L9141" t="n">
        <v>0</v>
      </c>
      <c r="M9141" t="n">
        <v>0</v>
      </c>
      <c r="N9141" t="n">
        <v>0</v>
      </c>
      <c r="O9141" t="n">
        <v>0</v>
      </c>
      <c r="P9141" t="n">
        <v>0</v>
      </c>
      <c r="Q9141" t="n">
        <v>0</v>
      </c>
      <c r="R9141" s="2" t="inlineStr"/>
    </row>
    <row r="9142" ht="15" customHeight="1">
      <c r="A9142" t="inlineStr">
        <is>
          <t>A 41552-2023</t>
        </is>
      </c>
      <c r="B9142" s="1" t="n">
        <v>45173</v>
      </c>
      <c r="C9142" s="1" t="n">
        <v>45971</v>
      </c>
      <c r="D9142" t="inlineStr">
        <is>
          <t>VÄSTERBOTTENS LÄN</t>
        </is>
      </c>
      <c r="E9142" t="inlineStr">
        <is>
          <t>NORSJÖ</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55082-2023</t>
        </is>
      </c>
      <c r="B9143" s="1" t="n">
        <v>45230</v>
      </c>
      <c r="C9143" s="1" t="n">
        <v>45971</v>
      </c>
      <c r="D9143" t="inlineStr">
        <is>
          <t>VÄSTERBOTTENS LÄN</t>
        </is>
      </c>
      <c r="E9143" t="inlineStr">
        <is>
          <t>UMEÅ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54463-2023</t>
        </is>
      </c>
      <c r="B9144" s="1" t="n">
        <v>45232</v>
      </c>
      <c r="C9144" s="1" t="n">
        <v>45971</v>
      </c>
      <c r="D9144" t="inlineStr">
        <is>
          <t>VÄSTERBOTTENS LÄN</t>
        </is>
      </c>
      <c r="E9144" t="inlineStr">
        <is>
          <t>MALÅ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29983-2025</t>
        </is>
      </c>
      <c r="B9145" s="1" t="n">
        <v>45826.49555555556</v>
      </c>
      <c r="C9145" s="1" t="n">
        <v>45971</v>
      </c>
      <c r="D9145" t="inlineStr">
        <is>
          <t>VÄSTERBOTTENS LÄN</t>
        </is>
      </c>
      <c r="E9145" t="inlineStr">
        <is>
          <t>ÅSELE</t>
        </is>
      </c>
      <c r="F9145" t="inlineStr">
        <is>
          <t>Sveaskog</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4387-2025</t>
        </is>
      </c>
      <c r="B9146" s="1" t="n">
        <v>45686.40269675926</v>
      </c>
      <c r="C9146" s="1" t="n">
        <v>45971</v>
      </c>
      <c r="D9146" t="inlineStr">
        <is>
          <t>VÄSTERBOTTENS LÄN</t>
        </is>
      </c>
      <c r="E9146" t="inlineStr">
        <is>
          <t>SKELLEFTEÅ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35753-2023</t>
        </is>
      </c>
      <c r="B9147" s="1" t="n">
        <v>45147.95390046296</v>
      </c>
      <c r="C9147" s="1" t="n">
        <v>45971</v>
      </c>
      <c r="D9147" t="inlineStr">
        <is>
          <t>VÄSTERBOTTENS LÄN</t>
        </is>
      </c>
      <c r="E9147" t="inlineStr">
        <is>
          <t>VILHELMINA</t>
        </is>
      </c>
      <c r="F9147" t="inlineStr">
        <is>
          <t>SCA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53255-2023</t>
        </is>
      </c>
      <c r="B9148" s="1" t="n">
        <v>45229.5280787037</v>
      </c>
      <c r="C9148" s="1" t="n">
        <v>45971</v>
      </c>
      <c r="D9148" t="inlineStr">
        <is>
          <t>VÄSTERBOTTENS LÄN</t>
        </is>
      </c>
      <c r="E9148" t="inlineStr">
        <is>
          <t>SKELLEFTEÅ</t>
        </is>
      </c>
      <c r="F9148" t="inlineStr">
        <is>
          <t>Sveaskog</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29963-2025</t>
        </is>
      </c>
      <c r="B9149" s="1" t="n">
        <v>45826.48354166667</v>
      </c>
      <c r="C9149" s="1" t="n">
        <v>45971</v>
      </c>
      <c r="D9149" t="inlineStr">
        <is>
          <t>VÄSTERBOTTENS LÄN</t>
        </is>
      </c>
      <c r="E9149" t="inlineStr">
        <is>
          <t>ÅSELE</t>
        </is>
      </c>
      <c r="F9149" t="inlineStr">
        <is>
          <t>Sveaskog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52746-2023</t>
        </is>
      </c>
      <c r="B9150" s="1" t="n">
        <v>45225.96753472222</v>
      </c>
      <c r="C9150" s="1" t="n">
        <v>45971</v>
      </c>
      <c r="D9150" t="inlineStr">
        <is>
          <t>VÄSTERBOTTENS LÄN</t>
        </is>
      </c>
      <c r="E9150" t="inlineStr">
        <is>
          <t>VILHELMINA</t>
        </is>
      </c>
      <c r="F9150" t="inlineStr">
        <is>
          <t>SCA</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30043-2025</t>
        </is>
      </c>
      <c r="B9151" s="1" t="n">
        <v>45826</v>
      </c>
      <c r="C9151" s="1" t="n">
        <v>45971</v>
      </c>
      <c r="D9151" t="inlineStr">
        <is>
          <t>VÄSTERBOTTENS LÄN</t>
        </is>
      </c>
      <c r="E9151" t="inlineStr">
        <is>
          <t>ÅSELE</t>
        </is>
      </c>
      <c r="F9151" t="inlineStr">
        <is>
          <t>Sveaskog</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29849-2025</t>
        </is>
      </c>
      <c r="B9152" s="1" t="n">
        <v>45826.32945601852</v>
      </c>
      <c r="C9152" s="1" t="n">
        <v>45971</v>
      </c>
      <c r="D9152" t="inlineStr">
        <is>
          <t>VÄSTERBOTTENS LÄN</t>
        </is>
      </c>
      <c r="E9152" t="inlineStr">
        <is>
          <t>ÅSELE</t>
        </is>
      </c>
      <c r="F9152" t="inlineStr">
        <is>
          <t>Sveaskog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29912-2025</t>
        </is>
      </c>
      <c r="B9153" s="1" t="n">
        <v>45826.40885416666</v>
      </c>
      <c r="C9153" s="1" t="n">
        <v>45971</v>
      </c>
      <c r="D9153" t="inlineStr">
        <is>
          <t>VÄSTERBOTTENS LÄN</t>
        </is>
      </c>
      <c r="E9153" t="inlineStr">
        <is>
          <t>VÄNNÄS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29974-2025</t>
        </is>
      </c>
      <c r="B9154" s="1" t="n">
        <v>45826.49050925926</v>
      </c>
      <c r="C9154" s="1" t="n">
        <v>45971</v>
      </c>
      <c r="D9154" t="inlineStr">
        <is>
          <t>VÄSTERBOTTENS LÄN</t>
        </is>
      </c>
      <c r="E9154" t="inlineStr">
        <is>
          <t>VINDELN</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18666-2025</t>
        </is>
      </c>
      <c r="B9155" s="1" t="n">
        <v>45763.59434027778</v>
      </c>
      <c r="C9155" s="1" t="n">
        <v>45971</v>
      </c>
      <c r="D9155" t="inlineStr">
        <is>
          <t>VÄSTERBOTTENS LÄN</t>
        </is>
      </c>
      <c r="E9155" t="inlineStr">
        <is>
          <t>NORSJÖ</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18667-2025</t>
        </is>
      </c>
      <c r="B9156" s="1" t="n">
        <v>45763.59436342592</v>
      </c>
      <c r="C9156" s="1" t="n">
        <v>45971</v>
      </c>
      <c r="D9156" t="inlineStr">
        <is>
          <t>VÄSTERBOTTENS LÄN</t>
        </is>
      </c>
      <c r="E9156" t="inlineStr">
        <is>
          <t>NORSJÖ</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18668-2025</t>
        </is>
      </c>
      <c r="B9157" s="1" t="n">
        <v>45763.59438657408</v>
      </c>
      <c r="C9157" s="1" t="n">
        <v>45971</v>
      </c>
      <c r="D9157" t="inlineStr">
        <is>
          <t>VÄSTERBOTTENS LÄN</t>
        </is>
      </c>
      <c r="E9157" t="inlineStr">
        <is>
          <t>NORSJÖ</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61089-2023</t>
        </is>
      </c>
      <c r="B9158" s="1" t="n">
        <v>45260</v>
      </c>
      <c r="C9158" s="1" t="n">
        <v>45971</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45971</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29517-2025</t>
        </is>
      </c>
      <c r="B9160" s="1" t="n">
        <v>45825</v>
      </c>
      <c r="C9160" s="1" t="n">
        <v>45971</v>
      </c>
      <c r="D9160" t="inlineStr">
        <is>
          <t>VÄSTERBOTTENS LÄN</t>
        </is>
      </c>
      <c r="E9160" t="inlineStr">
        <is>
          <t>VINDELN</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52882-2025</t>
        </is>
      </c>
      <c r="B9161" s="1" t="n">
        <v>45957.55465277778</v>
      </c>
      <c r="C9161" s="1" t="n">
        <v>45971</v>
      </c>
      <c r="D9161" t="inlineStr">
        <is>
          <t>VÄSTERBOTTENS LÄN</t>
        </is>
      </c>
      <c r="E9161" t="inlineStr">
        <is>
          <t>UMEÅ</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14111-2025</t>
        </is>
      </c>
      <c r="B9162" s="1" t="n">
        <v>45740.45887731481</v>
      </c>
      <c r="C9162" s="1" t="n">
        <v>45971</v>
      </c>
      <c r="D9162" t="inlineStr">
        <is>
          <t>VÄSTERBOTTENS LÄN</t>
        </is>
      </c>
      <c r="E9162" t="inlineStr">
        <is>
          <t>VINDELN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29942-2025</t>
        </is>
      </c>
      <c r="B9163" s="1" t="n">
        <v>45826.45702546297</v>
      </c>
      <c r="C9163" s="1" t="n">
        <v>45971</v>
      </c>
      <c r="D9163" t="inlineStr">
        <is>
          <t>VÄSTERBOTTENS LÄN</t>
        </is>
      </c>
      <c r="E9163" t="inlineStr">
        <is>
          <t>VILHELMINA</t>
        </is>
      </c>
      <c r="F9163" t="inlineStr">
        <is>
          <t>Sveaskog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14380-2025</t>
        </is>
      </c>
      <c r="B9164" s="1" t="n">
        <v>45741.41429398148</v>
      </c>
      <c r="C9164" s="1" t="n">
        <v>45971</v>
      </c>
      <c r="D9164" t="inlineStr">
        <is>
          <t>VÄSTERBOTTENS LÄN</t>
        </is>
      </c>
      <c r="E9164" t="inlineStr">
        <is>
          <t>UMEÅ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33268-2022</t>
        </is>
      </c>
      <c r="B9165" s="1" t="n">
        <v>44788.32501157407</v>
      </c>
      <c r="C9165" s="1" t="n">
        <v>45971</v>
      </c>
      <c r="D9165" t="inlineStr">
        <is>
          <t>VÄSTERBOTTENS LÄN</t>
        </is>
      </c>
      <c r="E9165" t="inlineStr">
        <is>
          <t>SKELLEFTEÅ</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29606-2025</t>
        </is>
      </c>
      <c r="B9166" s="1" t="n">
        <v>45825</v>
      </c>
      <c r="C9166" s="1" t="n">
        <v>45971</v>
      </c>
      <c r="D9166" t="inlineStr">
        <is>
          <t>VÄSTERBOTTENS LÄN</t>
        </is>
      </c>
      <c r="E9166" t="inlineStr">
        <is>
          <t>NORDMALING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29616-2025</t>
        </is>
      </c>
      <c r="B9167" s="1" t="n">
        <v>45825.43400462963</v>
      </c>
      <c r="C9167" s="1" t="n">
        <v>45971</v>
      </c>
      <c r="D9167" t="inlineStr">
        <is>
          <t>VÄSTERBOTTENS LÄN</t>
        </is>
      </c>
      <c r="E9167" t="inlineStr">
        <is>
          <t>ROBERTSFORS</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29617-2025</t>
        </is>
      </c>
      <c r="B9168" s="1" t="n">
        <v>45825.43520833334</v>
      </c>
      <c r="C9168" s="1" t="n">
        <v>45971</v>
      </c>
      <c r="D9168" t="inlineStr">
        <is>
          <t>VÄSTERBOTTENS LÄN</t>
        </is>
      </c>
      <c r="E9168" t="inlineStr">
        <is>
          <t>VINDELN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24505-2022</t>
        </is>
      </c>
      <c r="B9169" s="1" t="n">
        <v>44726.92622685185</v>
      </c>
      <c r="C9169" s="1" t="n">
        <v>45971</v>
      </c>
      <c r="D9169" t="inlineStr">
        <is>
          <t>VÄSTERBOTTENS LÄN</t>
        </is>
      </c>
      <c r="E9169" t="inlineStr">
        <is>
          <t>SKELLEFTEÅ</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46727-2023</t>
        </is>
      </c>
      <c r="B9170" s="1" t="n">
        <v>45198</v>
      </c>
      <c r="C9170" s="1" t="n">
        <v>45971</v>
      </c>
      <c r="D9170" t="inlineStr">
        <is>
          <t>VÄSTERBOTTENS LÄN</t>
        </is>
      </c>
      <c r="E9170" t="inlineStr">
        <is>
          <t>UMEÅ</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29665-2025</t>
        </is>
      </c>
      <c r="B9171" s="1" t="n">
        <v>45825.49140046296</v>
      </c>
      <c r="C9171" s="1" t="n">
        <v>45971</v>
      </c>
      <c r="D9171" t="inlineStr">
        <is>
          <t>VÄSTERBOTTENS LÄN</t>
        </is>
      </c>
      <c r="E9171" t="inlineStr">
        <is>
          <t>SKELLEFTEÅ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29569-2025</t>
        </is>
      </c>
      <c r="B9172" s="1" t="n">
        <v>45825.36783564815</v>
      </c>
      <c r="C9172" s="1" t="n">
        <v>45971</v>
      </c>
      <c r="D9172" t="inlineStr">
        <is>
          <t>VÄSTERBOTTENS LÄN</t>
        </is>
      </c>
      <c r="E9172" t="inlineStr">
        <is>
          <t>NORDMALING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29583-2025</t>
        </is>
      </c>
      <c r="B9173" s="1" t="n">
        <v>45825.38503472223</v>
      </c>
      <c r="C9173" s="1" t="n">
        <v>45971</v>
      </c>
      <c r="D9173" t="inlineStr">
        <is>
          <t>VÄSTERBOTTENS LÄN</t>
        </is>
      </c>
      <c r="E9173" t="inlineStr">
        <is>
          <t>UMEÅ</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46803-2023</t>
        </is>
      </c>
      <c r="B9174" s="1" t="n">
        <v>45198</v>
      </c>
      <c r="C9174" s="1" t="n">
        <v>45971</v>
      </c>
      <c r="D9174" t="inlineStr">
        <is>
          <t>VÄSTERBOTTENS LÄN</t>
        </is>
      </c>
      <c r="E9174" t="inlineStr">
        <is>
          <t>NORSJÖ</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16606-2022</t>
        </is>
      </c>
      <c r="B9175" s="1" t="n">
        <v>44672</v>
      </c>
      <c r="C9175" s="1" t="n">
        <v>45971</v>
      </c>
      <c r="D9175" t="inlineStr">
        <is>
          <t>VÄSTERBOTTENS LÄN</t>
        </is>
      </c>
      <c r="E9175" t="inlineStr">
        <is>
          <t>UMEÅ</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55326-2023</t>
        </is>
      </c>
      <c r="B9176" s="1" t="n">
        <v>45237.97364583334</v>
      </c>
      <c r="C9176" s="1" t="n">
        <v>45971</v>
      </c>
      <c r="D9176" t="inlineStr">
        <is>
          <t>VÄSTERBOTTENS LÄN</t>
        </is>
      </c>
      <c r="E9176" t="inlineStr">
        <is>
          <t>VILHELMINA</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29812-2025</t>
        </is>
      </c>
      <c r="B9177" s="1" t="n">
        <v>45825.77450231482</v>
      </c>
      <c r="C9177" s="1" t="n">
        <v>45971</v>
      </c>
      <c r="D9177" t="inlineStr">
        <is>
          <t>VÄSTERBOTTENS LÄN</t>
        </is>
      </c>
      <c r="E9177" t="inlineStr">
        <is>
          <t>VINDELN</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29822-2025</t>
        </is>
      </c>
      <c r="B9178" s="1" t="n">
        <v>45825.85033564815</v>
      </c>
      <c r="C9178" s="1" t="n">
        <v>45971</v>
      </c>
      <c r="D9178" t="inlineStr">
        <is>
          <t>VÄSTERBOTTENS LÄN</t>
        </is>
      </c>
      <c r="E9178" t="inlineStr">
        <is>
          <t>NORDMALING</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29843-2025</t>
        </is>
      </c>
      <c r="B9179" s="1" t="n">
        <v>45826.31524305556</v>
      </c>
      <c r="C9179" s="1" t="n">
        <v>45971</v>
      </c>
      <c r="D9179" t="inlineStr">
        <is>
          <t>VÄSTERBOTTENS LÄN</t>
        </is>
      </c>
      <c r="E9179" t="inlineStr">
        <is>
          <t>ÅSELE</t>
        </is>
      </c>
      <c r="F9179" t="inlineStr">
        <is>
          <t>Sveaskog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29850-2025</t>
        </is>
      </c>
      <c r="B9180" s="1" t="n">
        <v>45826</v>
      </c>
      <c r="C9180" s="1" t="n">
        <v>45971</v>
      </c>
      <c r="D9180" t="inlineStr">
        <is>
          <t>VÄSTERBOTTENS LÄN</t>
        </is>
      </c>
      <c r="E9180" t="inlineStr">
        <is>
          <t>ÅSELE</t>
        </is>
      </c>
      <c r="F9180" t="inlineStr">
        <is>
          <t>Sveaskog</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29866-2025</t>
        </is>
      </c>
      <c r="B9181" s="1" t="n">
        <v>45826.35212962963</v>
      </c>
      <c r="C9181" s="1" t="n">
        <v>45971</v>
      </c>
      <c r="D9181" t="inlineStr">
        <is>
          <t>VÄSTERBOTTENS LÄN</t>
        </is>
      </c>
      <c r="E9181" t="inlineStr">
        <is>
          <t>LYCKSELE</t>
        </is>
      </c>
      <c r="F9181" t="inlineStr">
        <is>
          <t>Holmen skog AB</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3602-2025</t>
        </is>
      </c>
      <c r="B9182" s="1" t="n">
        <v>45681.34489583333</v>
      </c>
      <c r="C9182" s="1" t="n">
        <v>45971</v>
      </c>
      <c r="D9182" t="inlineStr">
        <is>
          <t>VÄSTERBOTTENS LÄN</t>
        </is>
      </c>
      <c r="E9182" t="inlineStr">
        <is>
          <t>SORSELE</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42034-2023</t>
        </is>
      </c>
      <c r="B9183" s="1" t="n">
        <v>45177.50577546296</v>
      </c>
      <c r="C9183" s="1" t="n">
        <v>45971</v>
      </c>
      <c r="D9183" t="inlineStr">
        <is>
          <t>VÄSTERBOTTENS LÄN</t>
        </is>
      </c>
      <c r="E9183" t="inlineStr">
        <is>
          <t>NORSJÖ</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19246-2025</t>
        </is>
      </c>
      <c r="B9184" s="1" t="n">
        <v>45769.48415509259</v>
      </c>
      <c r="C9184" s="1" t="n">
        <v>45971</v>
      </c>
      <c r="D9184" t="inlineStr">
        <is>
          <t>VÄSTERBOTTENS LÄN</t>
        </is>
      </c>
      <c r="E9184" t="inlineStr">
        <is>
          <t>LYCKSELE</t>
        </is>
      </c>
      <c r="G9184" t="n">
        <v>9.4</v>
      </c>
      <c r="H9184" t="n">
        <v>0</v>
      </c>
      <c r="I9184" t="n">
        <v>0</v>
      </c>
      <c r="J9184" t="n">
        <v>0</v>
      </c>
      <c r="K9184" t="n">
        <v>0</v>
      </c>
      <c r="L9184" t="n">
        <v>0</v>
      </c>
      <c r="M9184" t="n">
        <v>0</v>
      </c>
      <c r="N9184" t="n">
        <v>0</v>
      </c>
      <c r="O9184" t="n">
        <v>0</v>
      </c>
      <c r="P9184" t="n">
        <v>0</v>
      </c>
      <c r="Q9184" t="n">
        <v>0</v>
      </c>
      <c r="R9184" s="2" t="inlineStr"/>
    </row>
    <row r="9185" ht="15" customHeight="1">
      <c r="A9185" t="inlineStr">
        <is>
          <t>A 29894-2025</t>
        </is>
      </c>
      <c r="B9185" s="1" t="n">
        <v>45826</v>
      </c>
      <c r="C9185" s="1" t="n">
        <v>45971</v>
      </c>
      <c r="D9185" t="inlineStr">
        <is>
          <t>VÄSTERBOTTENS LÄN</t>
        </is>
      </c>
      <c r="E9185" t="inlineStr">
        <is>
          <t>VINDELN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30037-2025</t>
        </is>
      </c>
      <c r="B9186" s="1" t="n">
        <v>45826.57112268519</v>
      </c>
      <c r="C9186" s="1" t="n">
        <v>45971</v>
      </c>
      <c r="D9186" t="inlineStr">
        <is>
          <t>VÄSTERBOTTENS LÄN</t>
        </is>
      </c>
      <c r="E9186" t="inlineStr">
        <is>
          <t>ÅSELE</t>
        </is>
      </c>
      <c r="F9186" t="inlineStr">
        <is>
          <t>Sveaskog</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30081-2025</t>
        </is>
      </c>
      <c r="B9187" s="1" t="n">
        <v>45826.65171296296</v>
      </c>
      <c r="C9187" s="1" t="n">
        <v>45971</v>
      </c>
      <c r="D9187" t="inlineStr">
        <is>
          <t>VÄSTERBOTTENS LÄN</t>
        </is>
      </c>
      <c r="E9187" t="inlineStr">
        <is>
          <t>SKELLEFTEÅ</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29507-2025</t>
        </is>
      </c>
      <c r="B9188" s="1" t="n">
        <v>45825</v>
      </c>
      <c r="C9188" s="1" t="n">
        <v>45971</v>
      </c>
      <c r="D9188" t="inlineStr">
        <is>
          <t>VÄSTERBOTTENS LÄN</t>
        </is>
      </c>
      <c r="E9188" t="inlineStr">
        <is>
          <t>VINDELN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52104-2023</t>
        </is>
      </c>
      <c r="B9189" s="1" t="n">
        <v>45223</v>
      </c>
      <c r="C9189" s="1" t="n">
        <v>45971</v>
      </c>
      <c r="D9189" t="inlineStr">
        <is>
          <t>VÄSTERBOTTENS LÄN</t>
        </is>
      </c>
      <c r="E9189" t="inlineStr">
        <is>
          <t>MALÅ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44169-2025</t>
        </is>
      </c>
      <c r="B9190" s="1" t="n">
        <v>45915.59857638889</v>
      </c>
      <c r="C9190" s="1" t="n">
        <v>45971</v>
      </c>
      <c r="D9190" t="inlineStr">
        <is>
          <t>VÄSTERBOTTENS LÄN</t>
        </is>
      </c>
      <c r="E9190" t="inlineStr">
        <is>
          <t>VINDELN</t>
        </is>
      </c>
      <c r="F9190" t="inlineStr">
        <is>
          <t>Sveaskog</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52148-2023</t>
        </is>
      </c>
      <c r="B9191" s="1" t="n">
        <v>45223.9649537037</v>
      </c>
      <c r="C9191" s="1" t="n">
        <v>45971</v>
      </c>
      <c r="D9191" t="inlineStr">
        <is>
          <t>VÄSTERBOTTENS LÄN</t>
        </is>
      </c>
      <c r="E9191" t="inlineStr">
        <is>
          <t>DOROTEA</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27918-2022</t>
        </is>
      </c>
      <c r="B9192" s="1" t="n">
        <v>44743.94145833333</v>
      </c>
      <c r="C9192" s="1" t="n">
        <v>45971</v>
      </c>
      <c r="D9192" t="inlineStr">
        <is>
          <t>VÄSTERBOTTENS LÄN</t>
        </is>
      </c>
      <c r="E9192" t="inlineStr">
        <is>
          <t>VILHELMINA</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44212-2025</t>
        </is>
      </c>
      <c r="B9193" s="1" t="n">
        <v>45912</v>
      </c>
      <c r="C9193" s="1" t="n">
        <v>45971</v>
      </c>
      <c r="D9193" t="inlineStr">
        <is>
          <t>VÄSTERBOTTENS LÄN</t>
        </is>
      </c>
      <c r="E9193" t="inlineStr">
        <is>
          <t>NORDMALING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35249-2023</t>
        </is>
      </c>
      <c r="B9194" s="1" t="n">
        <v>45145.92299768519</v>
      </c>
      <c r="C9194" s="1" t="n">
        <v>45971</v>
      </c>
      <c r="D9194" t="inlineStr">
        <is>
          <t>VÄSTERBOTTENS LÄN</t>
        </is>
      </c>
      <c r="E9194" t="inlineStr">
        <is>
          <t>BJURHOLM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25182-2022</t>
        </is>
      </c>
      <c r="B9195" s="1" t="n">
        <v>44729.60717592593</v>
      </c>
      <c r="C9195" s="1" t="n">
        <v>45971</v>
      </c>
      <c r="D9195" t="inlineStr">
        <is>
          <t>VÄSTERBOTTENS LÄN</t>
        </is>
      </c>
      <c r="E9195" t="inlineStr">
        <is>
          <t>SKELLEFTEÅ</t>
        </is>
      </c>
      <c r="F9195" t="inlineStr">
        <is>
          <t>Holmen skog AB</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29784-2025</t>
        </is>
      </c>
      <c r="B9196" s="1" t="n">
        <v>45825.65462962963</v>
      </c>
      <c r="C9196" s="1" t="n">
        <v>45971</v>
      </c>
      <c r="D9196" t="inlineStr">
        <is>
          <t>VÄSTERBOTTENS LÄN</t>
        </is>
      </c>
      <c r="E9196" t="inlineStr">
        <is>
          <t>LYCKSELE</t>
        </is>
      </c>
      <c r="F9196" t="inlineStr">
        <is>
          <t>Holmen skog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35251-2023</t>
        </is>
      </c>
      <c r="B9197" s="1" t="n">
        <v>45145.92325231482</v>
      </c>
      <c r="C9197" s="1" t="n">
        <v>45971</v>
      </c>
      <c r="D9197" t="inlineStr">
        <is>
          <t>VÄSTERBOTTENS LÄN</t>
        </is>
      </c>
      <c r="E9197" t="inlineStr">
        <is>
          <t>BJURHOLM</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35032-2023</t>
        </is>
      </c>
      <c r="B9198" s="1" t="n">
        <v>45145</v>
      </c>
      <c r="C9198" s="1" t="n">
        <v>45971</v>
      </c>
      <c r="D9198" t="inlineStr">
        <is>
          <t>VÄSTERBOTTENS LÄN</t>
        </is>
      </c>
      <c r="E9198" t="inlineStr">
        <is>
          <t>SKELLEFTEÅ</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64258-2023</t>
        </is>
      </c>
      <c r="B9199" s="1" t="n">
        <v>45279</v>
      </c>
      <c r="C9199" s="1" t="n">
        <v>45971</v>
      </c>
      <c r="D9199" t="inlineStr">
        <is>
          <t>VÄSTERBOTTENS LÄN</t>
        </is>
      </c>
      <c r="E9199" t="inlineStr">
        <is>
          <t>SKELLEFTEÅ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54746-2023</t>
        </is>
      </c>
      <c r="B9200" s="1" t="n">
        <v>45236.4175</v>
      </c>
      <c r="C9200" s="1" t="n">
        <v>45971</v>
      </c>
      <c r="D9200" t="inlineStr">
        <is>
          <t>VÄSTERBOTTENS LÄN</t>
        </is>
      </c>
      <c r="E9200" t="inlineStr">
        <is>
          <t>ÅSELE</t>
        </is>
      </c>
      <c r="F9200" t="inlineStr">
        <is>
          <t>Sveaskog</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59242-2023</t>
        </is>
      </c>
      <c r="B9201" s="1" t="n">
        <v>45252</v>
      </c>
      <c r="C9201" s="1" t="n">
        <v>45971</v>
      </c>
      <c r="D9201" t="inlineStr">
        <is>
          <t>VÄSTERBOTTENS LÄN</t>
        </is>
      </c>
      <c r="E9201" t="inlineStr">
        <is>
          <t>SKELLEFTEÅ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9925-2022</t>
        </is>
      </c>
      <c r="B9202" s="1" t="n">
        <v>44620.92208333333</v>
      </c>
      <c r="C9202" s="1" t="n">
        <v>45971</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59289-2023</t>
        </is>
      </c>
      <c r="B9203" s="1" t="n">
        <v>45252</v>
      </c>
      <c r="C9203" s="1" t="n">
        <v>45971</v>
      </c>
      <c r="D9203" t="inlineStr">
        <is>
          <t>VÄSTERBOTTENS LÄN</t>
        </is>
      </c>
      <c r="E9203" t="inlineStr">
        <is>
          <t>UMEÅ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54765-2023</t>
        </is>
      </c>
      <c r="B9204" s="1" t="n">
        <v>45236.45083333334</v>
      </c>
      <c r="C9204" s="1" t="n">
        <v>45971</v>
      </c>
      <c r="D9204" t="inlineStr">
        <is>
          <t>VÄSTERBOTTENS LÄN</t>
        </is>
      </c>
      <c r="E9204" t="inlineStr">
        <is>
          <t>ÅSELE</t>
        </is>
      </c>
      <c r="F9204" t="inlineStr">
        <is>
          <t>Sveaskog</t>
        </is>
      </c>
      <c r="G9204" t="n">
        <v>18.9</v>
      </c>
      <c r="H9204" t="n">
        <v>0</v>
      </c>
      <c r="I9204" t="n">
        <v>0</v>
      </c>
      <c r="J9204" t="n">
        <v>0</v>
      </c>
      <c r="K9204" t="n">
        <v>0</v>
      </c>
      <c r="L9204" t="n">
        <v>0</v>
      </c>
      <c r="M9204" t="n">
        <v>0</v>
      </c>
      <c r="N9204" t="n">
        <v>0</v>
      </c>
      <c r="O9204" t="n">
        <v>0</v>
      </c>
      <c r="P9204" t="n">
        <v>0</v>
      </c>
      <c r="Q9204" t="n">
        <v>0</v>
      </c>
      <c r="R9204" s="2" t="inlineStr"/>
    </row>
    <row r="9205" ht="15" customHeight="1">
      <c r="A9205" t="inlineStr">
        <is>
          <t>A 29613-2025</t>
        </is>
      </c>
      <c r="B9205" s="1" t="n">
        <v>45825</v>
      </c>
      <c r="C9205" s="1" t="n">
        <v>45971</v>
      </c>
      <c r="D9205" t="inlineStr">
        <is>
          <t>VÄSTERBOTTENS LÄN</t>
        </is>
      </c>
      <c r="E9205" t="inlineStr">
        <is>
          <t>SKELLEFTEÅ</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44242-2025</t>
        </is>
      </c>
      <c r="B9206" s="1" t="n">
        <v>45915.67774305555</v>
      </c>
      <c r="C9206" s="1" t="n">
        <v>45971</v>
      </c>
      <c r="D9206" t="inlineStr">
        <is>
          <t>VÄSTERBOTTENS LÄN</t>
        </is>
      </c>
      <c r="E9206" t="inlineStr">
        <is>
          <t>ÅSELE</t>
        </is>
      </c>
      <c r="F9206" t="inlineStr">
        <is>
          <t>SCA</t>
        </is>
      </c>
      <c r="G9206" t="n">
        <v>39.9</v>
      </c>
      <c r="H9206" t="n">
        <v>0</v>
      </c>
      <c r="I9206" t="n">
        <v>0</v>
      </c>
      <c r="J9206" t="n">
        <v>0</v>
      </c>
      <c r="K9206" t="n">
        <v>0</v>
      </c>
      <c r="L9206" t="n">
        <v>0</v>
      </c>
      <c r="M9206" t="n">
        <v>0</v>
      </c>
      <c r="N9206" t="n">
        <v>0</v>
      </c>
      <c r="O9206" t="n">
        <v>0</v>
      </c>
      <c r="P9206" t="n">
        <v>0</v>
      </c>
      <c r="Q9206" t="n">
        <v>0</v>
      </c>
      <c r="R9206" s="2" t="inlineStr"/>
    </row>
    <row r="9207" ht="15" customHeight="1">
      <c r="A9207" t="inlineStr">
        <is>
          <t>A 29694-2025</t>
        </is>
      </c>
      <c r="B9207" s="1" t="n">
        <v>45825.54637731481</v>
      </c>
      <c r="C9207" s="1" t="n">
        <v>45971</v>
      </c>
      <c r="D9207" t="inlineStr">
        <is>
          <t>VÄSTERBOTTENS LÄN</t>
        </is>
      </c>
      <c r="E9207" t="inlineStr">
        <is>
          <t>SKELLEFTEÅ</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29682-2025</t>
        </is>
      </c>
      <c r="B9208" s="1" t="n">
        <v>45825.51212962963</v>
      </c>
      <c r="C9208" s="1" t="n">
        <v>45971</v>
      </c>
      <c r="D9208" t="inlineStr">
        <is>
          <t>VÄSTERBOTTENS LÄN</t>
        </is>
      </c>
      <c r="E9208" t="inlineStr">
        <is>
          <t>NORSJÖ</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42463-2023</t>
        </is>
      </c>
      <c r="B9209" s="1" t="n">
        <v>45180.67883101852</v>
      </c>
      <c r="C9209" s="1" t="n">
        <v>45971</v>
      </c>
      <c r="D9209" t="inlineStr">
        <is>
          <t>VÄSTERBOTTENS LÄN</t>
        </is>
      </c>
      <c r="E9209" t="inlineStr">
        <is>
          <t>UMEÅ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29712-2025</t>
        </is>
      </c>
      <c r="B9210" s="1" t="n">
        <v>45825.56524305556</v>
      </c>
      <c r="C9210" s="1" t="n">
        <v>45971</v>
      </c>
      <c r="D9210" t="inlineStr">
        <is>
          <t>VÄSTERBOTTENS LÄN</t>
        </is>
      </c>
      <c r="E9210" t="inlineStr">
        <is>
          <t>BJURHOLM</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29506-2025</t>
        </is>
      </c>
      <c r="B9211" s="1" t="n">
        <v>45825</v>
      </c>
      <c r="C9211" s="1" t="n">
        <v>45971</v>
      </c>
      <c r="D9211" t="inlineStr">
        <is>
          <t>VÄSTERBOTTENS LÄN</t>
        </is>
      </c>
      <c r="E9211" t="inlineStr">
        <is>
          <t>VINDELN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23164-2022</t>
        </is>
      </c>
      <c r="B9212" s="1" t="n">
        <v>44719</v>
      </c>
      <c r="C9212" s="1" t="n">
        <v>45971</v>
      </c>
      <c r="D9212" t="inlineStr">
        <is>
          <t>VÄSTERBOTTENS LÄN</t>
        </is>
      </c>
      <c r="E9212" t="inlineStr">
        <is>
          <t>LYCKSELE</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6130-2025</t>
        </is>
      </c>
      <c r="B9213" s="1" t="n">
        <v>45698.36478009259</v>
      </c>
      <c r="C9213" s="1" t="n">
        <v>45971</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29663-2025</t>
        </is>
      </c>
      <c r="B9214" s="1" t="n">
        <v>45825.48967592593</v>
      </c>
      <c r="C9214" s="1" t="n">
        <v>45971</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31942-2022</t>
        </is>
      </c>
      <c r="B9215" s="1" t="n">
        <v>44777</v>
      </c>
      <c r="C9215" s="1" t="n">
        <v>45971</v>
      </c>
      <c r="D9215" t="inlineStr">
        <is>
          <t>VÄSTERBOTTENS LÄN</t>
        </is>
      </c>
      <c r="E9215" t="inlineStr">
        <is>
          <t>VINDELN</t>
        </is>
      </c>
      <c r="F9215" t="inlineStr">
        <is>
          <t>Naturvårdsverket</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19452-2022</t>
        </is>
      </c>
      <c r="B9216" s="1" t="n">
        <v>44693</v>
      </c>
      <c r="C9216" s="1" t="n">
        <v>45971</v>
      </c>
      <c r="D9216" t="inlineStr">
        <is>
          <t>VÄSTERBOTTENS LÄN</t>
        </is>
      </c>
      <c r="E9216" t="inlineStr">
        <is>
          <t>VINDELN</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29947-2025</t>
        </is>
      </c>
      <c r="B9217" s="1" t="n">
        <v>45826</v>
      </c>
      <c r="C9217" s="1" t="n">
        <v>45971</v>
      </c>
      <c r="D9217" t="inlineStr">
        <is>
          <t>VÄSTERBOTTENS LÄN</t>
        </is>
      </c>
      <c r="E9217" t="inlineStr">
        <is>
          <t>ÅSELE</t>
        </is>
      </c>
      <c r="F9217" t="inlineStr">
        <is>
          <t>Sveaskog</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21395-2022</t>
        </is>
      </c>
      <c r="B9218" s="1" t="n">
        <v>44705.92563657407</v>
      </c>
      <c r="C9218" s="1" t="n">
        <v>45971</v>
      </c>
      <c r="D9218" t="inlineStr">
        <is>
          <t>VÄSTERBOTTENS LÄN</t>
        </is>
      </c>
      <c r="E9218" t="inlineStr">
        <is>
          <t>SKELLEFTEÅ</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29978-2025</t>
        </is>
      </c>
      <c r="B9219" s="1" t="n">
        <v>45826.49273148148</v>
      </c>
      <c r="C9219" s="1" t="n">
        <v>45971</v>
      </c>
      <c r="D9219" t="inlineStr">
        <is>
          <t>VÄSTERBOTTENS LÄN</t>
        </is>
      </c>
      <c r="E9219" t="inlineStr">
        <is>
          <t>ÅSELE</t>
        </is>
      </c>
      <c r="F9219" t="inlineStr">
        <is>
          <t>Sveaskog</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29998-2025</t>
        </is>
      </c>
      <c r="B9220" s="1" t="n">
        <v>45826</v>
      </c>
      <c r="C9220" s="1" t="n">
        <v>45971</v>
      </c>
      <c r="D9220" t="inlineStr">
        <is>
          <t>VÄSTERBOTTENS LÄN</t>
        </is>
      </c>
      <c r="E9220" t="inlineStr">
        <is>
          <t>ÅSELE</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48547-2023</t>
        </is>
      </c>
      <c r="B9221" s="1" t="n">
        <v>45202</v>
      </c>
      <c r="C9221" s="1" t="n">
        <v>45971</v>
      </c>
      <c r="D9221" t="inlineStr">
        <is>
          <t>VÄSTERBOTTENS LÄN</t>
        </is>
      </c>
      <c r="E9221" t="inlineStr">
        <is>
          <t>ROBERTSFORS</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48549-2023</t>
        </is>
      </c>
      <c r="B9222" s="1" t="n">
        <v>45208</v>
      </c>
      <c r="C9222" s="1" t="n">
        <v>45971</v>
      </c>
      <c r="D9222" t="inlineStr">
        <is>
          <t>VÄSTERBOTTENS LÄN</t>
        </is>
      </c>
      <c r="E9222" t="inlineStr">
        <is>
          <t>NORSJÖ</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39791-2023</t>
        </is>
      </c>
      <c r="B9223" s="1" t="n">
        <v>45167</v>
      </c>
      <c r="C9223" s="1" t="n">
        <v>45971</v>
      </c>
      <c r="D9223" t="inlineStr">
        <is>
          <t>VÄSTERBOTTENS LÄN</t>
        </is>
      </c>
      <c r="E9223" t="inlineStr">
        <is>
          <t>MALÅ</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53002-2023</t>
        </is>
      </c>
      <c r="B9224" s="1" t="n">
        <v>45226.64099537037</v>
      </c>
      <c r="C9224" s="1" t="n">
        <v>45971</v>
      </c>
      <c r="D9224" t="inlineStr">
        <is>
          <t>VÄSTERBOTTENS LÄN</t>
        </is>
      </c>
      <c r="E9224" t="inlineStr">
        <is>
          <t>VINDELN</t>
        </is>
      </c>
      <c r="F9224" t="inlineStr">
        <is>
          <t>Holmen skog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39304-2023</t>
        </is>
      </c>
      <c r="B9225" s="1" t="n">
        <v>45166</v>
      </c>
      <c r="C9225" s="1" t="n">
        <v>45971</v>
      </c>
      <c r="D9225" t="inlineStr">
        <is>
          <t>VÄSTERBOTTENS LÄN</t>
        </is>
      </c>
      <c r="E9225" t="inlineStr">
        <is>
          <t>MALÅ</t>
        </is>
      </c>
      <c r="F9225" t="inlineStr">
        <is>
          <t>Kyrkan</t>
        </is>
      </c>
      <c r="G9225" t="n">
        <v>27.3</v>
      </c>
      <c r="H9225" t="n">
        <v>0</v>
      </c>
      <c r="I9225" t="n">
        <v>0</v>
      </c>
      <c r="J9225" t="n">
        <v>0</v>
      </c>
      <c r="K9225" t="n">
        <v>0</v>
      </c>
      <c r="L9225" t="n">
        <v>0</v>
      </c>
      <c r="M9225" t="n">
        <v>0</v>
      </c>
      <c r="N9225" t="n">
        <v>0</v>
      </c>
      <c r="O9225" t="n">
        <v>0</v>
      </c>
      <c r="P9225" t="n">
        <v>0</v>
      </c>
      <c r="Q9225" t="n">
        <v>0</v>
      </c>
      <c r="R9225" s="2" t="inlineStr"/>
    </row>
    <row r="9226" ht="15" customHeight="1">
      <c r="A9226" t="inlineStr">
        <is>
          <t>A 39320-2023</t>
        </is>
      </c>
      <c r="B9226" s="1" t="n">
        <v>45166</v>
      </c>
      <c r="C9226" s="1" t="n">
        <v>45971</v>
      </c>
      <c r="D9226" t="inlineStr">
        <is>
          <t>VÄSTERBOTTENS LÄN</t>
        </is>
      </c>
      <c r="E9226" t="inlineStr">
        <is>
          <t>MALÅ</t>
        </is>
      </c>
      <c r="F9226" t="inlineStr">
        <is>
          <t>Kyrkan</t>
        </is>
      </c>
      <c r="G9226" t="n">
        <v>84.5</v>
      </c>
      <c r="H9226" t="n">
        <v>0</v>
      </c>
      <c r="I9226" t="n">
        <v>0</v>
      </c>
      <c r="J9226" t="n">
        <v>0</v>
      </c>
      <c r="K9226" t="n">
        <v>0</v>
      </c>
      <c r="L9226" t="n">
        <v>0</v>
      </c>
      <c r="M9226" t="n">
        <v>0</v>
      </c>
      <c r="N9226" t="n">
        <v>0</v>
      </c>
      <c r="O9226" t="n">
        <v>0</v>
      </c>
      <c r="P9226" t="n">
        <v>0</v>
      </c>
      <c r="Q9226" t="n">
        <v>0</v>
      </c>
      <c r="R9226" s="2" t="inlineStr"/>
    </row>
    <row r="9227" ht="15" customHeight="1">
      <c r="A9227" t="inlineStr">
        <is>
          <t>A 3497-2025</t>
        </is>
      </c>
      <c r="B9227" s="1" t="n">
        <v>45680.56597222222</v>
      </c>
      <c r="C9227" s="1" t="n">
        <v>45971</v>
      </c>
      <c r="D9227" t="inlineStr">
        <is>
          <t>VÄSTERBOTTENS LÄN</t>
        </is>
      </c>
      <c r="E9227" t="inlineStr">
        <is>
          <t>BJURHOLM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30101-2025</t>
        </is>
      </c>
      <c r="B9228" s="1" t="n">
        <v>45826.68275462963</v>
      </c>
      <c r="C9228" s="1" t="n">
        <v>45971</v>
      </c>
      <c r="D9228" t="inlineStr">
        <is>
          <t>VÄSTERBOTTENS LÄN</t>
        </is>
      </c>
      <c r="E9228" t="inlineStr">
        <is>
          <t>LYCKSELE</t>
        </is>
      </c>
      <c r="F9228" t="inlineStr">
        <is>
          <t>Holmen skog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56801-2023</t>
        </is>
      </c>
      <c r="B9229" s="1" t="n">
        <v>45244.43186342593</v>
      </c>
      <c r="C9229" s="1" t="n">
        <v>45971</v>
      </c>
      <c r="D9229" t="inlineStr">
        <is>
          <t>VÄSTERBOTTENS LÄN</t>
        </is>
      </c>
      <c r="E9229" t="inlineStr">
        <is>
          <t>NORDMALING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29704-2025</t>
        </is>
      </c>
      <c r="B9230" s="1" t="n">
        <v>45825.55847222222</v>
      </c>
      <c r="C9230" s="1" t="n">
        <v>45971</v>
      </c>
      <c r="D9230" t="inlineStr">
        <is>
          <t>VÄSTERBOTTENS LÄN</t>
        </is>
      </c>
      <c r="E9230" t="inlineStr">
        <is>
          <t>UMEÅ</t>
        </is>
      </c>
      <c r="F9230" t="inlineStr">
        <is>
          <t>Holmen skog AB</t>
        </is>
      </c>
      <c r="G9230" t="n">
        <v>35.1</v>
      </c>
      <c r="H9230" t="n">
        <v>0</v>
      </c>
      <c r="I9230" t="n">
        <v>0</v>
      </c>
      <c r="J9230" t="n">
        <v>0</v>
      </c>
      <c r="K9230" t="n">
        <v>0</v>
      </c>
      <c r="L9230" t="n">
        <v>0</v>
      </c>
      <c r="M9230" t="n">
        <v>0</v>
      </c>
      <c r="N9230" t="n">
        <v>0</v>
      </c>
      <c r="O9230" t="n">
        <v>0</v>
      </c>
      <c r="P9230" t="n">
        <v>0</v>
      </c>
      <c r="Q9230" t="n">
        <v>0</v>
      </c>
      <c r="R9230" s="2" t="inlineStr"/>
    </row>
    <row r="9231" ht="15" customHeight="1">
      <c r="A9231" t="inlineStr">
        <is>
          <t>A 30953-2023</t>
        </is>
      </c>
      <c r="B9231" s="1" t="n">
        <v>45113.46905092592</v>
      </c>
      <c r="C9231" s="1" t="n">
        <v>45971</v>
      </c>
      <c r="D9231" t="inlineStr">
        <is>
          <t>VÄSTERBOTTENS LÄN</t>
        </is>
      </c>
      <c r="E9231" t="inlineStr">
        <is>
          <t>SKELLEFTEÅ</t>
        </is>
      </c>
      <c r="F9231" t="inlineStr">
        <is>
          <t>Holmen skog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29750-2025</t>
        </is>
      </c>
      <c r="B9232" s="1" t="n">
        <v>45825.60854166667</v>
      </c>
      <c r="C9232" s="1" t="n">
        <v>45971</v>
      </c>
      <c r="D9232" t="inlineStr">
        <is>
          <t>VÄSTERBOTTENS LÄN</t>
        </is>
      </c>
      <c r="E9232" t="inlineStr">
        <is>
          <t>SKELLEFTEÅ</t>
        </is>
      </c>
      <c r="F9232" t="inlineStr">
        <is>
          <t>Holmen skog AB</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29757-2025</t>
        </is>
      </c>
      <c r="B9233" s="1" t="n">
        <v>45825.61582175926</v>
      </c>
      <c r="C9233" s="1" t="n">
        <v>45971</v>
      </c>
      <c r="D9233" t="inlineStr">
        <is>
          <t>VÄSTERBOTTENS LÄN</t>
        </is>
      </c>
      <c r="E9233" t="inlineStr">
        <is>
          <t>SKELLEFTEÅ</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49573-2023</t>
        </is>
      </c>
      <c r="B9234" s="1" t="n">
        <v>45205</v>
      </c>
      <c r="C9234" s="1" t="n">
        <v>45971</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44414-2025</t>
        </is>
      </c>
      <c r="B9235" s="1" t="n">
        <v>45916.54280092593</v>
      </c>
      <c r="C9235" s="1" t="n">
        <v>45971</v>
      </c>
      <c r="D9235" t="inlineStr">
        <is>
          <t>VÄSTERBOTTENS LÄN</t>
        </is>
      </c>
      <c r="E9235" t="inlineStr">
        <is>
          <t>ÅSELE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52926-2025</t>
        </is>
      </c>
      <c r="B9236" s="1" t="n">
        <v>45957.6184375</v>
      </c>
      <c r="C9236" s="1" t="n">
        <v>45971</v>
      </c>
      <c r="D9236" t="inlineStr">
        <is>
          <t>VÄSTERBOTTENS LÄN</t>
        </is>
      </c>
      <c r="E9236" t="inlineStr">
        <is>
          <t>UMEÅ</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52934-2025</t>
        </is>
      </c>
      <c r="B9237" s="1" t="n">
        <v>45957.62625</v>
      </c>
      <c r="C9237" s="1" t="n">
        <v>45971</v>
      </c>
      <c r="D9237" t="inlineStr">
        <is>
          <t>VÄSTERBOTTENS LÄN</t>
        </is>
      </c>
      <c r="E9237" t="inlineStr">
        <is>
          <t>ROBERTSFORS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52956-2025</t>
        </is>
      </c>
      <c r="B9238" s="1" t="n">
        <v>45957.65681712963</v>
      </c>
      <c r="C9238" s="1" t="n">
        <v>45971</v>
      </c>
      <c r="D9238" t="inlineStr">
        <is>
          <t>VÄSTERBOTTENS LÄN</t>
        </is>
      </c>
      <c r="E9238" t="inlineStr">
        <is>
          <t>SKELLEFTEÅ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29152-2023</t>
        </is>
      </c>
      <c r="B9239" s="1" t="n">
        <v>45105</v>
      </c>
      <c r="C9239" s="1" t="n">
        <v>45971</v>
      </c>
      <c r="D9239" t="inlineStr">
        <is>
          <t>VÄSTERBOTTENS LÄN</t>
        </is>
      </c>
      <c r="E9239" t="inlineStr">
        <is>
          <t>SKELLEFTEÅ</t>
        </is>
      </c>
      <c r="F9239" t="inlineStr">
        <is>
          <t>Holmen skog AB</t>
        </is>
      </c>
      <c r="G9239" t="n">
        <v>18.5</v>
      </c>
      <c r="H9239" t="n">
        <v>0</v>
      </c>
      <c r="I9239" t="n">
        <v>0</v>
      </c>
      <c r="J9239" t="n">
        <v>0</v>
      </c>
      <c r="K9239" t="n">
        <v>0</v>
      </c>
      <c r="L9239" t="n">
        <v>0</v>
      </c>
      <c r="M9239" t="n">
        <v>0</v>
      </c>
      <c r="N9239" t="n">
        <v>0</v>
      </c>
      <c r="O9239" t="n">
        <v>0</v>
      </c>
      <c r="P9239" t="n">
        <v>0</v>
      </c>
      <c r="Q9239" t="n">
        <v>0</v>
      </c>
      <c r="R9239" s="2" t="inlineStr"/>
    </row>
    <row r="9240" ht="15" customHeight="1">
      <c r="A9240" t="inlineStr">
        <is>
          <t>A 29502-2025</t>
        </is>
      </c>
      <c r="B9240" s="1" t="n">
        <v>45825.29293981481</v>
      </c>
      <c r="C9240" s="1" t="n">
        <v>45971</v>
      </c>
      <c r="D9240" t="inlineStr">
        <is>
          <t>VÄSTERBOTTENS LÄN</t>
        </is>
      </c>
      <c r="E9240" t="inlineStr">
        <is>
          <t>UMEÅ</t>
        </is>
      </c>
      <c r="F9240" t="inlineStr">
        <is>
          <t>Holmen skog AB</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53015-2025</t>
        </is>
      </c>
      <c r="B9241" s="1" t="n">
        <v>45957.82777777778</v>
      </c>
      <c r="C9241" s="1" t="n">
        <v>45971</v>
      </c>
      <c r="D9241" t="inlineStr">
        <is>
          <t>VÄSTERBOTTENS LÄN</t>
        </is>
      </c>
      <c r="E9241" t="inlineStr">
        <is>
          <t>VILHELMINA</t>
        </is>
      </c>
      <c r="G9241" t="n">
        <v>17.2</v>
      </c>
      <c r="H9241" t="n">
        <v>0</v>
      </c>
      <c r="I9241" t="n">
        <v>0</v>
      </c>
      <c r="J9241" t="n">
        <v>0</v>
      </c>
      <c r="K9241" t="n">
        <v>0</v>
      </c>
      <c r="L9241" t="n">
        <v>0</v>
      </c>
      <c r="M9241" t="n">
        <v>0</v>
      </c>
      <c r="N9241" t="n">
        <v>0</v>
      </c>
      <c r="O9241" t="n">
        <v>0</v>
      </c>
      <c r="P9241" t="n">
        <v>0</v>
      </c>
      <c r="Q9241" t="n">
        <v>0</v>
      </c>
      <c r="R9241" s="2" t="inlineStr"/>
    </row>
    <row r="9242" ht="15" customHeight="1">
      <c r="A9242" t="inlineStr">
        <is>
          <t>A 29531-2025</t>
        </is>
      </c>
      <c r="B9242" s="1" t="n">
        <v>45825.34444444445</v>
      </c>
      <c r="C9242" s="1" t="n">
        <v>45971</v>
      </c>
      <c r="D9242" t="inlineStr">
        <is>
          <t>VÄSTERBOTTENS LÄN</t>
        </is>
      </c>
      <c r="E9242" t="inlineStr">
        <is>
          <t>ÅSELE</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43768-2023</t>
        </is>
      </c>
      <c r="B9243" s="1" t="n">
        <v>45187.50721064815</v>
      </c>
      <c r="C9243" s="1" t="n">
        <v>45971</v>
      </c>
      <c r="D9243" t="inlineStr">
        <is>
          <t>VÄSTERBOTTENS LÄN</t>
        </is>
      </c>
      <c r="E9243" t="inlineStr">
        <is>
          <t>ÅSELE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44295-2023</t>
        </is>
      </c>
      <c r="B9244" s="1" t="n">
        <v>45188.64064814815</v>
      </c>
      <c r="C9244" s="1" t="n">
        <v>45971</v>
      </c>
      <c r="D9244" t="inlineStr">
        <is>
          <t>VÄSTERBOTTENS LÄN</t>
        </is>
      </c>
      <c r="E9244" t="inlineStr">
        <is>
          <t>VÄNNÄS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44310-2023</t>
        </is>
      </c>
      <c r="B9245" s="1" t="n">
        <v>45187</v>
      </c>
      <c r="C9245" s="1" t="n">
        <v>45971</v>
      </c>
      <c r="D9245" t="inlineStr">
        <is>
          <t>VÄSTERBOTTENS LÄN</t>
        </is>
      </c>
      <c r="E9245" t="inlineStr">
        <is>
          <t>NORSJÖ</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29573-2025</t>
        </is>
      </c>
      <c r="B9246" s="1" t="n">
        <v>45825.37140046297</v>
      </c>
      <c r="C9246" s="1" t="n">
        <v>45971</v>
      </c>
      <c r="D9246" t="inlineStr">
        <is>
          <t>VÄSTERBOTTENS LÄN</t>
        </is>
      </c>
      <c r="E9246" t="inlineStr">
        <is>
          <t>NORDMALING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29579-2025</t>
        </is>
      </c>
      <c r="B9247" s="1" t="n">
        <v>45825.37862268519</v>
      </c>
      <c r="C9247" s="1" t="n">
        <v>45971</v>
      </c>
      <c r="D9247" t="inlineStr">
        <is>
          <t>VÄSTERBOTTENS LÄN</t>
        </is>
      </c>
      <c r="E9247" t="inlineStr">
        <is>
          <t>NORDMALING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29604-2025</t>
        </is>
      </c>
      <c r="B9248" s="1" t="n">
        <v>45825.4179050926</v>
      </c>
      <c r="C9248" s="1" t="n">
        <v>45971</v>
      </c>
      <c r="D9248" t="inlineStr">
        <is>
          <t>VÄSTERBOTTENS LÄN</t>
        </is>
      </c>
      <c r="E9248" t="inlineStr">
        <is>
          <t>VINDELN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7256-2025</t>
        </is>
      </c>
      <c r="B9249" s="1" t="n">
        <v>45702</v>
      </c>
      <c r="C9249" s="1" t="n">
        <v>45971</v>
      </c>
      <c r="D9249" t="inlineStr">
        <is>
          <t>VÄSTERBOTTENS LÄN</t>
        </is>
      </c>
      <c r="E9249" t="inlineStr">
        <is>
          <t>SORSELE</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29801-2025</t>
        </is>
      </c>
      <c r="B9250" s="1" t="n">
        <v>45825.69819444444</v>
      </c>
      <c r="C9250" s="1" t="n">
        <v>45971</v>
      </c>
      <c r="D9250" t="inlineStr">
        <is>
          <t>VÄSTERBOTTENS LÄN</t>
        </is>
      </c>
      <c r="E9250" t="inlineStr">
        <is>
          <t>STORUMAN</t>
        </is>
      </c>
      <c r="G9250" t="n">
        <v>21.2</v>
      </c>
      <c r="H9250" t="n">
        <v>0</v>
      </c>
      <c r="I9250" t="n">
        <v>0</v>
      </c>
      <c r="J9250" t="n">
        <v>0</v>
      </c>
      <c r="K9250" t="n">
        <v>0</v>
      </c>
      <c r="L9250" t="n">
        <v>0</v>
      </c>
      <c r="M9250" t="n">
        <v>0</v>
      </c>
      <c r="N9250" t="n">
        <v>0</v>
      </c>
      <c r="O9250" t="n">
        <v>0</v>
      </c>
      <c r="P9250" t="n">
        <v>0</v>
      </c>
      <c r="Q9250" t="n">
        <v>0</v>
      </c>
      <c r="R9250" s="2" t="inlineStr"/>
    </row>
    <row r="9251" ht="15" customHeight="1">
      <c r="A9251" t="inlineStr">
        <is>
          <t>A 23336-2022</t>
        </is>
      </c>
      <c r="B9251" s="1" t="n">
        <v>44719</v>
      </c>
      <c r="C9251" s="1" t="n">
        <v>45971</v>
      </c>
      <c r="D9251" t="inlineStr">
        <is>
          <t>VÄSTERBOTTENS LÄN</t>
        </is>
      </c>
      <c r="E9251" t="inlineStr">
        <is>
          <t>SORSELE</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41411-2023</t>
        </is>
      </c>
      <c r="B9252" s="1" t="n">
        <v>45174.93942129629</v>
      </c>
      <c r="C9252" s="1" t="n">
        <v>45971</v>
      </c>
      <c r="D9252" t="inlineStr">
        <is>
          <t>VÄSTERBOTTENS LÄN</t>
        </is>
      </c>
      <c r="E9252" t="inlineStr">
        <is>
          <t>ÅSELE</t>
        </is>
      </c>
      <c r="F9252" t="inlineStr">
        <is>
          <t>SCA</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31402-2022</t>
        </is>
      </c>
      <c r="B9253" s="1" t="n">
        <v>44774</v>
      </c>
      <c r="C9253" s="1" t="n">
        <v>45971</v>
      </c>
      <c r="D9253" t="inlineStr">
        <is>
          <t>VÄSTERBOTTENS LÄN</t>
        </is>
      </c>
      <c r="E9253" t="inlineStr">
        <is>
          <t>ÅSELE</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44274-2023</t>
        </is>
      </c>
      <c r="B9254" s="1" t="n">
        <v>45188.61318287037</v>
      </c>
      <c r="C9254" s="1" t="n">
        <v>45971</v>
      </c>
      <c r="D9254" t="inlineStr">
        <is>
          <t>VÄSTERBOTTENS LÄN</t>
        </is>
      </c>
      <c r="E9254" t="inlineStr">
        <is>
          <t>BJURHOLM</t>
        </is>
      </c>
      <c r="F9254" t="inlineStr">
        <is>
          <t>Holmen skog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3562-2025</t>
        </is>
      </c>
      <c r="B9255" s="1" t="n">
        <v>45680</v>
      </c>
      <c r="C9255" s="1" t="n">
        <v>45971</v>
      </c>
      <c r="D9255" t="inlineStr">
        <is>
          <t>VÄSTERBOTTENS LÄN</t>
        </is>
      </c>
      <c r="E9255" t="inlineStr">
        <is>
          <t>DOROTEA</t>
        </is>
      </c>
      <c r="F9255" t="inlineStr">
        <is>
          <t>SCA</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52817-2025</t>
        </is>
      </c>
      <c r="B9256" s="1" t="n">
        <v>45957.44925925926</v>
      </c>
      <c r="C9256" s="1" t="n">
        <v>45971</v>
      </c>
      <c r="D9256" t="inlineStr">
        <is>
          <t>VÄSTERBOTTENS LÄN</t>
        </is>
      </c>
      <c r="E9256" t="inlineStr">
        <is>
          <t>MALÅ</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52864-2025</t>
        </is>
      </c>
      <c r="B9257" s="1" t="n">
        <v>45954</v>
      </c>
      <c r="C9257" s="1" t="n">
        <v>45971</v>
      </c>
      <c r="D9257" t="inlineStr">
        <is>
          <t>VÄSTERBOTTENS LÄN</t>
        </is>
      </c>
      <c r="E9257" t="inlineStr">
        <is>
          <t>SKELLEFTEÅ</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20836-2022</t>
        </is>
      </c>
      <c r="B9258" s="1" t="n">
        <v>44701</v>
      </c>
      <c r="C9258" s="1" t="n">
        <v>45971</v>
      </c>
      <c r="D9258" t="inlineStr">
        <is>
          <t>VÄSTERBOTTENS LÄN</t>
        </is>
      </c>
      <c r="E9258" t="inlineStr">
        <is>
          <t>BJURHOLM</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15805-2025</t>
        </is>
      </c>
      <c r="B9259" s="1" t="n">
        <v>45748</v>
      </c>
      <c r="C9259" s="1" t="n">
        <v>45971</v>
      </c>
      <c r="D9259" t="inlineStr">
        <is>
          <t>VÄSTERBOTTENS LÄN</t>
        </is>
      </c>
      <c r="E9259" t="inlineStr">
        <is>
          <t>VILHELMINA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30195-2025</t>
        </is>
      </c>
      <c r="B9260" s="1" t="n">
        <v>45827.35383101852</v>
      </c>
      <c r="C9260" s="1" t="n">
        <v>45971</v>
      </c>
      <c r="D9260" t="inlineStr">
        <is>
          <t>VÄSTERBOTTENS LÄN</t>
        </is>
      </c>
      <c r="E9260" t="inlineStr">
        <is>
          <t>SKELLEFTEÅ</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52845-2025</t>
        </is>
      </c>
      <c r="B9261" s="1" t="n">
        <v>45957.48430555555</v>
      </c>
      <c r="C9261" s="1" t="n">
        <v>45971</v>
      </c>
      <c r="D9261" t="inlineStr">
        <is>
          <t>VÄSTERBOTTENS LÄN</t>
        </is>
      </c>
      <c r="E9261" t="inlineStr">
        <is>
          <t>VÄNNÄS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52872-2025</t>
        </is>
      </c>
      <c r="B9262" s="1" t="n">
        <v>45957.52386574074</v>
      </c>
      <c r="C9262" s="1" t="n">
        <v>45971</v>
      </c>
      <c r="D9262" t="inlineStr">
        <is>
          <t>VÄSTERBOTTENS LÄN</t>
        </is>
      </c>
      <c r="E9262" t="inlineStr">
        <is>
          <t>SKELLEFTEÅ</t>
        </is>
      </c>
      <c r="F9262" t="inlineStr">
        <is>
          <t>Holmen skog AB</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30263-2025</t>
        </is>
      </c>
      <c r="B9263" s="1" t="n">
        <v>45827.43445601852</v>
      </c>
      <c r="C9263" s="1" t="n">
        <v>45971</v>
      </c>
      <c r="D9263" t="inlineStr">
        <is>
          <t>VÄSTERBOTTENS LÄN</t>
        </is>
      </c>
      <c r="E9263" t="inlineStr">
        <is>
          <t>UMEÅ</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44186-2025</t>
        </is>
      </c>
      <c r="B9264" s="1" t="n">
        <v>45915.61269675926</v>
      </c>
      <c r="C9264" s="1" t="n">
        <v>45971</v>
      </c>
      <c r="D9264" t="inlineStr">
        <is>
          <t>VÄSTERBOTTENS LÄN</t>
        </is>
      </c>
      <c r="E9264" t="inlineStr">
        <is>
          <t>VINDELN</t>
        </is>
      </c>
      <c r="F9264" t="inlineStr">
        <is>
          <t>Sveaskog</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30336-2025</t>
        </is>
      </c>
      <c r="B9265" s="1" t="n">
        <v>45827.51121527778</v>
      </c>
      <c r="C9265" s="1" t="n">
        <v>45971</v>
      </c>
      <c r="D9265" t="inlineStr">
        <is>
          <t>VÄSTERBOTTENS LÄN</t>
        </is>
      </c>
      <c r="E9265" t="inlineStr">
        <is>
          <t>LYCKSELE</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38999-2023</t>
        </is>
      </c>
      <c r="B9266" s="1" t="n">
        <v>45162</v>
      </c>
      <c r="C9266" s="1" t="n">
        <v>45971</v>
      </c>
      <c r="D9266" t="inlineStr">
        <is>
          <t>VÄSTERBOTTENS LÄN</t>
        </is>
      </c>
      <c r="E9266" t="inlineStr">
        <is>
          <t>MALÅ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39816-2023</t>
        </is>
      </c>
      <c r="B9267" s="1" t="n">
        <v>45167.95972222222</v>
      </c>
      <c r="C9267" s="1" t="n">
        <v>45971</v>
      </c>
      <c r="D9267" t="inlineStr">
        <is>
          <t>VÄSTERBOTTENS LÄN</t>
        </is>
      </c>
      <c r="E9267" t="inlineStr">
        <is>
          <t>NORDMALING</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18639-2022</t>
        </is>
      </c>
      <c r="B9268" s="1" t="n">
        <v>44687</v>
      </c>
      <c r="C9268" s="1" t="n">
        <v>45971</v>
      </c>
      <c r="D9268" t="inlineStr">
        <is>
          <t>VÄSTERBOTTENS LÄN</t>
        </is>
      </c>
      <c r="E9268" t="inlineStr">
        <is>
          <t>NORDMALING</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58833-2023</t>
        </is>
      </c>
      <c r="B9269" s="1" t="n">
        <v>45248</v>
      </c>
      <c r="C9269" s="1" t="n">
        <v>45971</v>
      </c>
      <c r="D9269" t="inlineStr">
        <is>
          <t>VÄSTERBOTTENS LÄN</t>
        </is>
      </c>
      <c r="E9269" t="inlineStr">
        <is>
          <t>VILHELMINA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52842-2025</t>
        </is>
      </c>
      <c r="B9270" s="1" t="n">
        <v>45957.47827546296</v>
      </c>
      <c r="C9270" s="1" t="n">
        <v>45971</v>
      </c>
      <c r="D9270" t="inlineStr">
        <is>
          <t>VÄSTERBOTTENS LÄN</t>
        </is>
      </c>
      <c r="E9270" t="inlineStr">
        <is>
          <t>VÄNNÄS</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52925-2025</t>
        </is>
      </c>
      <c r="B9271" s="1" t="n">
        <v>45957.6162962963</v>
      </c>
      <c r="C9271" s="1" t="n">
        <v>45971</v>
      </c>
      <c r="D9271" t="inlineStr">
        <is>
          <t>VÄSTERBOTTENS LÄN</t>
        </is>
      </c>
      <c r="E9271" t="inlineStr">
        <is>
          <t>UMEÅ</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52928-2025</t>
        </is>
      </c>
      <c r="B9272" s="1" t="n">
        <v>45957.62016203703</v>
      </c>
      <c r="C9272" s="1" t="n">
        <v>45971</v>
      </c>
      <c r="D9272" t="inlineStr">
        <is>
          <t>VÄSTERBOTTENS LÄN</t>
        </is>
      </c>
      <c r="E9272" t="inlineStr">
        <is>
          <t>UMEÅ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52945-2025</t>
        </is>
      </c>
      <c r="B9273" s="1" t="n">
        <v>45957.64722222222</v>
      </c>
      <c r="C9273" s="1" t="n">
        <v>45971</v>
      </c>
      <c r="D9273" t="inlineStr">
        <is>
          <t>VÄSTERBOTTENS LÄN</t>
        </is>
      </c>
      <c r="E9273" t="inlineStr">
        <is>
          <t>LYCKSELE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53271-2025</t>
        </is>
      </c>
      <c r="B9274" s="1" t="n">
        <v>45958.70387731482</v>
      </c>
      <c r="C9274" s="1" t="n">
        <v>45971</v>
      </c>
      <c r="D9274" t="inlineStr">
        <is>
          <t>VÄSTERBOTTENS LÄN</t>
        </is>
      </c>
      <c r="E9274" t="inlineStr">
        <is>
          <t>UMEÅ</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58752-2023</t>
        </is>
      </c>
      <c r="B9275" s="1" t="n">
        <v>45251.92969907408</v>
      </c>
      <c r="C9275" s="1" t="n">
        <v>45971</v>
      </c>
      <c r="D9275" t="inlineStr">
        <is>
          <t>VÄSTERBOTTENS LÄN</t>
        </is>
      </c>
      <c r="E9275" t="inlineStr">
        <is>
          <t>SKELLEFTEÅ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58755-2023</t>
        </is>
      </c>
      <c r="B9276" s="1" t="n">
        <v>45251</v>
      </c>
      <c r="C9276" s="1" t="n">
        <v>45971</v>
      </c>
      <c r="D9276" t="inlineStr">
        <is>
          <t>VÄSTERBOTTENS LÄN</t>
        </is>
      </c>
      <c r="E9276" t="inlineStr">
        <is>
          <t>SKELLEFTEÅ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39945-2023</t>
        </is>
      </c>
      <c r="B9277" s="1" t="n">
        <v>45168</v>
      </c>
      <c r="C9277" s="1" t="n">
        <v>45971</v>
      </c>
      <c r="D9277" t="inlineStr">
        <is>
          <t>VÄSTERBOTTENS LÄN</t>
        </is>
      </c>
      <c r="E9277" t="inlineStr">
        <is>
          <t>UMEÅ</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53001-2025</t>
        </is>
      </c>
      <c r="B9278" s="1" t="n">
        <v>45957.7440162037</v>
      </c>
      <c r="C9278" s="1" t="n">
        <v>45971</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30344-2025</t>
        </is>
      </c>
      <c r="B9279" s="1" t="n">
        <v>45827</v>
      </c>
      <c r="C9279" s="1" t="n">
        <v>45971</v>
      </c>
      <c r="D9279" t="inlineStr">
        <is>
          <t>VÄSTERBOTTENS LÄN</t>
        </is>
      </c>
      <c r="E9279" t="inlineStr">
        <is>
          <t>ROBERTSFORS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30449-2025</t>
        </is>
      </c>
      <c r="B9280" s="1" t="n">
        <v>45827.66090277778</v>
      </c>
      <c r="C9280" s="1" t="n">
        <v>45971</v>
      </c>
      <c r="D9280" t="inlineStr">
        <is>
          <t>VÄSTERBOTTENS LÄN</t>
        </is>
      </c>
      <c r="E9280" t="inlineStr">
        <is>
          <t>VINDELN</t>
        </is>
      </c>
      <c r="F9280" t="inlineStr">
        <is>
          <t>Holmen skog AB</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30438-2025</t>
        </is>
      </c>
      <c r="B9281" s="1" t="n">
        <v>45827.64153935185</v>
      </c>
      <c r="C9281" s="1" t="n">
        <v>45971</v>
      </c>
      <c r="D9281" t="inlineStr">
        <is>
          <t>VÄSTERBOTTENS LÄN</t>
        </is>
      </c>
      <c r="E9281" t="inlineStr">
        <is>
          <t>SKELLEFTEÅ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60035-2023</t>
        </is>
      </c>
      <c r="B9282" s="1" t="n">
        <v>45254</v>
      </c>
      <c r="C9282" s="1" t="n">
        <v>45971</v>
      </c>
      <c r="D9282" t="inlineStr">
        <is>
          <t>VÄSTERBOTTENS LÄN</t>
        </is>
      </c>
      <c r="E9282" t="inlineStr">
        <is>
          <t>VILHELMINA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43985-2025</t>
        </is>
      </c>
      <c r="B9283" s="1" t="n">
        <v>45915.43275462963</v>
      </c>
      <c r="C9283" s="1" t="n">
        <v>45971</v>
      </c>
      <c r="D9283" t="inlineStr">
        <is>
          <t>VÄSTERBOTTENS LÄN</t>
        </is>
      </c>
      <c r="E9283" t="inlineStr">
        <is>
          <t>ÅSELE</t>
        </is>
      </c>
      <c r="F9283" t="inlineStr">
        <is>
          <t>Holmen skog AB</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30426-2025</t>
        </is>
      </c>
      <c r="B9284" s="1" t="n">
        <v>45827.61538194444</v>
      </c>
      <c r="C9284" s="1" t="n">
        <v>45971</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52661-2025</t>
        </is>
      </c>
      <c r="B9285" s="1" t="n">
        <v>45955.46943287037</v>
      </c>
      <c r="C9285" s="1" t="n">
        <v>45971</v>
      </c>
      <c r="D9285" t="inlineStr">
        <is>
          <t>VÄSTERBOTTENS LÄN</t>
        </is>
      </c>
      <c r="E9285" t="inlineStr">
        <is>
          <t>SKELLEFTEÅ</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9550-2025</t>
        </is>
      </c>
      <c r="B9286" s="1" t="n">
        <v>45715.59436342592</v>
      </c>
      <c r="C9286" s="1" t="n">
        <v>45971</v>
      </c>
      <c r="D9286" t="inlineStr">
        <is>
          <t>VÄSTERBOTTENS LÄN</t>
        </is>
      </c>
      <c r="E9286" t="inlineStr">
        <is>
          <t>LYCKSELE</t>
        </is>
      </c>
      <c r="F9286" t="inlineStr">
        <is>
          <t>SCA</t>
        </is>
      </c>
      <c r="G9286" t="n">
        <v>20.6</v>
      </c>
      <c r="H9286" t="n">
        <v>0</v>
      </c>
      <c r="I9286" t="n">
        <v>0</v>
      </c>
      <c r="J9286" t="n">
        <v>0</v>
      </c>
      <c r="K9286" t="n">
        <v>0</v>
      </c>
      <c r="L9286" t="n">
        <v>0</v>
      </c>
      <c r="M9286" t="n">
        <v>0</v>
      </c>
      <c r="N9286" t="n">
        <v>0</v>
      </c>
      <c r="O9286" t="n">
        <v>0</v>
      </c>
      <c r="P9286" t="n">
        <v>0</v>
      </c>
      <c r="Q9286" t="n">
        <v>0</v>
      </c>
      <c r="R9286" s="2" t="inlineStr"/>
    </row>
    <row r="9287" ht="15" customHeight="1">
      <c r="A9287" t="inlineStr">
        <is>
          <t>A 52723-2025</t>
        </is>
      </c>
      <c r="B9287" s="1" t="n">
        <v>45957.3458912037</v>
      </c>
      <c r="C9287" s="1" t="n">
        <v>45971</v>
      </c>
      <c r="D9287" t="inlineStr">
        <is>
          <t>VÄSTERBOTTENS LÄN</t>
        </is>
      </c>
      <c r="E9287" t="inlineStr">
        <is>
          <t>ROBERTSFORS</t>
        </is>
      </c>
      <c r="F9287" t="inlineStr">
        <is>
          <t>Holmen skog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44120-2025</t>
        </is>
      </c>
      <c r="B9288" s="1" t="n">
        <v>45915.57791666667</v>
      </c>
      <c r="C9288" s="1" t="n">
        <v>45971</v>
      </c>
      <c r="D9288" t="inlineStr">
        <is>
          <t>VÄSTERBOTTENS LÄN</t>
        </is>
      </c>
      <c r="E9288" t="inlineStr">
        <is>
          <t>SKELLEFTEÅ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53031-2025</t>
        </is>
      </c>
      <c r="B9289" s="1" t="n">
        <v>45958.34454861111</v>
      </c>
      <c r="C9289" s="1" t="n">
        <v>45971</v>
      </c>
      <c r="D9289" t="inlineStr">
        <is>
          <t>VÄSTERBOTTENS LÄN</t>
        </is>
      </c>
      <c r="E9289" t="inlineStr">
        <is>
          <t>VINDELN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30385-2025</t>
        </is>
      </c>
      <c r="B9290" s="1" t="n">
        <v>45827.5730787037</v>
      </c>
      <c r="C9290" s="1" t="n">
        <v>45971</v>
      </c>
      <c r="D9290" t="inlineStr">
        <is>
          <t>VÄSTERBOTTENS LÄN</t>
        </is>
      </c>
      <c r="E9290" t="inlineStr">
        <is>
          <t>LYCKSELE</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20216-2025</t>
        </is>
      </c>
      <c r="B9291" s="1" t="n">
        <v>45772</v>
      </c>
      <c r="C9291" s="1" t="n">
        <v>45971</v>
      </c>
      <c r="D9291" t="inlineStr">
        <is>
          <t>VÄSTERBOTTENS LÄN</t>
        </is>
      </c>
      <c r="E9291" t="inlineStr">
        <is>
          <t>SKELLEFTEÅ</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20220-2025</t>
        </is>
      </c>
      <c r="B9292" s="1" t="n">
        <v>45772</v>
      </c>
      <c r="C9292" s="1" t="n">
        <v>45971</v>
      </c>
      <c r="D9292" t="inlineStr">
        <is>
          <t>VÄSTERBOTTENS LÄN</t>
        </is>
      </c>
      <c r="E9292" t="inlineStr">
        <is>
          <t>SKELLEFTEÅ</t>
        </is>
      </c>
      <c r="G9292" t="n">
        <v>18.6</v>
      </c>
      <c r="H9292" t="n">
        <v>0</v>
      </c>
      <c r="I9292" t="n">
        <v>0</v>
      </c>
      <c r="J9292" t="n">
        <v>0</v>
      </c>
      <c r="K9292" t="n">
        <v>0</v>
      </c>
      <c r="L9292" t="n">
        <v>0</v>
      </c>
      <c r="M9292" t="n">
        <v>0</v>
      </c>
      <c r="N9292" t="n">
        <v>0</v>
      </c>
      <c r="O9292" t="n">
        <v>0</v>
      </c>
      <c r="P9292" t="n">
        <v>0</v>
      </c>
      <c r="Q9292" t="n">
        <v>0</v>
      </c>
      <c r="R9292" s="2" t="inlineStr"/>
    </row>
    <row r="9293" ht="15" customHeight="1">
      <c r="A9293" t="inlineStr">
        <is>
          <t>A 20240-2025</t>
        </is>
      </c>
      <c r="B9293" s="1" t="n">
        <v>45772.69824074074</v>
      </c>
      <c r="C9293" s="1" t="n">
        <v>45971</v>
      </c>
      <c r="D9293" t="inlineStr">
        <is>
          <t>VÄSTERBOTTENS LÄN</t>
        </is>
      </c>
      <c r="E9293" t="inlineStr">
        <is>
          <t>DOROTEA</t>
        </is>
      </c>
      <c r="F9293" t="inlineStr">
        <is>
          <t>SCA</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30154-2025</t>
        </is>
      </c>
      <c r="B9294" s="1" t="n">
        <v>45827.31850694444</v>
      </c>
      <c r="C9294" s="1" t="n">
        <v>45971</v>
      </c>
      <c r="D9294" t="inlineStr">
        <is>
          <t>VÄSTERBOTTENS LÄN</t>
        </is>
      </c>
      <c r="E9294" t="inlineStr">
        <is>
          <t>LYCKSELE</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43931-2025</t>
        </is>
      </c>
      <c r="B9295" s="1" t="n">
        <v>45915.33216435185</v>
      </c>
      <c r="C9295" s="1" t="n">
        <v>45971</v>
      </c>
      <c r="D9295" t="inlineStr">
        <is>
          <t>VÄSTERBOTTENS LÄN</t>
        </is>
      </c>
      <c r="E9295" t="inlineStr">
        <is>
          <t>LYCKSELE</t>
        </is>
      </c>
      <c r="F9295" t="inlineStr">
        <is>
          <t>Sveaskog</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30163-2025</t>
        </is>
      </c>
      <c r="B9296" s="1" t="n">
        <v>45827.32722222222</v>
      </c>
      <c r="C9296" s="1" t="n">
        <v>45971</v>
      </c>
      <c r="D9296" t="inlineStr">
        <is>
          <t>VÄSTERBOTTENS LÄN</t>
        </is>
      </c>
      <c r="E9296" t="inlineStr">
        <is>
          <t>VÄNNÄS</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30183-2025</t>
        </is>
      </c>
      <c r="B9297" s="1" t="n">
        <v>45827.34677083333</v>
      </c>
      <c r="C9297" s="1" t="n">
        <v>45971</v>
      </c>
      <c r="D9297" t="inlineStr">
        <is>
          <t>VÄSTERBOTTENS LÄN</t>
        </is>
      </c>
      <c r="E9297" t="inlineStr">
        <is>
          <t>ÅSELE</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58553-2023</t>
        </is>
      </c>
      <c r="B9298" s="1" t="n">
        <v>45251</v>
      </c>
      <c r="C9298" s="1" t="n">
        <v>45971</v>
      </c>
      <c r="D9298" t="inlineStr">
        <is>
          <t>VÄSTERBOTTENS LÄN</t>
        </is>
      </c>
      <c r="E9298" t="inlineStr">
        <is>
          <t>LYCKSELE</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856-2025</t>
        </is>
      </c>
      <c r="B9299" s="1" t="n">
        <v>45665</v>
      </c>
      <c r="C9299" s="1" t="n">
        <v>45971</v>
      </c>
      <c r="D9299" t="inlineStr">
        <is>
          <t>VÄSTERBOTTENS LÄN</t>
        </is>
      </c>
      <c r="E9299" t="inlineStr">
        <is>
          <t>VINDELN</t>
        </is>
      </c>
      <c r="F9299" t="inlineStr">
        <is>
          <t>Naturvårdsverket</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879-2025</t>
        </is>
      </c>
      <c r="B9300" s="1" t="n">
        <v>45665</v>
      </c>
      <c r="C9300" s="1" t="n">
        <v>45971</v>
      </c>
      <c r="D9300" t="inlineStr">
        <is>
          <t>VÄSTERBOTTENS LÄN</t>
        </is>
      </c>
      <c r="E9300" t="inlineStr">
        <is>
          <t>NORDMALING</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886-2025</t>
        </is>
      </c>
      <c r="B9301" s="1" t="n">
        <v>45665.64759259259</v>
      </c>
      <c r="C9301" s="1" t="n">
        <v>45971</v>
      </c>
      <c r="D9301" t="inlineStr">
        <is>
          <t>VÄSTERBOTTENS LÄN</t>
        </is>
      </c>
      <c r="E9301" t="inlineStr">
        <is>
          <t>LYCKSELE</t>
        </is>
      </c>
      <c r="F9301" t="inlineStr">
        <is>
          <t>Naturvårdsverket</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52748-2025</t>
        </is>
      </c>
      <c r="B9302" s="1" t="n">
        <v>45957.38578703703</v>
      </c>
      <c r="C9302" s="1" t="n">
        <v>45971</v>
      </c>
      <c r="D9302" t="inlineStr">
        <is>
          <t>VÄSTERBOTTENS LÄN</t>
        </is>
      </c>
      <c r="E9302" t="inlineStr">
        <is>
          <t>SKELLEFTEÅ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44308-2025</t>
        </is>
      </c>
      <c r="B9303" s="1" t="n">
        <v>45916.38</v>
      </c>
      <c r="C9303" s="1" t="n">
        <v>45971</v>
      </c>
      <c r="D9303" t="inlineStr">
        <is>
          <t>VÄSTERBOTTENS LÄN</t>
        </is>
      </c>
      <c r="E9303" t="inlineStr">
        <is>
          <t>NORSJÖ</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30258-2025</t>
        </is>
      </c>
      <c r="B9304" s="1" t="n">
        <v>45827.42743055556</v>
      </c>
      <c r="C9304" s="1" t="n">
        <v>45971</v>
      </c>
      <c r="D9304" t="inlineStr">
        <is>
          <t>VÄSTERBOTTENS LÄN</t>
        </is>
      </c>
      <c r="E9304" t="inlineStr">
        <is>
          <t>LYCKSELE</t>
        </is>
      </c>
      <c r="F9304" t="inlineStr">
        <is>
          <t>Holmen skog AB</t>
        </is>
      </c>
      <c r="G9304" t="n">
        <v>19.5</v>
      </c>
      <c r="H9304" t="n">
        <v>0</v>
      </c>
      <c r="I9304" t="n">
        <v>0</v>
      </c>
      <c r="J9304" t="n">
        <v>0</v>
      </c>
      <c r="K9304" t="n">
        <v>0</v>
      </c>
      <c r="L9304" t="n">
        <v>0</v>
      </c>
      <c r="M9304" t="n">
        <v>0</v>
      </c>
      <c r="N9304" t="n">
        <v>0</v>
      </c>
      <c r="O9304" t="n">
        <v>0</v>
      </c>
      <c r="P9304" t="n">
        <v>0</v>
      </c>
      <c r="Q9304" t="n">
        <v>0</v>
      </c>
      <c r="R9304" s="2" t="inlineStr"/>
    </row>
    <row r="9305" ht="15" customHeight="1">
      <c r="A9305" t="inlineStr">
        <is>
          <t>A 30172-2025</t>
        </is>
      </c>
      <c r="B9305" s="1" t="n">
        <v>45827</v>
      </c>
      <c r="C9305" s="1" t="n">
        <v>45971</v>
      </c>
      <c r="D9305" t="inlineStr">
        <is>
          <t>VÄSTERBOTTENS LÄN</t>
        </is>
      </c>
      <c r="E9305" t="inlineStr">
        <is>
          <t>SKELLEFTEÅ</t>
        </is>
      </c>
      <c r="F9305" t="inlineStr">
        <is>
          <t>Kyrkan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44096-2025</t>
        </is>
      </c>
      <c r="B9306" s="1" t="n">
        <v>45915</v>
      </c>
      <c r="C9306" s="1" t="n">
        <v>45971</v>
      </c>
      <c r="D9306" t="inlineStr">
        <is>
          <t>VÄSTERBOTTENS LÄN</t>
        </is>
      </c>
      <c r="E9306" t="inlineStr">
        <is>
          <t>STORUMAN</t>
        </is>
      </c>
      <c r="F9306" t="inlineStr">
        <is>
          <t>Allmännings- och besparingsskogar</t>
        </is>
      </c>
      <c r="G9306" t="n">
        <v>50.8</v>
      </c>
      <c r="H9306" t="n">
        <v>0</v>
      </c>
      <c r="I9306" t="n">
        <v>0</v>
      </c>
      <c r="J9306" t="n">
        <v>0</v>
      </c>
      <c r="K9306" t="n">
        <v>0</v>
      </c>
      <c r="L9306" t="n">
        <v>0</v>
      </c>
      <c r="M9306" t="n">
        <v>0</v>
      </c>
      <c r="N9306" t="n">
        <v>0</v>
      </c>
      <c r="O9306" t="n">
        <v>0</v>
      </c>
      <c r="P9306" t="n">
        <v>0</v>
      </c>
      <c r="Q9306" t="n">
        <v>0</v>
      </c>
      <c r="R9306" s="2" t="inlineStr"/>
    </row>
    <row r="9307" ht="15" customHeight="1">
      <c r="A9307" t="inlineStr">
        <is>
          <t>A 44101-2025</t>
        </is>
      </c>
      <c r="B9307" s="1" t="n">
        <v>45915.56788194444</v>
      </c>
      <c r="C9307" s="1" t="n">
        <v>45971</v>
      </c>
      <c r="D9307" t="inlineStr">
        <is>
          <t>VÄSTERBOTTENS LÄN</t>
        </is>
      </c>
      <c r="E9307" t="inlineStr">
        <is>
          <t>SKELLEFTEÅ</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44128-2025</t>
        </is>
      </c>
      <c r="B9308" s="1" t="n">
        <v>45915</v>
      </c>
      <c r="C9308" s="1" t="n">
        <v>45971</v>
      </c>
      <c r="D9308" t="inlineStr">
        <is>
          <t>VÄSTERBOTTENS LÄN</t>
        </is>
      </c>
      <c r="E9308" t="inlineStr">
        <is>
          <t>STORUMAN</t>
        </is>
      </c>
      <c r="F9308" t="inlineStr">
        <is>
          <t>Allmännings- och besparingsskogar</t>
        </is>
      </c>
      <c r="G9308" t="n">
        <v>36.5</v>
      </c>
      <c r="H9308" t="n">
        <v>0</v>
      </c>
      <c r="I9308" t="n">
        <v>0</v>
      </c>
      <c r="J9308" t="n">
        <v>0</v>
      </c>
      <c r="K9308" t="n">
        <v>0</v>
      </c>
      <c r="L9308" t="n">
        <v>0</v>
      </c>
      <c r="M9308" t="n">
        <v>0</v>
      </c>
      <c r="N9308" t="n">
        <v>0</v>
      </c>
      <c r="O9308" t="n">
        <v>0</v>
      </c>
      <c r="P9308" t="n">
        <v>0</v>
      </c>
      <c r="Q9308" t="n">
        <v>0</v>
      </c>
      <c r="R9308" s="2" t="inlineStr"/>
    </row>
    <row r="9309" ht="15" customHeight="1">
      <c r="A9309" t="inlineStr">
        <is>
          <t>A 52901-2025</t>
        </is>
      </c>
      <c r="B9309" s="1" t="n">
        <v>45957.5896875</v>
      </c>
      <c r="C9309" s="1" t="n">
        <v>45971</v>
      </c>
      <c r="D9309" t="inlineStr">
        <is>
          <t>VÄSTERBOTTENS LÄN</t>
        </is>
      </c>
      <c r="E9309" t="inlineStr">
        <is>
          <t>LYCKSELE</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52984-2025</t>
        </is>
      </c>
      <c r="B9310" s="1" t="n">
        <v>45957</v>
      </c>
      <c r="C9310" s="1" t="n">
        <v>45971</v>
      </c>
      <c r="D9310" t="inlineStr">
        <is>
          <t>VÄSTERBOTTENS LÄN</t>
        </is>
      </c>
      <c r="E9310" t="inlineStr">
        <is>
          <t>SKELLEFTEÅ</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44360-2025</t>
        </is>
      </c>
      <c r="B9311" s="1" t="n">
        <v>45916.45126157408</v>
      </c>
      <c r="C9311" s="1" t="n">
        <v>45971</v>
      </c>
      <c r="D9311" t="inlineStr">
        <is>
          <t>VÄSTERBOTTENS LÄN</t>
        </is>
      </c>
      <c r="E9311" t="inlineStr">
        <is>
          <t>LYCKSELE</t>
        </is>
      </c>
      <c r="F9311" t="inlineStr">
        <is>
          <t>Sveaskog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44408-2025</t>
        </is>
      </c>
      <c r="B9312" s="1" t="n">
        <v>45916.53047453704</v>
      </c>
      <c r="C9312" s="1" t="n">
        <v>45971</v>
      </c>
      <c r="D9312" t="inlineStr">
        <is>
          <t>VÄSTERBOTTENS LÄN</t>
        </is>
      </c>
      <c r="E9312" t="inlineStr">
        <is>
          <t>SKELLEFTEÅ</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44416-2025</t>
        </is>
      </c>
      <c r="B9313" s="1" t="n">
        <v>45916.54385416667</v>
      </c>
      <c r="C9313" s="1" t="n">
        <v>45971</v>
      </c>
      <c r="D9313" t="inlineStr">
        <is>
          <t>VÄSTERBOTTENS LÄN</t>
        </is>
      </c>
      <c r="E9313" t="inlineStr">
        <is>
          <t>ÅSELE</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30578-2025</t>
        </is>
      </c>
      <c r="B9314" s="1" t="n">
        <v>45831.41945601852</v>
      </c>
      <c r="C9314" s="1" t="n">
        <v>45971</v>
      </c>
      <c r="D9314" t="inlineStr">
        <is>
          <t>VÄSTERBOTTENS LÄN</t>
        </is>
      </c>
      <c r="E9314" t="inlineStr">
        <is>
          <t>LYCKSELE</t>
        </is>
      </c>
      <c r="F9314" t="inlineStr">
        <is>
          <t>Sveaskog</t>
        </is>
      </c>
      <c r="G9314" t="n">
        <v>17.8</v>
      </c>
      <c r="H9314" t="n">
        <v>0</v>
      </c>
      <c r="I9314" t="n">
        <v>0</v>
      </c>
      <c r="J9314" t="n">
        <v>0</v>
      </c>
      <c r="K9314" t="n">
        <v>0</v>
      </c>
      <c r="L9314" t="n">
        <v>0</v>
      </c>
      <c r="M9314" t="n">
        <v>0</v>
      </c>
      <c r="N9314" t="n">
        <v>0</v>
      </c>
      <c r="O9314" t="n">
        <v>0</v>
      </c>
      <c r="P9314" t="n">
        <v>0</v>
      </c>
      <c r="Q9314" t="n">
        <v>0</v>
      </c>
      <c r="R9314" s="2" t="inlineStr"/>
    </row>
    <row r="9315" ht="15" customHeight="1">
      <c r="A9315" t="inlineStr">
        <is>
          <t>A 55740-2023</t>
        </is>
      </c>
      <c r="B9315" s="1" t="n">
        <v>45239.43872685185</v>
      </c>
      <c r="C9315" s="1" t="n">
        <v>45971</v>
      </c>
      <c r="D9315" t="inlineStr">
        <is>
          <t>VÄSTERBOTTENS LÄN</t>
        </is>
      </c>
      <c r="E9315" t="inlineStr">
        <is>
          <t>NORDMALING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52480-2023</t>
        </is>
      </c>
      <c r="B9316" s="1" t="n">
        <v>45225</v>
      </c>
      <c r="C9316" s="1" t="n">
        <v>45971</v>
      </c>
      <c r="D9316" t="inlineStr">
        <is>
          <t>VÄSTERBOTTENS LÄN</t>
        </is>
      </c>
      <c r="E9316" t="inlineStr">
        <is>
          <t>MALÅ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30679-2025</t>
        </is>
      </c>
      <c r="B9317" s="1" t="n">
        <v>45831.52672453703</v>
      </c>
      <c r="C9317" s="1" t="n">
        <v>45971</v>
      </c>
      <c r="D9317" t="inlineStr">
        <is>
          <t>VÄSTERBOTTENS LÄN</t>
        </is>
      </c>
      <c r="E9317" t="inlineStr">
        <is>
          <t>VINDELN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30491-2022</t>
        </is>
      </c>
      <c r="B9318" s="1" t="n">
        <v>44761</v>
      </c>
      <c r="C9318" s="1" t="n">
        <v>45971</v>
      </c>
      <c r="D9318" t="inlineStr">
        <is>
          <t>VÄSTERBOTTENS LÄN</t>
        </is>
      </c>
      <c r="E9318" t="inlineStr">
        <is>
          <t>ÅSELE</t>
        </is>
      </c>
      <c r="F9318" t="inlineStr">
        <is>
          <t>SCA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44275-2025</t>
        </is>
      </c>
      <c r="B9319" s="1" t="n">
        <v>45916.34018518519</v>
      </c>
      <c r="C9319" s="1" t="n">
        <v>45971</v>
      </c>
      <c r="D9319" t="inlineStr">
        <is>
          <t>VÄSTERBOTTENS LÄN</t>
        </is>
      </c>
      <c r="E9319" t="inlineStr">
        <is>
          <t>VINDELN</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29732-2023</t>
        </is>
      </c>
      <c r="B9320" s="1" t="n">
        <v>45107.45042824074</v>
      </c>
      <c r="C9320" s="1" t="n">
        <v>45971</v>
      </c>
      <c r="D9320" t="inlineStr">
        <is>
          <t>VÄSTERBOTTENS LÄN</t>
        </is>
      </c>
      <c r="E9320" t="inlineStr">
        <is>
          <t>SORSELE</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30803-2025</t>
        </is>
      </c>
      <c r="B9321" s="1" t="n">
        <v>45831.65424768518</v>
      </c>
      <c r="C9321" s="1" t="n">
        <v>45971</v>
      </c>
      <c r="D9321" t="inlineStr">
        <is>
          <t>VÄSTERBOTTENS LÄN</t>
        </is>
      </c>
      <c r="E9321" t="inlineStr">
        <is>
          <t>UMEÅ</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44299-2025</t>
        </is>
      </c>
      <c r="B9322" s="1" t="n">
        <v>45916.36753472222</v>
      </c>
      <c r="C9322" s="1" t="n">
        <v>45971</v>
      </c>
      <c r="D9322" t="inlineStr">
        <is>
          <t>VÄSTERBOTTENS LÄN</t>
        </is>
      </c>
      <c r="E9322" t="inlineStr">
        <is>
          <t>LYCKSELE</t>
        </is>
      </c>
      <c r="F9322" t="inlineStr">
        <is>
          <t>Sveaskog</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44323-2025</t>
        </is>
      </c>
      <c r="B9323" s="1" t="n">
        <v>45916.40681712963</v>
      </c>
      <c r="C9323" s="1" t="n">
        <v>45971</v>
      </c>
      <c r="D9323" t="inlineStr">
        <is>
          <t>VÄSTERBOTTENS LÄN</t>
        </is>
      </c>
      <c r="E9323" t="inlineStr">
        <is>
          <t>DOROTEA</t>
        </is>
      </c>
      <c r="F9323" t="inlineStr">
        <is>
          <t>Övriga Aktiebolag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18578-2022</t>
        </is>
      </c>
      <c r="B9324" s="1" t="n">
        <v>44687.30193287037</v>
      </c>
      <c r="C9324" s="1" t="n">
        <v>45971</v>
      </c>
      <c r="D9324" t="inlineStr">
        <is>
          <t>VÄSTERBOTTENS LÄN</t>
        </is>
      </c>
      <c r="E9324" t="inlineStr">
        <is>
          <t>ÅSELE</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37539-2023</t>
        </is>
      </c>
      <c r="B9325" s="1" t="n">
        <v>45158.94190972222</v>
      </c>
      <c r="C9325" s="1" t="n">
        <v>45971</v>
      </c>
      <c r="D9325" t="inlineStr">
        <is>
          <t>VÄSTERBOTTENS LÄN</t>
        </is>
      </c>
      <c r="E9325" t="inlineStr">
        <is>
          <t>DOROTEA</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44336-2025</t>
        </is>
      </c>
      <c r="B9326" s="1" t="n">
        <v>45916.42311342592</v>
      </c>
      <c r="C9326" s="1" t="n">
        <v>45971</v>
      </c>
      <c r="D9326" t="inlineStr">
        <is>
          <t>VÄSTERBOTTENS LÄN</t>
        </is>
      </c>
      <c r="E9326" t="inlineStr">
        <is>
          <t>VINDELN</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44337-2025</t>
        </is>
      </c>
      <c r="B9327" s="1" t="n">
        <v>45916.42528935185</v>
      </c>
      <c r="C9327" s="1" t="n">
        <v>45971</v>
      </c>
      <c r="D9327" t="inlineStr">
        <is>
          <t>VÄSTERBOTTENS LÄN</t>
        </is>
      </c>
      <c r="E9327" t="inlineStr">
        <is>
          <t>LYCKSELE</t>
        </is>
      </c>
      <c r="F9327" t="inlineStr">
        <is>
          <t>Sveaskog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31168-2025</t>
        </is>
      </c>
      <c r="B9328" s="1" t="n">
        <v>45832.66167824074</v>
      </c>
      <c r="C9328" s="1" t="n">
        <v>45971</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31178-2025</t>
        </is>
      </c>
      <c r="B9329" s="1" t="n">
        <v>45832.67209490741</v>
      </c>
      <c r="C9329" s="1" t="n">
        <v>45971</v>
      </c>
      <c r="D9329" t="inlineStr">
        <is>
          <t>VÄSTERBOTTENS LÄN</t>
        </is>
      </c>
      <c r="E9329" t="inlineStr">
        <is>
          <t>SKELLEFTEÅ</t>
        </is>
      </c>
      <c r="F9329" t="inlineStr">
        <is>
          <t>Holmen skog AB</t>
        </is>
      </c>
      <c r="G9329" t="n">
        <v>19.2</v>
      </c>
      <c r="H9329" t="n">
        <v>0</v>
      </c>
      <c r="I9329" t="n">
        <v>0</v>
      </c>
      <c r="J9329" t="n">
        <v>0</v>
      </c>
      <c r="K9329" t="n">
        <v>0</v>
      </c>
      <c r="L9329" t="n">
        <v>0</v>
      </c>
      <c r="M9329" t="n">
        <v>0</v>
      </c>
      <c r="N9329" t="n">
        <v>0</v>
      </c>
      <c r="O9329" t="n">
        <v>0</v>
      </c>
      <c r="P9329" t="n">
        <v>0</v>
      </c>
      <c r="Q9329" t="n">
        <v>0</v>
      </c>
      <c r="R9329" s="2" t="inlineStr"/>
    </row>
    <row r="9330" ht="15" customHeight="1">
      <c r="A9330" t="inlineStr">
        <is>
          <t>A 37548-2023</t>
        </is>
      </c>
      <c r="B9330" s="1" t="n">
        <v>45158.97362268518</v>
      </c>
      <c r="C9330" s="1" t="n">
        <v>45971</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30824-2025</t>
        </is>
      </c>
      <c r="B9331" s="1" t="n">
        <v>45831.6749537037</v>
      </c>
      <c r="C9331" s="1" t="n">
        <v>45971</v>
      </c>
      <c r="D9331" t="inlineStr">
        <is>
          <t>VÄSTERBOTTENS LÄN</t>
        </is>
      </c>
      <c r="E9331" t="inlineStr">
        <is>
          <t>NORDMALING</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43227-2023</t>
        </is>
      </c>
      <c r="B9332" s="1" t="n">
        <v>45180</v>
      </c>
      <c r="C9332" s="1" t="n">
        <v>45971</v>
      </c>
      <c r="D9332" t="inlineStr">
        <is>
          <t>VÄSTERBOTTENS LÄN</t>
        </is>
      </c>
      <c r="E9332" t="inlineStr">
        <is>
          <t>STORUMAN</t>
        </is>
      </c>
      <c r="G9332" t="n">
        <v>41.1</v>
      </c>
      <c r="H9332" t="n">
        <v>0</v>
      </c>
      <c r="I9332" t="n">
        <v>0</v>
      </c>
      <c r="J9332" t="n">
        <v>0</v>
      </c>
      <c r="K9332" t="n">
        <v>0</v>
      </c>
      <c r="L9332" t="n">
        <v>0</v>
      </c>
      <c r="M9332" t="n">
        <v>0</v>
      </c>
      <c r="N9332" t="n">
        <v>0</v>
      </c>
      <c r="O9332" t="n">
        <v>0</v>
      </c>
      <c r="P9332" t="n">
        <v>0</v>
      </c>
      <c r="Q9332" t="n">
        <v>0</v>
      </c>
      <c r="R9332" s="2" t="inlineStr"/>
    </row>
    <row r="9333" ht="15" customHeight="1">
      <c r="A9333" t="inlineStr">
        <is>
          <t>A 44345-2025</t>
        </is>
      </c>
      <c r="B9333" s="1" t="n">
        <v>45916.43665509259</v>
      </c>
      <c r="C9333" s="1" t="n">
        <v>45971</v>
      </c>
      <c r="D9333" t="inlineStr">
        <is>
          <t>VÄSTERBOTTENS LÄN</t>
        </is>
      </c>
      <c r="E9333" t="inlineStr">
        <is>
          <t>LYCKSELE</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31077-2025</t>
        </is>
      </c>
      <c r="B9334" s="1" t="n">
        <v>45831</v>
      </c>
      <c r="C9334" s="1" t="n">
        <v>45971</v>
      </c>
      <c r="D9334" t="inlineStr">
        <is>
          <t>VÄSTERBOTTENS LÄN</t>
        </is>
      </c>
      <c r="E9334" t="inlineStr">
        <is>
          <t>SKELLEFTEÅ</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30879-2025</t>
        </is>
      </c>
      <c r="B9335" s="1" t="n">
        <v>45832.34510416666</v>
      </c>
      <c r="C9335" s="1" t="n">
        <v>45971</v>
      </c>
      <c r="D9335" t="inlineStr">
        <is>
          <t>VÄSTERBOTTENS LÄN</t>
        </is>
      </c>
      <c r="E9335" t="inlineStr">
        <is>
          <t>ÅSELE</t>
        </is>
      </c>
      <c r="F9335" t="inlineStr">
        <is>
          <t>SCA</t>
        </is>
      </c>
      <c r="G9335" t="n">
        <v>19.5</v>
      </c>
      <c r="H9335" t="n">
        <v>0</v>
      </c>
      <c r="I9335" t="n">
        <v>0</v>
      </c>
      <c r="J9335" t="n">
        <v>0</v>
      </c>
      <c r="K9335" t="n">
        <v>0</v>
      </c>
      <c r="L9335" t="n">
        <v>0</v>
      </c>
      <c r="M9335" t="n">
        <v>0</v>
      </c>
      <c r="N9335" t="n">
        <v>0</v>
      </c>
      <c r="O9335" t="n">
        <v>0</v>
      </c>
      <c r="P9335" t="n">
        <v>0</v>
      </c>
      <c r="Q9335" t="n">
        <v>0</v>
      </c>
      <c r="R9335" s="2" t="inlineStr"/>
    </row>
    <row r="9336" ht="15" customHeight="1">
      <c r="A9336" t="inlineStr">
        <is>
          <t>A 40756-2023</t>
        </is>
      </c>
      <c r="B9336" s="1" t="n">
        <v>45170</v>
      </c>
      <c r="C9336" s="1" t="n">
        <v>45971</v>
      </c>
      <c r="D9336" t="inlineStr">
        <is>
          <t>VÄSTERBOTTENS LÄN</t>
        </is>
      </c>
      <c r="E9336" t="inlineStr">
        <is>
          <t>NORSJÖ</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6011-2021</t>
        </is>
      </c>
      <c r="B9337" s="1" t="n">
        <v>44231</v>
      </c>
      <c r="C9337" s="1" t="n">
        <v>45971</v>
      </c>
      <c r="D9337" t="inlineStr">
        <is>
          <t>VÄSTERBOTTENS LÄN</t>
        </is>
      </c>
      <c r="E9337" t="inlineStr">
        <is>
          <t>ÅSELE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34964-2022</t>
        </is>
      </c>
      <c r="B9338" s="1" t="n">
        <v>44796</v>
      </c>
      <c r="C9338" s="1" t="n">
        <v>45971</v>
      </c>
      <c r="D9338" t="inlineStr">
        <is>
          <t>VÄSTERBOTTENS LÄN</t>
        </is>
      </c>
      <c r="E9338" t="inlineStr">
        <is>
          <t>SORSELE</t>
        </is>
      </c>
      <c r="F9338" t="inlineStr">
        <is>
          <t>Sveaskog</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30553-2025</t>
        </is>
      </c>
      <c r="B9339" s="1" t="n">
        <v>45831.38579861111</v>
      </c>
      <c r="C9339" s="1" t="n">
        <v>45971</v>
      </c>
      <c r="D9339" t="inlineStr">
        <is>
          <t>VÄSTERBOTTENS LÄN</t>
        </is>
      </c>
      <c r="E9339" t="inlineStr">
        <is>
          <t>VILHELMINA</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30573-2025</t>
        </is>
      </c>
      <c r="B9340" s="1" t="n">
        <v>45831.41046296297</v>
      </c>
      <c r="C9340" s="1" t="n">
        <v>45971</v>
      </c>
      <c r="D9340" t="inlineStr">
        <is>
          <t>VÄSTERBOTTENS LÄN</t>
        </is>
      </c>
      <c r="E9340" t="inlineStr">
        <is>
          <t>LYCKSELE</t>
        </is>
      </c>
      <c r="F9340" t="inlineStr">
        <is>
          <t>Sveaskog</t>
        </is>
      </c>
      <c r="G9340" t="n">
        <v>16.6</v>
      </c>
      <c r="H9340" t="n">
        <v>0</v>
      </c>
      <c r="I9340" t="n">
        <v>0</v>
      </c>
      <c r="J9340" t="n">
        <v>0</v>
      </c>
      <c r="K9340" t="n">
        <v>0</v>
      </c>
      <c r="L9340" t="n">
        <v>0</v>
      </c>
      <c r="M9340" t="n">
        <v>0</v>
      </c>
      <c r="N9340" t="n">
        <v>0</v>
      </c>
      <c r="O9340" t="n">
        <v>0</v>
      </c>
      <c r="P9340" t="n">
        <v>0</v>
      </c>
      <c r="Q9340" t="n">
        <v>0</v>
      </c>
      <c r="R9340" s="2" t="inlineStr"/>
    </row>
    <row r="9341" ht="15" customHeight="1">
      <c r="A9341" t="inlineStr">
        <is>
          <t>A 44076-2025</t>
        </is>
      </c>
      <c r="B9341" s="1" t="n">
        <v>45915</v>
      </c>
      <c r="C9341" s="1" t="n">
        <v>45971</v>
      </c>
      <c r="D9341" t="inlineStr">
        <is>
          <t>VÄSTERBOTTENS LÄN</t>
        </is>
      </c>
      <c r="E9341" t="inlineStr">
        <is>
          <t>LYCKSELE</t>
        </is>
      </c>
      <c r="G9341" t="n">
        <v>25.1</v>
      </c>
      <c r="H9341" t="n">
        <v>0</v>
      </c>
      <c r="I9341" t="n">
        <v>0</v>
      </c>
      <c r="J9341" t="n">
        <v>0</v>
      </c>
      <c r="K9341" t="n">
        <v>0</v>
      </c>
      <c r="L9341" t="n">
        <v>0</v>
      </c>
      <c r="M9341" t="n">
        <v>0</v>
      </c>
      <c r="N9341" t="n">
        <v>0</v>
      </c>
      <c r="O9341" t="n">
        <v>0</v>
      </c>
      <c r="P9341" t="n">
        <v>0</v>
      </c>
      <c r="Q9341" t="n">
        <v>0</v>
      </c>
      <c r="R9341" s="2" t="inlineStr"/>
    </row>
    <row r="9342" ht="15" customHeight="1">
      <c r="A9342" t="inlineStr">
        <is>
          <t>A 44082-2025</t>
        </is>
      </c>
      <c r="B9342" s="1" t="n">
        <v>45915.55302083334</v>
      </c>
      <c r="C9342" s="1" t="n">
        <v>45971</v>
      </c>
      <c r="D9342" t="inlineStr">
        <is>
          <t>VÄSTERBOTTENS LÄN</t>
        </is>
      </c>
      <c r="E9342" t="inlineStr">
        <is>
          <t>SKELLEFTEÅ</t>
        </is>
      </c>
      <c r="F9342" t="inlineStr">
        <is>
          <t>Sveaskog</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53136-2025</t>
        </is>
      </c>
      <c r="B9343" s="1" t="n">
        <v>45958.46975694445</v>
      </c>
      <c r="C9343" s="1" t="n">
        <v>45971</v>
      </c>
      <c r="D9343" t="inlineStr">
        <is>
          <t>VÄSTERBOTTENS LÄN</t>
        </is>
      </c>
      <c r="E9343" t="inlineStr">
        <is>
          <t>NORSJÖ</t>
        </is>
      </c>
      <c r="G9343" t="n">
        <v>15.8</v>
      </c>
      <c r="H9343" t="n">
        <v>0</v>
      </c>
      <c r="I9343" t="n">
        <v>0</v>
      </c>
      <c r="J9343" t="n">
        <v>0</v>
      </c>
      <c r="K9343" t="n">
        <v>0</v>
      </c>
      <c r="L9343" t="n">
        <v>0</v>
      </c>
      <c r="M9343" t="n">
        <v>0</v>
      </c>
      <c r="N9343" t="n">
        <v>0</v>
      </c>
      <c r="O9343" t="n">
        <v>0</v>
      </c>
      <c r="P9343" t="n">
        <v>0</v>
      </c>
      <c r="Q9343" t="n">
        <v>0</v>
      </c>
      <c r="R9343" s="2" t="inlineStr"/>
    </row>
    <row r="9344" ht="15" customHeight="1">
      <c r="A9344" t="inlineStr">
        <is>
          <t>A 53137-2025</t>
        </is>
      </c>
      <c r="B9344" s="1" t="n">
        <v>45958.46978009259</v>
      </c>
      <c r="C9344" s="1" t="n">
        <v>45971</v>
      </c>
      <c r="D9344" t="inlineStr">
        <is>
          <t>VÄSTERBOTTENS LÄN</t>
        </is>
      </c>
      <c r="E9344" t="inlineStr">
        <is>
          <t>NORSJÖ</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6023-2021</t>
        </is>
      </c>
      <c r="B9345" s="1" t="n">
        <v>44231</v>
      </c>
      <c r="C9345" s="1" t="n">
        <v>45971</v>
      </c>
      <c r="D9345" t="inlineStr">
        <is>
          <t>VÄSTERBOTTENS LÄN</t>
        </is>
      </c>
      <c r="E9345" t="inlineStr">
        <is>
          <t>ÅSELE</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43832-2023</t>
        </is>
      </c>
      <c r="B9346" s="1" t="n">
        <v>45182</v>
      </c>
      <c r="C9346" s="1" t="n">
        <v>45971</v>
      </c>
      <c r="D9346" t="inlineStr">
        <is>
          <t>VÄSTERBOTTENS LÄN</t>
        </is>
      </c>
      <c r="E9346" t="inlineStr">
        <is>
          <t>NORSJÖ</t>
        </is>
      </c>
      <c r="G9346" t="n">
        <v>14.4</v>
      </c>
      <c r="H9346" t="n">
        <v>0</v>
      </c>
      <c r="I9346" t="n">
        <v>0</v>
      </c>
      <c r="J9346" t="n">
        <v>0</v>
      </c>
      <c r="K9346" t="n">
        <v>0</v>
      </c>
      <c r="L9346" t="n">
        <v>0</v>
      </c>
      <c r="M9346" t="n">
        <v>0</v>
      </c>
      <c r="N9346" t="n">
        <v>0</v>
      </c>
      <c r="O9346" t="n">
        <v>0</v>
      </c>
      <c r="P9346" t="n">
        <v>0</v>
      </c>
      <c r="Q9346" t="n">
        <v>0</v>
      </c>
      <c r="R9346" s="2" t="inlineStr"/>
    </row>
    <row r="9347" ht="15" customHeight="1">
      <c r="A9347" t="inlineStr">
        <is>
          <t>A 30575-2025</t>
        </is>
      </c>
      <c r="B9347" s="1" t="n">
        <v>45831.41347222222</v>
      </c>
      <c r="C9347" s="1" t="n">
        <v>45971</v>
      </c>
      <c r="D9347" t="inlineStr">
        <is>
          <t>VÄSTERBOTTENS LÄN</t>
        </is>
      </c>
      <c r="E9347" t="inlineStr">
        <is>
          <t>NORSJÖ</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30763-2025</t>
        </is>
      </c>
      <c r="B9348" s="1" t="n">
        <v>45831.60331018519</v>
      </c>
      <c r="C9348" s="1" t="n">
        <v>45971</v>
      </c>
      <c r="D9348" t="inlineStr">
        <is>
          <t>VÄSTERBOTTENS LÄN</t>
        </is>
      </c>
      <c r="E9348" t="inlineStr">
        <is>
          <t>ÅSELE</t>
        </is>
      </c>
      <c r="F9348" t="inlineStr">
        <is>
          <t>Sveaskog</t>
        </is>
      </c>
      <c r="G9348" t="n">
        <v>15.1</v>
      </c>
      <c r="H9348" t="n">
        <v>0</v>
      </c>
      <c r="I9348" t="n">
        <v>0</v>
      </c>
      <c r="J9348" t="n">
        <v>0</v>
      </c>
      <c r="K9348" t="n">
        <v>0</v>
      </c>
      <c r="L9348" t="n">
        <v>0</v>
      </c>
      <c r="M9348" t="n">
        <v>0</v>
      </c>
      <c r="N9348" t="n">
        <v>0</v>
      </c>
      <c r="O9348" t="n">
        <v>0</v>
      </c>
      <c r="P9348" t="n">
        <v>0</v>
      </c>
      <c r="Q9348" t="n">
        <v>0</v>
      </c>
      <c r="R9348" s="2" t="inlineStr"/>
    </row>
    <row r="9349" ht="15" customHeight="1">
      <c r="A9349" t="inlineStr">
        <is>
          <t>A 30773-2025</t>
        </is>
      </c>
      <c r="B9349" s="1" t="n">
        <v>45831.61457175926</v>
      </c>
      <c r="C9349" s="1" t="n">
        <v>45971</v>
      </c>
      <c r="D9349" t="inlineStr">
        <is>
          <t>VÄSTERBOTTENS LÄN</t>
        </is>
      </c>
      <c r="E9349" t="inlineStr">
        <is>
          <t>ÅSELE</t>
        </is>
      </c>
      <c r="F9349" t="inlineStr">
        <is>
          <t>Sveaskog</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30021-2024</t>
        </is>
      </c>
      <c r="B9350" s="1" t="n">
        <v>45488</v>
      </c>
      <c r="C9350" s="1" t="n">
        <v>45971</v>
      </c>
      <c r="D9350" t="inlineStr">
        <is>
          <t>VÄSTERBOTTENS LÄN</t>
        </is>
      </c>
      <c r="E9350" t="inlineStr">
        <is>
          <t>UMEÅ</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37072-2024</t>
        </is>
      </c>
      <c r="B9351" s="1" t="n">
        <v>45539</v>
      </c>
      <c r="C9351" s="1" t="n">
        <v>45971</v>
      </c>
      <c r="D9351" t="inlineStr">
        <is>
          <t>VÄSTERBOTTENS LÄN</t>
        </is>
      </c>
      <c r="E9351" t="inlineStr">
        <is>
          <t>DOROTEA</t>
        </is>
      </c>
      <c r="F9351" t="inlineStr">
        <is>
          <t>SCA</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37074-2023</t>
        </is>
      </c>
      <c r="B9352" s="1" t="n">
        <v>45155.48350694445</v>
      </c>
      <c r="C9352" s="1" t="n">
        <v>45971</v>
      </c>
      <c r="D9352" t="inlineStr">
        <is>
          <t>VÄSTERBOTTENS LÄN</t>
        </is>
      </c>
      <c r="E9352" t="inlineStr">
        <is>
          <t>STORUMAN</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31217-2025</t>
        </is>
      </c>
      <c r="B9353" s="1" t="n">
        <v>45832</v>
      </c>
      <c r="C9353" s="1" t="n">
        <v>45971</v>
      </c>
      <c r="D9353" t="inlineStr">
        <is>
          <t>VÄSTERBOTTENS LÄN</t>
        </is>
      </c>
      <c r="E9353" t="inlineStr">
        <is>
          <t>ÅSELE</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31108-2025</t>
        </is>
      </c>
      <c r="B9354" s="1" t="n">
        <v>45832</v>
      </c>
      <c r="C9354" s="1" t="n">
        <v>45971</v>
      </c>
      <c r="D9354" t="inlineStr">
        <is>
          <t>VÄSTERBOTTENS LÄN</t>
        </is>
      </c>
      <c r="E9354" t="inlineStr">
        <is>
          <t>SKELLEFTEÅ</t>
        </is>
      </c>
      <c r="F9354" t="inlineStr">
        <is>
          <t>Holmen skog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52941-2025</t>
        </is>
      </c>
      <c r="B9355" s="1" t="n">
        <v>45957.64256944445</v>
      </c>
      <c r="C9355" s="1" t="n">
        <v>45971</v>
      </c>
      <c r="D9355" t="inlineStr">
        <is>
          <t>VÄSTERBOTTENS LÄN</t>
        </is>
      </c>
      <c r="E9355" t="inlineStr">
        <is>
          <t>LYCKSELE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52966-2025</t>
        </is>
      </c>
      <c r="B9356" s="1" t="n">
        <v>45957.66818287037</v>
      </c>
      <c r="C9356" s="1" t="n">
        <v>45971</v>
      </c>
      <c r="D9356" t="inlineStr">
        <is>
          <t>VÄSTERBOTTENS LÄN</t>
        </is>
      </c>
      <c r="E9356" t="inlineStr">
        <is>
          <t>UMEÅ</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38909-2023</t>
        </is>
      </c>
      <c r="B9357" s="1" t="n">
        <v>45163.57194444445</v>
      </c>
      <c r="C9357" s="1" t="n">
        <v>45971</v>
      </c>
      <c r="D9357" t="inlineStr">
        <is>
          <t>VÄSTERBOTTENS LÄN</t>
        </is>
      </c>
      <c r="E9357" t="inlineStr">
        <is>
          <t>VINDELN</t>
        </is>
      </c>
      <c r="F9357" t="inlineStr">
        <is>
          <t>Holmen skog AB</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53192-2025</t>
        </is>
      </c>
      <c r="B9358" s="1" t="n">
        <v>45958.56741898148</v>
      </c>
      <c r="C9358" s="1" t="n">
        <v>45971</v>
      </c>
      <c r="D9358" t="inlineStr">
        <is>
          <t>VÄSTERBOTTENS LÄN</t>
        </is>
      </c>
      <c r="E9358" t="inlineStr">
        <is>
          <t>ÅSELE</t>
        </is>
      </c>
      <c r="F9358" t="inlineStr">
        <is>
          <t>Holmen skog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44494-2025</t>
        </is>
      </c>
      <c r="B9359" s="1" t="n">
        <v>45916.66503472222</v>
      </c>
      <c r="C9359" s="1" t="n">
        <v>45971</v>
      </c>
      <c r="D9359" t="inlineStr">
        <is>
          <t>VÄSTERBOTTENS LÄN</t>
        </is>
      </c>
      <c r="E9359" t="inlineStr">
        <is>
          <t>UMEÅ</t>
        </is>
      </c>
      <c r="F9359" t="inlineStr">
        <is>
          <t>Kommuner</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30913-2025</t>
        </is>
      </c>
      <c r="B9360" s="1" t="n">
        <v>45832.37649305556</v>
      </c>
      <c r="C9360" s="1" t="n">
        <v>45971</v>
      </c>
      <c r="D9360" t="inlineStr">
        <is>
          <t>VÄSTERBOTTENS LÄN</t>
        </is>
      </c>
      <c r="E9360" t="inlineStr">
        <is>
          <t>ROBERTSFORS</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30924-2025</t>
        </is>
      </c>
      <c r="B9361" s="1" t="n">
        <v>45832.3862037037</v>
      </c>
      <c r="C9361" s="1" t="n">
        <v>45971</v>
      </c>
      <c r="D9361" t="inlineStr">
        <is>
          <t>VÄSTERBOTTENS LÄN</t>
        </is>
      </c>
      <c r="E9361" t="inlineStr">
        <is>
          <t>VINDELN</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30865-2025</t>
        </is>
      </c>
      <c r="B9362" s="1" t="n">
        <v>45832.3215162037</v>
      </c>
      <c r="C9362" s="1" t="n">
        <v>45971</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53239-2025</t>
        </is>
      </c>
      <c r="B9363" s="1" t="n">
        <v>45958.63582175926</v>
      </c>
      <c r="C9363" s="1" t="n">
        <v>45971</v>
      </c>
      <c r="D9363" t="inlineStr">
        <is>
          <t>VÄSTERBOTTENS LÄN</t>
        </is>
      </c>
      <c r="E9363" t="inlineStr">
        <is>
          <t>ÅSELE</t>
        </is>
      </c>
      <c r="F9363" t="inlineStr">
        <is>
          <t>Holmen skog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19516-2025</t>
        </is>
      </c>
      <c r="B9364" s="1" t="n">
        <v>45770.44284722222</v>
      </c>
      <c r="C9364" s="1" t="n">
        <v>45971</v>
      </c>
      <c r="D9364" t="inlineStr">
        <is>
          <t>VÄSTERBOTTENS LÄN</t>
        </is>
      </c>
      <c r="E9364" t="inlineStr">
        <is>
          <t>NORDMALING</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26437-2025</t>
        </is>
      </c>
      <c r="B9365" s="1" t="n">
        <v>45807.40113425926</v>
      </c>
      <c r="C9365" s="1" t="n">
        <v>45971</v>
      </c>
      <c r="D9365" t="inlineStr">
        <is>
          <t>VÄSTERBOTTENS LÄN</t>
        </is>
      </c>
      <c r="E9365" t="inlineStr">
        <is>
          <t>ROBERTSFORS</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31045-2025</t>
        </is>
      </c>
      <c r="B9366" s="1" t="n">
        <v>45832.55502314815</v>
      </c>
      <c r="C9366" s="1" t="n">
        <v>45971</v>
      </c>
      <c r="D9366" t="inlineStr">
        <is>
          <t>VÄSTERBOTTENS LÄN</t>
        </is>
      </c>
      <c r="E9366" t="inlineStr">
        <is>
          <t>ROBERTSFORS</t>
        </is>
      </c>
      <c r="F9366" t="inlineStr">
        <is>
          <t>Holmen skog AB</t>
        </is>
      </c>
      <c r="G9366" t="n">
        <v>11.5</v>
      </c>
      <c r="H9366" t="n">
        <v>0</v>
      </c>
      <c r="I9366" t="n">
        <v>0</v>
      </c>
      <c r="J9366" t="n">
        <v>0</v>
      </c>
      <c r="K9366" t="n">
        <v>0</v>
      </c>
      <c r="L9366" t="n">
        <v>0</v>
      </c>
      <c r="M9366" t="n">
        <v>0</v>
      </c>
      <c r="N9366" t="n">
        <v>0</v>
      </c>
      <c r="O9366" t="n">
        <v>0</v>
      </c>
      <c r="P9366" t="n">
        <v>0</v>
      </c>
      <c r="Q9366" t="n">
        <v>0</v>
      </c>
      <c r="R9366" s="2" t="inlineStr"/>
    </row>
    <row r="9367" ht="15" customHeight="1">
      <c r="A9367" t="inlineStr">
        <is>
          <t>A 30632-2025</t>
        </is>
      </c>
      <c r="B9367" s="1" t="n">
        <v>45831.4783912037</v>
      </c>
      <c r="C9367" s="1" t="n">
        <v>45971</v>
      </c>
      <c r="D9367" t="inlineStr">
        <is>
          <t>VÄSTERBOTTENS LÄN</t>
        </is>
      </c>
      <c r="E9367" t="inlineStr">
        <is>
          <t>LYCKSELE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41548-2023</t>
        </is>
      </c>
      <c r="B9368" s="1" t="n">
        <v>45172</v>
      </c>
      <c r="C9368" s="1" t="n">
        <v>45971</v>
      </c>
      <c r="D9368" t="inlineStr">
        <is>
          <t>VÄSTERBOTTENS LÄN</t>
        </is>
      </c>
      <c r="E9368" t="inlineStr">
        <is>
          <t>NORSJÖ</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25374-2022</t>
        </is>
      </c>
      <c r="B9369" s="1" t="n">
        <v>44731</v>
      </c>
      <c r="C9369" s="1" t="n">
        <v>45971</v>
      </c>
      <c r="D9369" t="inlineStr">
        <is>
          <t>VÄSTERBOTTENS LÄN</t>
        </is>
      </c>
      <c r="E9369" t="inlineStr">
        <is>
          <t>SORSELE</t>
        </is>
      </c>
      <c r="G9369" t="n">
        <v>37.1</v>
      </c>
      <c r="H9369" t="n">
        <v>0</v>
      </c>
      <c r="I9369" t="n">
        <v>0</v>
      </c>
      <c r="J9369" t="n">
        <v>0</v>
      </c>
      <c r="K9369" t="n">
        <v>0</v>
      </c>
      <c r="L9369" t="n">
        <v>0</v>
      </c>
      <c r="M9369" t="n">
        <v>0</v>
      </c>
      <c r="N9369" t="n">
        <v>0</v>
      </c>
      <c r="O9369" t="n">
        <v>0</v>
      </c>
      <c r="P9369" t="n">
        <v>0</v>
      </c>
      <c r="Q9369" t="n">
        <v>0</v>
      </c>
      <c r="R9369" s="2" t="inlineStr"/>
    </row>
    <row r="9370" ht="15" customHeight="1">
      <c r="A9370" t="inlineStr">
        <is>
          <t>A 25404-2022</t>
        </is>
      </c>
      <c r="B9370" s="1" t="n">
        <v>44732</v>
      </c>
      <c r="C9370" s="1" t="n">
        <v>45971</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30894-2025</t>
        </is>
      </c>
      <c r="B9371" s="1" t="n">
        <v>45832.3468287037</v>
      </c>
      <c r="C9371" s="1" t="n">
        <v>45971</v>
      </c>
      <c r="D9371" t="inlineStr">
        <is>
          <t>VÄSTERBOTTENS LÄN</t>
        </is>
      </c>
      <c r="E9371" t="inlineStr">
        <is>
          <t>NORSJÖ</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52375-2023</t>
        </is>
      </c>
      <c r="B9372" s="1" t="n">
        <v>45224.75395833333</v>
      </c>
      <c r="C9372" s="1" t="n">
        <v>45971</v>
      </c>
      <c r="D9372" t="inlineStr">
        <is>
          <t>VÄSTERBOTTENS LÄN</t>
        </is>
      </c>
      <c r="E9372" t="inlineStr">
        <is>
          <t>BJURHOLM</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59253-2024</t>
        </is>
      </c>
      <c r="B9373" s="1" t="n">
        <v>45637.59724537037</v>
      </c>
      <c r="C9373" s="1" t="n">
        <v>45971</v>
      </c>
      <c r="D9373" t="inlineStr">
        <is>
          <t>VÄSTERBOTTENS LÄN</t>
        </is>
      </c>
      <c r="E9373" t="inlineStr">
        <is>
          <t>VÄNNÄS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30900-2025</t>
        </is>
      </c>
      <c r="B9374" s="1" t="n">
        <v>45832.35804398148</v>
      </c>
      <c r="C9374" s="1" t="n">
        <v>45971</v>
      </c>
      <c r="D9374" t="inlineStr">
        <is>
          <t>VÄSTERBOTTENS LÄN</t>
        </is>
      </c>
      <c r="E9374" t="inlineStr">
        <is>
          <t>VINDELN</t>
        </is>
      </c>
      <c r="F9374" t="inlineStr">
        <is>
          <t>Holmen skog AB</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30940-2025</t>
        </is>
      </c>
      <c r="B9375" s="1" t="n">
        <v>45832</v>
      </c>
      <c r="C9375" s="1" t="n">
        <v>45971</v>
      </c>
      <c r="D9375" t="inlineStr">
        <is>
          <t>VÄSTERBOTTENS LÄN</t>
        </is>
      </c>
      <c r="E9375" t="inlineStr">
        <is>
          <t>ÅSELE</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59282-2024</t>
        </is>
      </c>
      <c r="B9376" s="1" t="n">
        <v>45637</v>
      </c>
      <c r="C9376" s="1" t="n">
        <v>45971</v>
      </c>
      <c r="D9376" t="inlineStr">
        <is>
          <t>VÄSTERBOTTENS LÄN</t>
        </is>
      </c>
      <c r="E9376" t="inlineStr">
        <is>
          <t>ÅSELE</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41852-2023</t>
        </is>
      </c>
      <c r="B9377" s="1" t="n">
        <v>45174</v>
      </c>
      <c r="C9377" s="1" t="n">
        <v>45971</v>
      </c>
      <c r="D9377" t="inlineStr">
        <is>
          <t>VÄSTERBOTTENS LÄN</t>
        </is>
      </c>
      <c r="E9377" t="inlineStr">
        <is>
          <t>MALÅ</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30588-2025</t>
        </is>
      </c>
      <c r="B9378" s="1" t="n">
        <v>45831.42825231481</v>
      </c>
      <c r="C9378" s="1" t="n">
        <v>45971</v>
      </c>
      <c r="D9378" t="inlineStr">
        <is>
          <t>VÄSTERBOTTENS LÄN</t>
        </is>
      </c>
      <c r="E9378" t="inlineStr">
        <is>
          <t>NORSJÖ</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46693-2023</t>
        </is>
      </c>
      <c r="B9379" s="1" t="n">
        <v>45198</v>
      </c>
      <c r="C9379" s="1" t="n">
        <v>45971</v>
      </c>
      <c r="D9379" t="inlineStr">
        <is>
          <t>VÄSTERBOTTENS LÄN</t>
        </is>
      </c>
      <c r="E9379" t="inlineStr">
        <is>
          <t>ÅSELE</t>
        </is>
      </c>
      <c r="F9379" t="inlineStr">
        <is>
          <t>Sveaskog</t>
        </is>
      </c>
      <c r="G9379" t="n">
        <v>14.8</v>
      </c>
      <c r="H9379" t="n">
        <v>0</v>
      </c>
      <c r="I9379" t="n">
        <v>0</v>
      </c>
      <c r="J9379" t="n">
        <v>0</v>
      </c>
      <c r="K9379" t="n">
        <v>0</v>
      </c>
      <c r="L9379" t="n">
        <v>0</v>
      </c>
      <c r="M9379" t="n">
        <v>0</v>
      </c>
      <c r="N9379" t="n">
        <v>0</v>
      </c>
      <c r="O9379" t="n">
        <v>0</v>
      </c>
      <c r="P9379" t="n">
        <v>0</v>
      </c>
      <c r="Q9379" t="n">
        <v>0</v>
      </c>
      <c r="R9379" s="2" t="inlineStr"/>
    </row>
    <row r="9380" ht="15" customHeight="1">
      <c r="A9380" t="inlineStr">
        <is>
          <t>A 964-2025</t>
        </is>
      </c>
      <c r="B9380" s="1" t="n">
        <v>45666.38408564815</v>
      </c>
      <c r="C9380" s="1" t="n">
        <v>45971</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2963-2021</t>
        </is>
      </c>
      <c r="B9381" s="1" t="n">
        <v>44216</v>
      </c>
      <c r="C9381" s="1" t="n">
        <v>45971</v>
      </c>
      <c r="D9381" t="inlineStr">
        <is>
          <t>VÄSTERBOTTENS LÄN</t>
        </is>
      </c>
      <c r="E9381" t="inlineStr">
        <is>
          <t>ROBERTSFORS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45672-2023</t>
        </is>
      </c>
      <c r="B9382" s="1" t="n">
        <v>45194</v>
      </c>
      <c r="C9382" s="1" t="n">
        <v>45971</v>
      </c>
      <c r="D9382" t="inlineStr">
        <is>
          <t>VÄSTERBOTTENS LÄN</t>
        </is>
      </c>
      <c r="E9382" t="inlineStr">
        <is>
          <t>VILHELMINA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1877-2024</t>
        </is>
      </c>
      <c r="B9383" s="1" t="n">
        <v>45307</v>
      </c>
      <c r="C9383" s="1" t="n">
        <v>45971</v>
      </c>
      <c r="D9383" t="inlineStr">
        <is>
          <t>VÄSTERBOTTENS LÄN</t>
        </is>
      </c>
      <c r="E9383" t="inlineStr">
        <is>
          <t>BJURHOLM</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31224-2025</t>
        </is>
      </c>
      <c r="B9384" s="1" t="n">
        <v>45832</v>
      </c>
      <c r="C9384" s="1" t="n">
        <v>45971</v>
      </c>
      <c r="D9384" t="inlineStr">
        <is>
          <t>VÄSTERBOTTENS LÄN</t>
        </is>
      </c>
      <c r="E9384" t="inlineStr">
        <is>
          <t>ÅSELE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30991-2025</t>
        </is>
      </c>
      <c r="B9385" s="1" t="n">
        <v>45832.48483796296</v>
      </c>
      <c r="C9385" s="1" t="n">
        <v>45971</v>
      </c>
      <c r="D9385" t="inlineStr">
        <is>
          <t>VÄSTERBOTTENS LÄN</t>
        </is>
      </c>
      <c r="E9385" t="inlineStr">
        <is>
          <t>VINDELN</t>
        </is>
      </c>
      <c r="F9385" t="inlineStr">
        <is>
          <t>Holmen skog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31022-2025</t>
        </is>
      </c>
      <c r="B9386" s="1" t="n">
        <v>45832.51869212963</v>
      </c>
      <c r="C9386" s="1" t="n">
        <v>45971</v>
      </c>
      <c r="D9386" t="inlineStr">
        <is>
          <t>VÄSTERBOTTENS LÄN</t>
        </is>
      </c>
      <c r="E9386" t="inlineStr">
        <is>
          <t>LYCKSELE</t>
        </is>
      </c>
      <c r="F9386" t="inlineStr">
        <is>
          <t>Sveaskog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31037-2025</t>
        </is>
      </c>
      <c r="B9387" s="1" t="n">
        <v>45832.54769675926</v>
      </c>
      <c r="C9387" s="1" t="n">
        <v>45971</v>
      </c>
      <c r="D9387" t="inlineStr">
        <is>
          <t>VÄSTERBOTTENS LÄN</t>
        </is>
      </c>
      <c r="E9387" t="inlineStr">
        <is>
          <t>UMEÅ</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37105-2024</t>
        </is>
      </c>
      <c r="B9388" s="1" t="n">
        <v>45539</v>
      </c>
      <c r="C9388" s="1" t="n">
        <v>45971</v>
      </c>
      <c r="D9388" t="inlineStr">
        <is>
          <t>VÄSTERBOTTENS LÄN</t>
        </is>
      </c>
      <c r="E9388" t="inlineStr">
        <is>
          <t>DOROTEA</t>
        </is>
      </c>
      <c r="F9388" t="inlineStr">
        <is>
          <t>SCA</t>
        </is>
      </c>
      <c r="G9388" t="n">
        <v>12.3</v>
      </c>
      <c r="H9388" t="n">
        <v>0</v>
      </c>
      <c r="I9388" t="n">
        <v>0</v>
      </c>
      <c r="J9388" t="n">
        <v>0</v>
      </c>
      <c r="K9388" t="n">
        <v>0</v>
      </c>
      <c r="L9388" t="n">
        <v>0</v>
      </c>
      <c r="M9388" t="n">
        <v>0</v>
      </c>
      <c r="N9388" t="n">
        <v>0</v>
      </c>
      <c r="O9388" t="n">
        <v>0</v>
      </c>
      <c r="P9388" t="n">
        <v>0</v>
      </c>
      <c r="Q9388" t="n">
        <v>0</v>
      </c>
      <c r="R9388" s="2" t="inlineStr"/>
    </row>
    <row r="9389" ht="15" customHeight="1">
      <c r="A9389" t="inlineStr">
        <is>
          <t>A 40732-2024</t>
        </is>
      </c>
      <c r="B9389" s="1" t="n">
        <v>45558</v>
      </c>
      <c r="C9389" s="1" t="n">
        <v>45971</v>
      </c>
      <c r="D9389" t="inlineStr">
        <is>
          <t>VÄSTERBOTTENS LÄN</t>
        </is>
      </c>
      <c r="E9389" t="inlineStr">
        <is>
          <t>VILHELMINA</t>
        </is>
      </c>
      <c r="F9389" t="inlineStr">
        <is>
          <t>Allmännings- och besparingsskogar</t>
        </is>
      </c>
      <c r="G9389" t="n">
        <v>90</v>
      </c>
      <c r="H9389" t="n">
        <v>0</v>
      </c>
      <c r="I9389" t="n">
        <v>0</v>
      </c>
      <c r="J9389" t="n">
        <v>0</v>
      </c>
      <c r="K9389" t="n">
        <v>0</v>
      </c>
      <c r="L9389" t="n">
        <v>0</v>
      </c>
      <c r="M9389" t="n">
        <v>0</v>
      </c>
      <c r="N9389" t="n">
        <v>0</v>
      </c>
      <c r="O9389" t="n">
        <v>0</v>
      </c>
      <c r="P9389" t="n">
        <v>0</v>
      </c>
      <c r="Q9389" t="n">
        <v>0</v>
      </c>
      <c r="R9389" s="2" t="inlineStr"/>
    </row>
    <row r="9390" ht="15" customHeight="1">
      <c r="A9390" t="inlineStr">
        <is>
          <t>A 30020-2024</t>
        </is>
      </c>
      <c r="B9390" s="1" t="n">
        <v>45488</v>
      </c>
      <c r="C9390" s="1" t="n">
        <v>45971</v>
      </c>
      <c r="D9390" t="inlineStr">
        <is>
          <t>VÄSTERBOTTENS LÄN</t>
        </is>
      </c>
      <c r="E9390" t="inlineStr">
        <is>
          <t>UMEÅ</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31110-2025</t>
        </is>
      </c>
      <c r="B9391" s="1" t="n">
        <v>45832.61085648148</v>
      </c>
      <c r="C9391" s="1" t="n">
        <v>45971</v>
      </c>
      <c r="D9391" t="inlineStr">
        <is>
          <t>VÄSTERBOTTENS LÄN</t>
        </is>
      </c>
      <c r="E9391" t="inlineStr">
        <is>
          <t>ROBERTSFORS</t>
        </is>
      </c>
      <c r="F9391" t="inlineStr">
        <is>
          <t>Holmen skog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44015-2025</t>
        </is>
      </c>
      <c r="B9392" s="1" t="n">
        <v>45915</v>
      </c>
      <c r="C9392" s="1" t="n">
        <v>45971</v>
      </c>
      <c r="D9392" t="inlineStr">
        <is>
          <t>VÄSTERBOTTENS LÄN</t>
        </is>
      </c>
      <c r="E9392" t="inlineStr">
        <is>
          <t>VILHELMINA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30906-2025</t>
        </is>
      </c>
      <c r="B9393" s="1" t="n">
        <v>45832.36453703704</v>
      </c>
      <c r="C9393" s="1" t="n">
        <v>45971</v>
      </c>
      <c r="D9393" t="inlineStr">
        <is>
          <t>VÄSTERBOTTENS LÄN</t>
        </is>
      </c>
      <c r="E9393" t="inlineStr">
        <is>
          <t>LYCKSELE</t>
        </is>
      </c>
      <c r="F9393" t="inlineStr">
        <is>
          <t>Sveaskog</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30908-2025</t>
        </is>
      </c>
      <c r="B9394" s="1" t="n">
        <v>45832.36497685185</v>
      </c>
      <c r="C9394" s="1" t="n">
        <v>45971</v>
      </c>
      <c r="D9394" t="inlineStr">
        <is>
          <t>VÄSTERBOTTENS LÄN</t>
        </is>
      </c>
      <c r="E9394" t="inlineStr">
        <is>
          <t>VINDELN</t>
        </is>
      </c>
      <c r="G9394" t="n">
        <v>11.7</v>
      </c>
      <c r="H9394" t="n">
        <v>0</v>
      </c>
      <c r="I9394" t="n">
        <v>0</v>
      </c>
      <c r="J9394" t="n">
        <v>0</v>
      </c>
      <c r="K9394" t="n">
        <v>0</v>
      </c>
      <c r="L9394" t="n">
        <v>0</v>
      </c>
      <c r="M9394" t="n">
        <v>0</v>
      </c>
      <c r="N9394" t="n">
        <v>0</v>
      </c>
      <c r="O9394" t="n">
        <v>0</v>
      </c>
      <c r="P9394" t="n">
        <v>0</v>
      </c>
      <c r="Q9394" t="n">
        <v>0</v>
      </c>
      <c r="R9394" s="2" t="inlineStr"/>
    </row>
    <row r="9395" ht="15" customHeight="1">
      <c r="A9395" t="inlineStr">
        <is>
          <t>A 2043-2024</t>
        </is>
      </c>
      <c r="B9395" s="1" t="n">
        <v>45308</v>
      </c>
      <c r="C9395" s="1" t="n">
        <v>45971</v>
      </c>
      <c r="D9395" t="inlineStr">
        <is>
          <t>VÄSTERBOTTENS LÄN</t>
        </is>
      </c>
      <c r="E9395" t="inlineStr">
        <is>
          <t>SKELLEFTEÅ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32677-2022</t>
        </is>
      </c>
      <c r="B9396" s="1" t="n">
        <v>44783.55438657408</v>
      </c>
      <c r="C9396" s="1" t="n">
        <v>45971</v>
      </c>
      <c r="D9396" t="inlineStr">
        <is>
          <t>VÄSTERBOTTENS LÄN</t>
        </is>
      </c>
      <c r="E9396" t="inlineStr">
        <is>
          <t>SKELLEFTEÅ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30487-2025</t>
        </is>
      </c>
      <c r="B9397" s="1" t="n">
        <v>45829.71057870371</v>
      </c>
      <c r="C9397" s="1" t="n">
        <v>45971</v>
      </c>
      <c r="D9397" t="inlineStr">
        <is>
          <t>VÄSTERBOTTENS LÄN</t>
        </is>
      </c>
      <c r="E9397" t="inlineStr">
        <is>
          <t>VINDELN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31154-2025</t>
        </is>
      </c>
      <c r="B9398" s="1" t="n">
        <v>45832.64778935185</v>
      </c>
      <c r="C9398" s="1" t="n">
        <v>45971</v>
      </c>
      <c r="D9398" t="inlineStr">
        <is>
          <t>VÄSTERBOTTENS LÄN</t>
        </is>
      </c>
      <c r="E9398" t="inlineStr">
        <is>
          <t>UMEÅ</t>
        </is>
      </c>
      <c r="F9398" t="inlineStr">
        <is>
          <t>Holmen skog AB</t>
        </is>
      </c>
      <c r="G9398" t="n">
        <v>28.5</v>
      </c>
      <c r="H9398" t="n">
        <v>0</v>
      </c>
      <c r="I9398" t="n">
        <v>0</v>
      </c>
      <c r="J9398" t="n">
        <v>0</v>
      </c>
      <c r="K9398" t="n">
        <v>0</v>
      </c>
      <c r="L9398" t="n">
        <v>0</v>
      </c>
      <c r="M9398" t="n">
        <v>0</v>
      </c>
      <c r="N9398" t="n">
        <v>0</v>
      </c>
      <c r="O9398" t="n">
        <v>0</v>
      </c>
      <c r="P9398" t="n">
        <v>0</v>
      </c>
      <c r="Q9398" t="n">
        <v>0</v>
      </c>
      <c r="R9398" s="2" t="inlineStr"/>
    </row>
    <row r="9399" ht="15" customHeight="1">
      <c r="A9399" t="inlineStr">
        <is>
          <t>A 53247-2025</t>
        </is>
      </c>
      <c r="B9399" s="1" t="n">
        <v>45958.6490625</v>
      </c>
      <c r="C9399" s="1" t="n">
        <v>45971</v>
      </c>
      <c r="D9399" t="inlineStr">
        <is>
          <t>VÄSTERBOTTENS LÄN</t>
        </is>
      </c>
      <c r="E9399" t="inlineStr">
        <is>
          <t>UMEÅ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30645-2025</t>
        </is>
      </c>
      <c r="B9400" s="1" t="n">
        <v>45831.48987268518</v>
      </c>
      <c r="C9400" s="1" t="n">
        <v>45971</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30864-2025</t>
        </is>
      </c>
      <c r="B9401" s="1" t="n">
        <v>45832.31803240741</v>
      </c>
      <c r="C9401" s="1" t="n">
        <v>45971</v>
      </c>
      <c r="D9401" t="inlineStr">
        <is>
          <t>VÄSTERBOTTENS LÄN</t>
        </is>
      </c>
      <c r="E9401" t="inlineStr">
        <is>
          <t>LYCKSELE</t>
        </is>
      </c>
      <c r="F9401" t="inlineStr">
        <is>
          <t>Sveaskog</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43924-2025</t>
        </is>
      </c>
      <c r="B9402" s="1" t="n">
        <v>45915.30688657407</v>
      </c>
      <c r="C9402" s="1" t="n">
        <v>45971</v>
      </c>
      <c r="D9402" t="inlineStr">
        <is>
          <t>VÄSTERBOTTENS LÄN</t>
        </is>
      </c>
      <c r="E9402" t="inlineStr">
        <is>
          <t>LYCKSELE</t>
        </is>
      </c>
      <c r="F9402" t="inlineStr">
        <is>
          <t>Sveaskog</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43948-2025</t>
        </is>
      </c>
      <c r="B9403" s="1" t="n">
        <v>45915.37621527778</v>
      </c>
      <c r="C9403" s="1" t="n">
        <v>45971</v>
      </c>
      <c r="D9403" t="inlineStr">
        <is>
          <t>VÄSTERBOTTENS LÄN</t>
        </is>
      </c>
      <c r="E9403" t="inlineStr">
        <is>
          <t>SKELLEFTEÅ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44047-2025</t>
        </is>
      </c>
      <c r="B9404" s="1" t="n">
        <v>45915.49825231481</v>
      </c>
      <c r="C9404" s="1" t="n">
        <v>45971</v>
      </c>
      <c r="D9404" t="inlineStr">
        <is>
          <t>VÄSTERBOTTENS LÄN</t>
        </is>
      </c>
      <c r="E9404" t="inlineStr">
        <is>
          <t>VINDELN</t>
        </is>
      </c>
      <c r="F9404" t="inlineStr">
        <is>
          <t>Sveaskog</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44048-2025</t>
        </is>
      </c>
      <c r="B9405" s="1" t="n">
        <v>45915.49835648148</v>
      </c>
      <c r="C9405" s="1" t="n">
        <v>45971</v>
      </c>
      <c r="D9405" t="inlineStr">
        <is>
          <t>VÄSTERBOTTENS LÄN</t>
        </is>
      </c>
      <c r="E9405" t="inlineStr">
        <is>
          <t>VINDELN</t>
        </is>
      </c>
      <c r="F9405" t="inlineStr">
        <is>
          <t>Sveaskog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52990-2025</t>
        </is>
      </c>
      <c r="B9406" s="1" t="n">
        <v>45957.71711805555</v>
      </c>
      <c r="C9406" s="1" t="n">
        <v>45971</v>
      </c>
      <c r="D9406" t="inlineStr">
        <is>
          <t>VÄSTERBOTTENS LÄN</t>
        </is>
      </c>
      <c r="E9406" t="inlineStr">
        <is>
          <t>UMEÅ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52992-2025</t>
        </is>
      </c>
      <c r="B9407" s="1" t="n">
        <v>45957.72361111111</v>
      </c>
      <c r="C9407" s="1" t="n">
        <v>45971</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30701-2025</t>
        </is>
      </c>
      <c r="B9408" s="1" t="n">
        <v>45831</v>
      </c>
      <c r="C9408" s="1" t="n">
        <v>45971</v>
      </c>
      <c r="D9408" t="inlineStr">
        <is>
          <t>VÄSTERBOTTENS LÄN</t>
        </is>
      </c>
      <c r="E9408" t="inlineStr">
        <is>
          <t>ÅSELE</t>
        </is>
      </c>
      <c r="F9408" t="inlineStr">
        <is>
          <t>Sveaskog</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30520-2025</t>
        </is>
      </c>
      <c r="B9409" s="1" t="n">
        <v>45831.34668981482</v>
      </c>
      <c r="C9409" s="1" t="n">
        <v>45971</v>
      </c>
      <c r="D9409" t="inlineStr">
        <is>
          <t>VÄSTERBOTTENS LÄN</t>
        </is>
      </c>
      <c r="E9409" t="inlineStr">
        <is>
          <t>SORSELE</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44478-2025</t>
        </is>
      </c>
      <c r="B9410" s="1" t="n">
        <v>45916.64693287037</v>
      </c>
      <c r="C9410" s="1" t="n">
        <v>45971</v>
      </c>
      <c r="D9410" t="inlineStr">
        <is>
          <t>VÄSTERBOTTENS LÄN</t>
        </is>
      </c>
      <c r="E9410" t="inlineStr">
        <is>
          <t>SORSELE</t>
        </is>
      </c>
      <c r="F9410" t="inlineStr">
        <is>
          <t>Sveaskog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30960-2025</t>
        </is>
      </c>
      <c r="B9411" s="1" t="n">
        <v>45832.44204861111</v>
      </c>
      <c r="C9411" s="1" t="n">
        <v>45971</v>
      </c>
      <c r="D9411" t="inlineStr">
        <is>
          <t>VÄSTERBOTTENS LÄN</t>
        </is>
      </c>
      <c r="E9411" t="inlineStr">
        <is>
          <t>UMEÅ</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16527-2022</t>
        </is>
      </c>
      <c r="B9412" s="1" t="n">
        <v>44671.94822916666</v>
      </c>
      <c r="C9412" s="1" t="n">
        <v>45971</v>
      </c>
      <c r="D9412" t="inlineStr">
        <is>
          <t>VÄSTERBOTTENS LÄN</t>
        </is>
      </c>
      <c r="E9412" t="inlineStr">
        <is>
          <t>ÅSELE</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30580-2025</t>
        </is>
      </c>
      <c r="B9413" s="1" t="n">
        <v>45831.42009259259</v>
      </c>
      <c r="C9413" s="1" t="n">
        <v>45971</v>
      </c>
      <c r="D9413" t="inlineStr">
        <is>
          <t>VÄSTERBOTTENS LÄN</t>
        </is>
      </c>
      <c r="E9413" t="inlineStr">
        <is>
          <t>VINDELN</t>
        </is>
      </c>
      <c r="F9413" t="inlineStr">
        <is>
          <t>Holmen skog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32747-2023</t>
        </is>
      </c>
      <c r="B9414" s="1" t="n">
        <v>45122</v>
      </c>
      <c r="C9414" s="1" t="n">
        <v>45971</v>
      </c>
      <c r="D9414" t="inlineStr">
        <is>
          <t>VÄSTERBOTTENS LÄN</t>
        </is>
      </c>
      <c r="E9414" t="inlineStr">
        <is>
          <t>SKELLEFTEÅ</t>
        </is>
      </c>
      <c r="F9414" t="inlineStr">
        <is>
          <t>Holmen skog AB</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44435-2025</t>
        </is>
      </c>
      <c r="B9415" s="1" t="n">
        <v>45916.58086805556</v>
      </c>
      <c r="C9415" s="1" t="n">
        <v>45971</v>
      </c>
      <c r="D9415" t="inlineStr">
        <is>
          <t>VÄSTERBOTTENS LÄN</t>
        </is>
      </c>
      <c r="E9415" t="inlineStr">
        <is>
          <t>ÅSELE</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30623-2025</t>
        </is>
      </c>
      <c r="B9416" s="1" t="n">
        <v>45831.47189814815</v>
      </c>
      <c r="C9416" s="1" t="n">
        <v>45971</v>
      </c>
      <c r="D9416" t="inlineStr">
        <is>
          <t>VÄSTERBOTTENS LÄN</t>
        </is>
      </c>
      <c r="E9416" t="inlineStr">
        <is>
          <t>LYCKSELE</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30672-2025</t>
        </is>
      </c>
      <c r="B9417" s="1" t="n">
        <v>45831.51869212963</v>
      </c>
      <c r="C9417" s="1" t="n">
        <v>45971</v>
      </c>
      <c r="D9417" t="inlineStr">
        <is>
          <t>VÄSTERBOTTENS LÄN</t>
        </is>
      </c>
      <c r="E9417" t="inlineStr">
        <is>
          <t>BJURHOLM</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30675-2025</t>
        </is>
      </c>
      <c r="B9418" s="1" t="n">
        <v>45831.52111111111</v>
      </c>
      <c r="C9418" s="1" t="n">
        <v>45971</v>
      </c>
      <c r="D9418" t="inlineStr">
        <is>
          <t>VÄSTERBOTTENS LÄN</t>
        </is>
      </c>
      <c r="E9418" t="inlineStr">
        <is>
          <t>BJURHOLM</t>
        </is>
      </c>
      <c r="F9418" t="inlineStr">
        <is>
          <t>Sveaskog</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28486-2022</t>
        </is>
      </c>
      <c r="B9419" s="1" t="n">
        <v>44747</v>
      </c>
      <c r="C9419" s="1" t="n">
        <v>45971</v>
      </c>
      <c r="D9419" t="inlineStr">
        <is>
          <t>VÄSTERBOTTENS LÄN</t>
        </is>
      </c>
      <c r="E9419" t="inlineStr">
        <is>
          <t>VILHELMINA</t>
        </is>
      </c>
      <c r="F9419" t="inlineStr">
        <is>
          <t>SCA</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26663-2023</t>
        </is>
      </c>
      <c r="B9420" s="1" t="n">
        <v>45092.94042824074</v>
      </c>
      <c r="C9420" s="1" t="n">
        <v>45971</v>
      </c>
      <c r="D9420" t="inlineStr">
        <is>
          <t>VÄSTERBOTTENS LÄN</t>
        </is>
      </c>
      <c r="E9420" t="inlineStr">
        <is>
          <t>VILHELMINA</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3566-2021</t>
        </is>
      </c>
      <c r="B9421" s="1" t="n">
        <v>44218.92077546296</v>
      </c>
      <c r="C9421" s="1" t="n">
        <v>45971</v>
      </c>
      <c r="D9421" t="inlineStr">
        <is>
          <t>VÄSTERBOTTENS LÄN</t>
        </is>
      </c>
      <c r="E9421" t="inlineStr">
        <is>
          <t>ÅSELE</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30945-2025</t>
        </is>
      </c>
      <c r="B9422" s="1" t="n">
        <v>45832.41233796296</v>
      </c>
      <c r="C9422" s="1" t="n">
        <v>45971</v>
      </c>
      <c r="D9422" t="inlineStr">
        <is>
          <t>VÄSTERBOTTENS LÄN</t>
        </is>
      </c>
      <c r="E9422" t="inlineStr">
        <is>
          <t>VINDELN</t>
        </is>
      </c>
      <c r="F9422" t="inlineStr">
        <is>
          <t>Holmen skog AB</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29027-2022</t>
        </is>
      </c>
      <c r="B9423" s="1" t="n">
        <v>44749.9266087963</v>
      </c>
      <c r="C9423" s="1" t="n">
        <v>45971</v>
      </c>
      <c r="D9423" t="inlineStr">
        <is>
          <t>VÄSTERBOTTENS LÄN</t>
        </is>
      </c>
      <c r="E9423" t="inlineStr">
        <is>
          <t>UMEÅ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31371-2025</t>
        </is>
      </c>
      <c r="B9424" s="1" t="n">
        <v>45832</v>
      </c>
      <c r="C9424" s="1" t="n">
        <v>45971</v>
      </c>
      <c r="D9424" t="inlineStr">
        <is>
          <t>VÄSTERBOTTENS LÄN</t>
        </is>
      </c>
      <c r="E9424" t="inlineStr">
        <is>
          <t>ÅSELE</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31389-2025</t>
        </is>
      </c>
      <c r="B9425" s="1" t="n">
        <v>45832</v>
      </c>
      <c r="C9425" s="1" t="n">
        <v>45971</v>
      </c>
      <c r="D9425" t="inlineStr">
        <is>
          <t>VÄSTERBOTTENS LÄN</t>
        </is>
      </c>
      <c r="E9425" t="inlineStr">
        <is>
          <t>VINDELN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30212-2023</t>
        </is>
      </c>
      <c r="B9426" s="1" t="n">
        <v>45110</v>
      </c>
      <c r="C9426" s="1" t="n">
        <v>45971</v>
      </c>
      <c r="D9426" t="inlineStr">
        <is>
          <t>VÄSTERBOTTENS LÄN</t>
        </is>
      </c>
      <c r="E9426" t="inlineStr">
        <is>
          <t>SKELLEFTEÅ</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30221-2023</t>
        </is>
      </c>
      <c r="B9427" s="1" t="n">
        <v>45099</v>
      </c>
      <c r="C9427" s="1" t="n">
        <v>45971</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30744-2025</t>
        </is>
      </c>
      <c r="B9428" s="1" t="n">
        <v>45831.57969907407</v>
      </c>
      <c r="C9428" s="1" t="n">
        <v>45971</v>
      </c>
      <c r="D9428" t="inlineStr">
        <is>
          <t>VÄSTERBOTTENS LÄN</t>
        </is>
      </c>
      <c r="E9428" t="inlineStr">
        <is>
          <t>VINDELN</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52811-2025</t>
        </is>
      </c>
      <c r="B9429" s="1" t="n">
        <v>45957.44878472222</v>
      </c>
      <c r="C9429" s="1" t="n">
        <v>45971</v>
      </c>
      <c r="D9429" t="inlineStr">
        <is>
          <t>VÄSTERBOTTENS LÄN</t>
        </is>
      </c>
      <c r="E9429" t="inlineStr">
        <is>
          <t>VILHELMINA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30779-2025</t>
        </is>
      </c>
      <c r="B9430" s="1" t="n">
        <v>45831.62219907407</v>
      </c>
      <c r="C9430" s="1" t="n">
        <v>45971</v>
      </c>
      <c r="D9430" t="inlineStr">
        <is>
          <t>VÄSTERBOTTENS LÄN</t>
        </is>
      </c>
      <c r="E9430" t="inlineStr">
        <is>
          <t>ÅSELE</t>
        </is>
      </c>
      <c r="F9430" t="inlineStr">
        <is>
          <t>Sveaskog</t>
        </is>
      </c>
      <c r="G9430" t="n">
        <v>21.6</v>
      </c>
      <c r="H9430" t="n">
        <v>0</v>
      </c>
      <c r="I9430" t="n">
        <v>0</v>
      </c>
      <c r="J9430" t="n">
        <v>0</v>
      </c>
      <c r="K9430" t="n">
        <v>0</v>
      </c>
      <c r="L9430" t="n">
        <v>0</v>
      </c>
      <c r="M9430" t="n">
        <v>0</v>
      </c>
      <c r="N9430" t="n">
        <v>0</v>
      </c>
      <c r="O9430" t="n">
        <v>0</v>
      </c>
      <c r="P9430" t="n">
        <v>0</v>
      </c>
      <c r="Q9430" t="n">
        <v>0</v>
      </c>
      <c r="R9430" s="2" t="inlineStr"/>
    </row>
    <row r="9431" ht="15" customHeight="1">
      <c r="A9431" t="inlineStr">
        <is>
          <t>A 47096-2023</t>
        </is>
      </c>
      <c r="B9431" s="1" t="n">
        <v>45201.64815972222</v>
      </c>
      <c r="C9431" s="1" t="n">
        <v>45971</v>
      </c>
      <c r="D9431" t="inlineStr">
        <is>
          <t>VÄSTERBOTTENS LÄN</t>
        </is>
      </c>
      <c r="E9431" t="inlineStr">
        <is>
          <t>LYCKSELE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31080-2025</t>
        </is>
      </c>
      <c r="B9432" s="1" t="n">
        <v>45831</v>
      </c>
      <c r="C9432" s="1" t="n">
        <v>45971</v>
      </c>
      <c r="D9432" t="inlineStr">
        <is>
          <t>VÄSTERBOTTENS LÄN</t>
        </is>
      </c>
      <c r="E9432" t="inlineStr">
        <is>
          <t>ÅSELE</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30624-2025</t>
        </is>
      </c>
      <c r="B9433" s="1" t="n">
        <v>45831.4724074074</v>
      </c>
      <c r="C9433" s="1" t="n">
        <v>45971</v>
      </c>
      <c r="D9433" t="inlineStr">
        <is>
          <t>VÄSTERBOTTENS LÄN</t>
        </is>
      </c>
      <c r="E9433" t="inlineStr">
        <is>
          <t>LYCKSELE</t>
        </is>
      </c>
      <c r="F9433" t="inlineStr">
        <is>
          <t>Holmen skog AB</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30656-2025</t>
        </is>
      </c>
      <c r="B9434" s="1" t="n">
        <v>45831.50633101852</v>
      </c>
      <c r="C9434" s="1" t="n">
        <v>45971</v>
      </c>
      <c r="D9434" t="inlineStr">
        <is>
          <t>VÄSTERBOTTENS LÄN</t>
        </is>
      </c>
      <c r="E9434" t="inlineStr">
        <is>
          <t>LYCKSELE</t>
        </is>
      </c>
      <c r="F9434" t="inlineStr">
        <is>
          <t>Sveaskog</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17442-2025</t>
        </is>
      </c>
      <c r="B9435" s="1" t="n">
        <v>45757.42755787037</v>
      </c>
      <c r="C9435" s="1" t="n">
        <v>45971</v>
      </c>
      <c r="D9435" t="inlineStr">
        <is>
          <t>VÄSTERBOTTENS LÄN</t>
        </is>
      </c>
      <c r="E9435" t="inlineStr">
        <is>
          <t>NORDMALING</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31116-2025</t>
        </is>
      </c>
      <c r="B9436" s="1" t="n">
        <v>45832.61597222222</v>
      </c>
      <c r="C9436" s="1" t="n">
        <v>45971</v>
      </c>
      <c r="D9436" t="inlineStr">
        <is>
          <t>VÄSTERBOTTENS LÄN</t>
        </is>
      </c>
      <c r="E9436" t="inlineStr">
        <is>
          <t>BJURHOLM</t>
        </is>
      </c>
      <c r="G9436" t="n">
        <v>33.5</v>
      </c>
      <c r="H9436" t="n">
        <v>0</v>
      </c>
      <c r="I9436" t="n">
        <v>0</v>
      </c>
      <c r="J9436" t="n">
        <v>0</v>
      </c>
      <c r="K9436" t="n">
        <v>0</v>
      </c>
      <c r="L9436" t="n">
        <v>0</v>
      </c>
      <c r="M9436" t="n">
        <v>0</v>
      </c>
      <c r="N9436" t="n">
        <v>0</v>
      </c>
      <c r="O9436" t="n">
        <v>0</v>
      </c>
      <c r="P9436" t="n">
        <v>0</v>
      </c>
      <c r="Q9436" t="n">
        <v>0</v>
      </c>
      <c r="R9436" s="2" t="inlineStr"/>
    </row>
    <row r="9437" ht="15" customHeight="1">
      <c r="A9437" t="inlineStr">
        <is>
          <t>A 44420-2025</t>
        </is>
      </c>
      <c r="B9437" s="1" t="n">
        <v>45916.54780092592</v>
      </c>
      <c r="C9437" s="1" t="n">
        <v>45971</v>
      </c>
      <c r="D9437" t="inlineStr">
        <is>
          <t>VÄSTERBOTTENS LÄN</t>
        </is>
      </c>
      <c r="E9437" t="inlineStr">
        <is>
          <t>UMEÅ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31044-2025</t>
        </is>
      </c>
      <c r="B9438" s="1" t="n">
        <v>45832.55402777778</v>
      </c>
      <c r="C9438" s="1" t="n">
        <v>45971</v>
      </c>
      <c r="D9438" t="inlineStr">
        <is>
          <t>VÄSTERBOTTENS LÄN</t>
        </is>
      </c>
      <c r="E9438" t="inlineStr">
        <is>
          <t>LYCKSELE</t>
        </is>
      </c>
      <c r="F9438" t="inlineStr">
        <is>
          <t>Sveaskog</t>
        </is>
      </c>
      <c r="G9438" t="n">
        <v>22.9</v>
      </c>
      <c r="H9438" t="n">
        <v>0</v>
      </c>
      <c r="I9438" t="n">
        <v>0</v>
      </c>
      <c r="J9438" t="n">
        <v>0</v>
      </c>
      <c r="K9438" t="n">
        <v>0</v>
      </c>
      <c r="L9438" t="n">
        <v>0</v>
      </c>
      <c r="M9438" t="n">
        <v>0</v>
      </c>
      <c r="N9438" t="n">
        <v>0</v>
      </c>
      <c r="O9438" t="n">
        <v>0</v>
      </c>
      <c r="P9438" t="n">
        <v>0</v>
      </c>
      <c r="Q9438" t="n">
        <v>0</v>
      </c>
      <c r="R9438" s="2" t="inlineStr"/>
    </row>
    <row r="9439" ht="15" customHeight="1">
      <c r="A9439" t="inlineStr">
        <is>
          <t>A 44099-2025</t>
        </is>
      </c>
      <c r="B9439" s="1" t="n">
        <v>45915.56696759259</v>
      </c>
      <c r="C9439" s="1" t="n">
        <v>45971</v>
      </c>
      <c r="D9439" t="inlineStr">
        <is>
          <t>VÄSTERBOTTENS LÄN</t>
        </is>
      </c>
      <c r="E9439" t="inlineStr">
        <is>
          <t>VINDELN</t>
        </is>
      </c>
      <c r="F9439" t="inlineStr">
        <is>
          <t>Sveaskog</t>
        </is>
      </c>
      <c r="G9439" t="n">
        <v>18.4</v>
      </c>
      <c r="H9439" t="n">
        <v>0</v>
      </c>
      <c r="I9439" t="n">
        <v>0</v>
      </c>
      <c r="J9439" t="n">
        <v>0</v>
      </c>
      <c r="K9439" t="n">
        <v>0</v>
      </c>
      <c r="L9439" t="n">
        <v>0</v>
      </c>
      <c r="M9439" t="n">
        <v>0</v>
      </c>
      <c r="N9439" t="n">
        <v>0</v>
      </c>
      <c r="O9439" t="n">
        <v>0</v>
      </c>
      <c r="P9439" t="n">
        <v>0</v>
      </c>
      <c r="Q9439" t="n">
        <v>0</v>
      </c>
      <c r="R9439" s="2" t="inlineStr"/>
    </row>
    <row r="9440" ht="15" customHeight="1">
      <c r="A9440" t="inlineStr">
        <is>
          <t>A 30790-2025</t>
        </is>
      </c>
      <c r="B9440" s="1" t="n">
        <v>45831.63315972222</v>
      </c>
      <c r="C9440" s="1" t="n">
        <v>45971</v>
      </c>
      <c r="D9440" t="inlineStr">
        <is>
          <t>VÄSTERBOTTENS LÄN</t>
        </is>
      </c>
      <c r="E9440" t="inlineStr">
        <is>
          <t>ROBERTSFORS</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44112-2025</t>
        </is>
      </c>
      <c r="B9441" s="1" t="n">
        <v>45915.574375</v>
      </c>
      <c r="C9441" s="1" t="n">
        <v>45971</v>
      </c>
      <c r="D9441" t="inlineStr">
        <is>
          <t>VÄSTERBOTTENS LÄN</t>
        </is>
      </c>
      <c r="E9441" t="inlineStr">
        <is>
          <t>BJURHOLM</t>
        </is>
      </c>
      <c r="F9441" t="inlineStr">
        <is>
          <t>Sveaskog</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44122-2025</t>
        </is>
      </c>
      <c r="B9442" s="1" t="n">
        <v>45915.5796412037</v>
      </c>
      <c r="C9442" s="1" t="n">
        <v>45971</v>
      </c>
      <c r="D9442" t="inlineStr">
        <is>
          <t>VÄSTERBOTTENS LÄN</t>
        </is>
      </c>
      <c r="E9442" t="inlineStr">
        <is>
          <t>VINDELN</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44149-2025</t>
        </is>
      </c>
      <c r="B9443" s="1" t="n">
        <v>45915</v>
      </c>
      <c r="C9443" s="1" t="n">
        <v>45971</v>
      </c>
      <c r="D9443" t="inlineStr">
        <is>
          <t>VÄSTERBOTTENS LÄN</t>
        </is>
      </c>
      <c r="E9443" t="inlineStr">
        <is>
          <t>STORUMAN</t>
        </is>
      </c>
      <c r="F9443" t="inlineStr">
        <is>
          <t>Allmännings- och besparingsskogar</t>
        </is>
      </c>
      <c r="G9443" t="n">
        <v>18.9</v>
      </c>
      <c r="H9443" t="n">
        <v>0</v>
      </c>
      <c r="I9443" t="n">
        <v>0</v>
      </c>
      <c r="J9443" t="n">
        <v>0</v>
      </c>
      <c r="K9443" t="n">
        <v>0</v>
      </c>
      <c r="L9443" t="n">
        <v>0</v>
      </c>
      <c r="M9443" t="n">
        <v>0</v>
      </c>
      <c r="N9443" t="n">
        <v>0</v>
      </c>
      <c r="O9443" t="n">
        <v>0</v>
      </c>
      <c r="P9443" t="n">
        <v>0</v>
      </c>
      <c r="Q9443" t="n">
        <v>0</v>
      </c>
      <c r="R9443" s="2" t="inlineStr"/>
    </row>
    <row r="9444" ht="15" customHeight="1">
      <c r="A9444" t="inlineStr">
        <is>
          <t>A 44157-2025</t>
        </is>
      </c>
      <c r="B9444" s="1" t="n">
        <v>45915.59598379629</v>
      </c>
      <c r="C9444" s="1" t="n">
        <v>45971</v>
      </c>
      <c r="D9444" t="inlineStr">
        <is>
          <t>VÄSTERBOTTENS LÄN</t>
        </is>
      </c>
      <c r="E9444" t="inlineStr">
        <is>
          <t>VINDELN</t>
        </is>
      </c>
      <c r="F9444" t="inlineStr">
        <is>
          <t>Sveaskog</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44176-2025</t>
        </is>
      </c>
      <c r="B9445" s="1" t="n">
        <v>45915.6065162037</v>
      </c>
      <c r="C9445" s="1" t="n">
        <v>45971</v>
      </c>
      <c r="D9445" t="inlineStr">
        <is>
          <t>VÄSTERBOTTENS LÄN</t>
        </is>
      </c>
      <c r="E9445" t="inlineStr">
        <is>
          <t>VINDELN</t>
        </is>
      </c>
      <c r="F9445" t="inlineStr">
        <is>
          <t>Sveaskog</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52529-2023</t>
        </is>
      </c>
      <c r="B9446" s="1" t="n">
        <v>45225.53422453703</v>
      </c>
      <c r="C9446" s="1" t="n">
        <v>45971</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31219-2025</t>
        </is>
      </c>
      <c r="B9447" s="1" t="n">
        <v>45832</v>
      </c>
      <c r="C9447" s="1" t="n">
        <v>45971</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57846-2023</t>
        </is>
      </c>
      <c r="B9448" s="1" t="n">
        <v>45247</v>
      </c>
      <c r="C9448" s="1" t="n">
        <v>45971</v>
      </c>
      <c r="D9448" t="inlineStr">
        <is>
          <t>VÄSTERBOTTENS LÄN</t>
        </is>
      </c>
      <c r="E9448" t="inlineStr">
        <is>
          <t>VINDELN</t>
        </is>
      </c>
      <c r="F9448" t="inlineStr">
        <is>
          <t>Sveaskog</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53095-2025</t>
        </is>
      </c>
      <c r="B9449" s="1" t="n">
        <v>45958.42641203704</v>
      </c>
      <c r="C9449" s="1" t="n">
        <v>45971</v>
      </c>
      <c r="D9449" t="inlineStr">
        <is>
          <t>VÄSTERBOTTENS LÄN</t>
        </is>
      </c>
      <c r="E9449" t="inlineStr">
        <is>
          <t>LYCKSELE</t>
        </is>
      </c>
      <c r="F9449" t="inlineStr">
        <is>
          <t>Sveaskog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51405-2024</t>
        </is>
      </c>
      <c r="B9450" s="1" t="n">
        <v>45604</v>
      </c>
      <c r="C9450" s="1" t="n">
        <v>45971</v>
      </c>
      <c r="D9450" t="inlineStr">
        <is>
          <t>VÄSTERBOTTENS LÄN</t>
        </is>
      </c>
      <c r="E9450" t="inlineStr">
        <is>
          <t>ÅSELE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63877-2023</t>
        </is>
      </c>
      <c r="B9451" s="1" t="n">
        <v>45278</v>
      </c>
      <c r="C9451" s="1" t="n">
        <v>45971</v>
      </c>
      <c r="D9451" t="inlineStr">
        <is>
          <t>VÄSTERBOTTENS LÄN</t>
        </is>
      </c>
      <c r="E9451" t="inlineStr">
        <is>
          <t>VILHELMINA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30901-2025</t>
        </is>
      </c>
      <c r="B9452" s="1" t="n">
        <v>45832.35980324074</v>
      </c>
      <c r="C9452" s="1" t="n">
        <v>45971</v>
      </c>
      <c r="D9452" t="inlineStr">
        <is>
          <t>VÄSTERBOTTENS LÄN</t>
        </is>
      </c>
      <c r="E9452" t="inlineStr">
        <is>
          <t>LYCKSELE</t>
        </is>
      </c>
      <c r="F9452" t="inlineStr">
        <is>
          <t>Sveaskog</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30758-2025</t>
        </is>
      </c>
      <c r="B9453" s="1" t="n">
        <v>45831.59677083333</v>
      </c>
      <c r="C9453" s="1" t="n">
        <v>45971</v>
      </c>
      <c r="D9453" t="inlineStr">
        <is>
          <t>VÄSTERBOTTENS LÄN</t>
        </is>
      </c>
      <c r="E9453" t="inlineStr">
        <is>
          <t>VINDELN</t>
        </is>
      </c>
      <c r="F9453" t="inlineStr">
        <is>
          <t>Holmen skog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44130-2025</t>
        </is>
      </c>
      <c r="B9454" s="1" t="n">
        <v>45915.58412037037</v>
      </c>
      <c r="C9454" s="1" t="n">
        <v>45971</v>
      </c>
      <c r="D9454" t="inlineStr">
        <is>
          <t>VÄSTERBOTTENS LÄN</t>
        </is>
      </c>
      <c r="E9454" t="inlineStr">
        <is>
          <t>ROBERTSFORS</t>
        </is>
      </c>
      <c r="F9454" t="inlineStr">
        <is>
          <t>Holmen skog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44144-2025</t>
        </is>
      </c>
      <c r="B9455" s="1" t="n">
        <v>45915.58934027778</v>
      </c>
      <c r="C9455" s="1" t="n">
        <v>45971</v>
      </c>
      <c r="D9455" t="inlineStr">
        <is>
          <t>VÄSTERBOTTENS LÄN</t>
        </is>
      </c>
      <c r="E9455" t="inlineStr">
        <is>
          <t>BJURHOLM</t>
        </is>
      </c>
      <c r="F9455" t="inlineStr">
        <is>
          <t>Sveaskog</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44146-2025</t>
        </is>
      </c>
      <c r="B9456" s="1" t="n">
        <v>45915</v>
      </c>
      <c r="C9456" s="1" t="n">
        <v>45971</v>
      </c>
      <c r="D9456" t="inlineStr">
        <is>
          <t>VÄSTERBOTTENS LÄN</t>
        </is>
      </c>
      <c r="E9456" t="inlineStr">
        <is>
          <t>STORUMAN</t>
        </is>
      </c>
      <c r="F9456" t="inlineStr">
        <is>
          <t>Allmännings- och besparingsskogar</t>
        </is>
      </c>
      <c r="G9456" t="n">
        <v>18.5</v>
      </c>
      <c r="H9456" t="n">
        <v>0</v>
      </c>
      <c r="I9456" t="n">
        <v>0</v>
      </c>
      <c r="J9456" t="n">
        <v>0</v>
      </c>
      <c r="K9456" t="n">
        <v>0</v>
      </c>
      <c r="L9456" t="n">
        <v>0</v>
      </c>
      <c r="M9456" t="n">
        <v>0</v>
      </c>
      <c r="N9456" t="n">
        <v>0</v>
      </c>
      <c r="O9456" t="n">
        <v>0</v>
      </c>
      <c r="P9456" t="n">
        <v>0</v>
      </c>
      <c r="Q9456" t="n">
        <v>0</v>
      </c>
      <c r="R9456" s="2" t="inlineStr"/>
    </row>
    <row r="9457" ht="15" customHeight="1">
      <c r="A9457" t="inlineStr">
        <is>
          <t>A 30558-2025</t>
        </is>
      </c>
      <c r="B9457" s="1" t="n">
        <v>45831.39336805556</v>
      </c>
      <c r="C9457" s="1" t="n">
        <v>45971</v>
      </c>
      <c r="D9457" t="inlineStr">
        <is>
          <t>VÄSTERBOTTENS LÄN</t>
        </is>
      </c>
      <c r="E9457" t="inlineStr">
        <is>
          <t>SORSELE</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44351-2025</t>
        </is>
      </c>
      <c r="B9458" s="1" t="n">
        <v>45916.44199074074</v>
      </c>
      <c r="C9458" s="1" t="n">
        <v>45971</v>
      </c>
      <c r="D9458" t="inlineStr">
        <is>
          <t>VÄSTERBOTTENS LÄN</t>
        </is>
      </c>
      <c r="E9458" t="inlineStr">
        <is>
          <t>LYCKSELE</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44401-2025</t>
        </is>
      </c>
      <c r="B9459" s="1" t="n">
        <v>45916.50414351852</v>
      </c>
      <c r="C9459" s="1" t="n">
        <v>45971</v>
      </c>
      <c r="D9459" t="inlineStr">
        <is>
          <t>VÄSTERBOTTENS LÄN</t>
        </is>
      </c>
      <c r="E9459" t="inlineStr">
        <is>
          <t>ÅSELE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52996-2025</t>
        </is>
      </c>
      <c r="B9460" s="1" t="n">
        <v>45957.73085648148</v>
      </c>
      <c r="C9460" s="1" t="n">
        <v>45971</v>
      </c>
      <c r="D9460" t="inlineStr">
        <is>
          <t>VÄSTERBOTTENS LÄN</t>
        </is>
      </c>
      <c r="E9460" t="inlineStr">
        <is>
          <t>UMEÅ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53026-2025</t>
        </is>
      </c>
      <c r="B9461" s="1" t="n">
        <v>45958.34028935185</v>
      </c>
      <c r="C9461" s="1" t="n">
        <v>45971</v>
      </c>
      <c r="D9461" t="inlineStr">
        <is>
          <t>VÄSTERBOTTENS LÄN</t>
        </is>
      </c>
      <c r="E9461" t="inlineStr">
        <is>
          <t>SKELLEFTEÅ</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43928-2025</t>
        </is>
      </c>
      <c r="B9462" s="1" t="n">
        <v>45915.32159722222</v>
      </c>
      <c r="C9462" s="1" t="n">
        <v>45971</v>
      </c>
      <c r="D9462" t="inlineStr">
        <is>
          <t>VÄSTERBOTTENS LÄN</t>
        </is>
      </c>
      <c r="E9462" t="inlineStr">
        <is>
          <t>LYCKSELE</t>
        </is>
      </c>
      <c r="F9462" t="inlineStr">
        <is>
          <t>Sveaskog</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43929-2025</t>
        </is>
      </c>
      <c r="B9463" s="1" t="n">
        <v>45915.32696759259</v>
      </c>
      <c r="C9463" s="1" t="n">
        <v>45971</v>
      </c>
      <c r="D9463" t="inlineStr">
        <is>
          <t>VÄSTERBOTTENS LÄN</t>
        </is>
      </c>
      <c r="E9463" t="inlineStr">
        <is>
          <t>LYCKSELE</t>
        </is>
      </c>
      <c r="F9463" t="inlineStr">
        <is>
          <t>Sveaskog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31627-2025</t>
        </is>
      </c>
      <c r="B9464" s="1" t="n">
        <v>45834.30527777778</v>
      </c>
      <c r="C9464" s="1" t="n">
        <v>45971</v>
      </c>
      <c r="D9464" t="inlineStr">
        <is>
          <t>VÄSTERBOTTENS LÄN</t>
        </is>
      </c>
      <c r="E9464" t="inlineStr">
        <is>
          <t>SKELLEFTEÅ</t>
        </is>
      </c>
      <c r="F9464" t="inlineStr">
        <is>
          <t>Holmen skog AB</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52662-2025</t>
        </is>
      </c>
      <c r="B9465" s="1" t="n">
        <v>45955.48998842593</v>
      </c>
      <c r="C9465" s="1" t="n">
        <v>45971</v>
      </c>
      <c r="D9465" t="inlineStr">
        <is>
          <t>VÄSTERBOTTENS LÄN</t>
        </is>
      </c>
      <c r="E9465" t="inlineStr">
        <is>
          <t>ÅSELE</t>
        </is>
      </c>
      <c r="F9465" t="inlineStr">
        <is>
          <t>SCA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31599-2025</t>
        </is>
      </c>
      <c r="B9466" s="1" t="n">
        <v>45833.72009259259</v>
      </c>
      <c r="C9466" s="1" t="n">
        <v>45971</v>
      </c>
      <c r="D9466" t="inlineStr">
        <is>
          <t>VÄSTERBOTTENS LÄN</t>
        </is>
      </c>
      <c r="E9466" t="inlineStr">
        <is>
          <t>UMEÅ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31628-2025</t>
        </is>
      </c>
      <c r="B9467" s="1" t="n">
        <v>45834.30734953703</v>
      </c>
      <c r="C9467" s="1" t="n">
        <v>45971</v>
      </c>
      <c r="D9467" t="inlineStr">
        <is>
          <t>VÄSTERBOTTENS LÄN</t>
        </is>
      </c>
      <c r="E9467" t="inlineStr">
        <is>
          <t>SKELLEFTEÅ</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52793-2025</t>
        </is>
      </c>
      <c r="B9468" s="1" t="n">
        <v>45957.43465277777</v>
      </c>
      <c r="C9468" s="1" t="n">
        <v>45971</v>
      </c>
      <c r="D9468" t="inlineStr">
        <is>
          <t>VÄSTERBOTTENS LÄN</t>
        </is>
      </c>
      <c r="E9468" t="inlineStr">
        <is>
          <t>SKELLEFTEÅ</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31663-2025</t>
        </is>
      </c>
      <c r="B9469" s="1" t="n">
        <v>45834.35773148148</v>
      </c>
      <c r="C9469" s="1" t="n">
        <v>45971</v>
      </c>
      <c r="D9469" t="inlineStr">
        <is>
          <t>VÄSTERBOTTENS LÄN</t>
        </is>
      </c>
      <c r="E9469" t="inlineStr">
        <is>
          <t>VINDELN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31670-2025</t>
        </is>
      </c>
      <c r="B9470" s="1" t="n">
        <v>45834.36549768518</v>
      </c>
      <c r="C9470" s="1" t="n">
        <v>45971</v>
      </c>
      <c r="D9470" t="inlineStr">
        <is>
          <t>VÄSTERBOTTENS LÄN</t>
        </is>
      </c>
      <c r="E9470" t="inlineStr">
        <is>
          <t>SKELLEFTEÅ</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53027-2025</t>
        </is>
      </c>
      <c r="B9471" s="1" t="n">
        <v>45958.34142361111</v>
      </c>
      <c r="C9471" s="1" t="n">
        <v>45971</v>
      </c>
      <c r="D9471" t="inlineStr">
        <is>
          <t>VÄSTERBOTTENS LÄN</t>
        </is>
      </c>
      <c r="E9471" t="inlineStr">
        <is>
          <t>SKELLEFTEÅ</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31693-2025</t>
        </is>
      </c>
      <c r="B9472" s="1" t="n">
        <v>45834.40671296296</v>
      </c>
      <c r="C9472" s="1" t="n">
        <v>45971</v>
      </c>
      <c r="D9472" t="inlineStr">
        <is>
          <t>VÄSTERBOTTENS LÄN</t>
        </is>
      </c>
      <c r="E9472" t="inlineStr">
        <is>
          <t>LYCKSELE</t>
        </is>
      </c>
      <c r="F9472" t="inlineStr">
        <is>
          <t>SCA</t>
        </is>
      </c>
      <c r="G9472" t="n">
        <v>18.9</v>
      </c>
      <c r="H9472" t="n">
        <v>0</v>
      </c>
      <c r="I9472" t="n">
        <v>0</v>
      </c>
      <c r="J9472" t="n">
        <v>0</v>
      </c>
      <c r="K9472" t="n">
        <v>0</v>
      </c>
      <c r="L9472" t="n">
        <v>0</v>
      </c>
      <c r="M9472" t="n">
        <v>0</v>
      </c>
      <c r="N9472" t="n">
        <v>0</v>
      </c>
      <c r="O9472" t="n">
        <v>0</v>
      </c>
      <c r="P9472" t="n">
        <v>0</v>
      </c>
      <c r="Q9472" t="n">
        <v>0</v>
      </c>
      <c r="R9472" s="2" t="inlineStr"/>
    </row>
    <row r="9473" ht="15" customHeight="1">
      <c r="A9473" t="inlineStr">
        <is>
          <t>A 53050-2025</t>
        </is>
      </c>
      <c r="B9473" s="1" t="n">
        <v>45958.3625462963</v>
      </c>
      <c r="C9473" s="1" t="n">
        <v>45971</v>
      </c>
      <c r="D9473" t="inlineStr">
        <is>
          <t>VÄSTERBOTTENS LÄN</t>
        </is>
      </c>
      <c r="E9473" t="inlineStr">
        <is>
          <t>SKELLEFTEÅ</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48044-2024</t>
        </is>
      </c>
      <c r="B9474" s="1" t="n">
        <v>45589</v>
      </c>
      <c r="C9474" s="1" t="n">
        <v>45971</v>
      </c>
      <c r="D9474" t="inlineStr">
        <is>
          <t>VÄSTERBOTTENS LÄN</t>
        </is>
      </c>
      <c r="E9474" t="inlineStr">
        <is>
          <t>ÅSELE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50420-2024</t>
        </is>
      </c>
      <c r="B9475" s="1" t="n">
        <v>45601</v>
      </c>
      <c r="C9475" s="1" t="n">
        <v>45971</v>
      </c>
      <c r="D9475" t="inlineStr">
        <is>
          <t>VÄSTERBOTTENS LÄN</t>
        </is>
      </c>
      <c r="E9475" t="inlineStr">
        <is>
          <t>ÅSELE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51544-2024</t>
        </is>
      </c>
      <c r="B9476" s="1" t="n">
        <v>45604</v>
      </c>
      <c r="C9476" s="1" t="n">
        <v>45971</v>
      </c>
      <c r="D9476" t="inlineStr">
        <is>
          <t>VÄSTERBOTTENS LÄN</t>
        </is>
      </c>
      <c r="E9476" t="inlineStr">
        <is>
          <t>ÅSELE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31835-2025</t>
        </is>
      </c>
      <c r="B9477" s="1" t="n">
        <v>45834.59436342592</v>
      </c>
      <c r="C9477" s="1" t="n">
        <v>45971</v>
      </c>
      <c r="D9477" t="inlineStr">
        <is>
          <t>VÄSTERBOTTENS LÄN</t>
        </is>
      </c>
      <c r="E9477" t="inlineStr">
        <is>
          <t>DOROTEA</t>
        </is>
      </c>
      <c r="F9477" t="inlineStr">
        <is>
          <t>SCA</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44005-2025</t>
        </is>
      </c>
      <c r="B9478" s="1" t="n">
        <v>45915.45715277778</v>
      </c>
      <c r="C9478" s="1" t="n">
        <v>45971</v>
      </c>
      <c r="D9478" t="inlineStr">
        <is>
          <t>VÄSTERBOTTENS LÄN</t>
        </is>
      </c>
      <c r="E9478" t="inlineStr">
        <is>
          <t>ÅSELE</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32863-2023</t>
        </is>
      </c>
      <c r="B9479" s="1" t="n">
        <v>45124</v>
      </c>
      <c r="C9479" s="1" t="n">
        <v>45971</v>
      </c>
      <c r="D9479" t="inlineStr">
        <is>
          <t>VÄSTERBOTTENS LÄN</t>
        </is>
      </c>
      <c r="E9479" t="inlineStr">
        <is>
          <t>LYCKSELE</t>
        </is>
      </c>
      <c r="F9479" t="inlineStr">
        <is>
          <t>Sveaskog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59359-2022</t>
        </is>
      </c>
      <c r="B9480" s="1" t="n">
        <v>44904.92574074074</v>
      </c>
      <c r="C9480" s="1" t="n">
        <v>45971</v>
      </c>
      <c r="D9480" t="inlineStr">
        <is>
          <t>VÄSTERBOTTENS LÄN</t>
        </is>
      </c>
      <c r="E9480" t="inlineStr">
        <is>
          <t>STORUMAN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36144-2023</t>
        </is>
      </c>
      <c r="B9481" s="1" t="n">
        <v>45149</v>
      </c>
      <c r="C9481" s="1" t="n">
        <v>45971</v>
      </c>
      <c r="D9481" t="inlineStr">
        <is>
          <t>VÄSTERBOTTENS LÄN</t>
        </is>
      </c>
      <c r="E9481" t="inlineStr">
        <is>
          <t>MALÅ</t>
        </is>
      </c>
      <c r="G9481" t="n">
        <v>147.1</v>
      </c>
      <c r="H9481" t="n">
        <v>0</v>
      </c>
      <c r="I9481" t="n">
        <v>0</v>
      </c>
      <c r="J9481" t="n">
        <v>0</v>
      </c>
      <c r="K9481" t="n">
        <v>0</v>
      </c>
      <c r="L9481" t="n">
        <v>0</v>
      </c>
      <c r="M9481" t="n">
        <v>0</v>
      </c>
      <c r="N9481" t="n">
        <v>0</v>
      </c>
      <c r="O9481" t="n">
        <v>0</v>
      </c>
      <c r="P9481" t="n">
        <v>0</v>
      </c>
      <c r="Q9481" t="n">
        <v>0</v>
      </c>
      <c r="R9481" s="2" t="inlineStr"/>
    </row>
    <row r="9482" ht="15" customHeight="1">
      <c r="A9482" t="inlineStr">
        <is>
          <t>A 44009-2025</t>
        </is>
      </c>
      <c r="B9482" s="1" t="n">
        <v>45915.46326388889</v>
      </c>
      <c r="C9482" s="1" t="n">
        <v>45971</v>
      </c>
      <c r="D9482" t="inlineStr">
        <is>
          <t>VÄSTERBOTTENS LÄN</t>
        </is>
      </c>
      <c r="E9482" t="inlineStr">
        <is>
          <t>SKELLEFTEÅ</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44014-2025</t>
        </is>
      </c>
      <c r="B9483" s="1" t="n">
        <v>45915.469375</v>
      </c>
      <c r="C9483" s="1" t="n">
        <v>45971</v>
      </c>
      <c r="D9483" t="inlineStr">
        <is>
          <t>VÄSTERBOTTENS LÄN</t>
        </is>
      </c>
      <c r="E9483" t="inlineStr">
        <is>
          <t>VINDELN</t>
        </is>
      </c>
      <c r="F9483" t="inlineStr">
        <is>
          <t>SCA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31797-2025</t>
        </is>
      </c>
      <c r="B9484" s="1" t="n">
        <v>45834.55078703703</v>
      </c>
      <c r="C9484" s="1" t="n">
        <v>45971</v>
      </c>
      <c r="D9484" t="inlineStr">
        <is>
          <t>VÄSTERBOTTENS LÄN</t>
        </is>
      </c>
      <c r="E9484" t="inlineStr">
        <is>
          <t>SKELLEFTEÅ</t>
        </is>
      </c>
      <c r="G9484" t="n">
        <v>19.1</v>
      </c>
      <c r="H9484" t="n">
        <v>0</v>
      </c>
      <c r="I9484" t="n">
        <v>0</v>
      </c>
      <c r="J9484" t="n">
        <v>0</v>
      </c>
      <c r="K9484" t="n">
        <v>0</v>
      </c>
      <c r="L9484" t="n">
        <v>0</v>
      </c>
      <c r="M9484" t="n">
        <v>0</v>
      </c>
      <c r="N9484" t="n">
        <v>0</v>
      </c>
      <c r="O9484" t="n">
        <v>0</v>
      </c>
      <c r="P9484" t="n">
        <v>0</v>
      </c>
      <c r="Q9484" t="n">
        <v>0</v>
      </c>
      <c r="R9484" s="2" t="inlineStr"/>
    </row>
    <row r="9485" ht="15" customHeight="1">
      <c r="A9485" t="inlineStr">
        <is>
          <t>A 52660-2025</t>
        </is>
      </c>
      <c r="B9485" s="1" t="n">
        <v>45955.46928240741</v>
      </c>
      <c r="C9485" s="1" t="n">
        <v>45971</v>
      </c>
      <c r="D9485" t="inlineStr">
        <is>
          <t>VÄSTERBOTTENS LÄN</t>
        </is>
      </c>
      <c r="E9485" t="inlineStr">
        <is>
          <t>SKELLEFTEÅ</t>
        </is>
      </c>
      <c r="F9485" t="inlineStr">
        <is>
          <t>SCA</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44064-2025</t>
        </is>
      </c>
      <c r="B9486" s="1" t="n">
        <v>45915.54059027778</v>
      </c>
      <c r="C9486" s="1" t="n">
        <v>45971</v>
      </c>
      <c r="D9486" t="inlineStr">
        <is>
          <t>VÄSTERBOTTENS LÄN</t>
        </is>
      </c>
      <c r="E9486" t="inlineStr">
        <is>
          <t>UMEÅ</t>
        </is>
      </c>
      <c r="F9486" t="inlineStr">
        <is>
          <t>Holmen skog AB</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44092-2025</t>
        </is>
      </c>
      <c r="B9487" s="1" t="n">
        <v>45915</v>
      </c>
      <c r="C9487" s="1" t="n">
        <v>45971</v>
      </c>
      <c r="D9487" t="inlineStr">
        <is>
          <t>VÄSTERBOTTENS LÄN</t>
        </is>
      </c>
      <c r="E9487" t="inlineStr">
        <is>
          <t>LYCKSELE</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52663-2025</t>
        </is>
      </c>
      <c r="B9488" s="1" t="n">
        <v>45955.49012731481</v>
      </c>
      <c r="C9488" s="1" t="n">
        <v>45971</v>
      </c>
      <c r="D9488" t="inlineStr">
        <is>
          <t>VÄSTERBOTTENS LÄN</t>
        </is>
      </c>
      <c r="E9488" t="inlineStr">
        <is>
          <t>ÅSELE</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36146-2023</t>
        </is>
      </c>
      <c r="B9489" s="1" t="n">
        <v>45149.59932870371</v>
      </c>
      <c r="C9489" s="1" t="n">
        <v>45971</v>
      </c>
      <c r="D9489" t="inlineStr">
        <is>
          <t>VÄSTERBOTTENS LÄN</t>
        </is>
      </c>
      <c r="E9489" t="inlineStr">
        <is>
          <t>LYCKSELE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26352-2024</t>
        </is>
      </c>
      <c r="B9490" s="1" t="n">
        <v>45469.36628472222</v>
      </c>
      <c r="C9490" s="1" t="n">
        <v>45971</v>
      </c>
      <c r="D9490" t="inlineStr">
        <is>
          <t>VÄSTERBOTTENS LÄN</t>
        </is>
      </c>
      <c r="E9490" t="inlineStr">
        <is>
          <t>UMEÅ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44113-2025</t>
        </is>
      </c>
      <c r="B9491" s="1" t="n">
        <v>45915.57501157407</v>
      </c>
      <c r="C9491" s="1" t="n">
        <v>45971</v>
      </c>
      <c r="D9491" t="inlineStr">
        <is>
          <t>VÄSTERBOTTENS LÄN</t>
        </is>
      </c>
      <c r="E9491" t="inlineStr">
        <is>
          <t>SKELLEFTEÅ</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14998-2022</t>
        </is>
      </c>
      <c r="B9492" s="1" t="n">
        <v>44657</v>
      </c>
      <c r="C9492" s="1" t="n">
        <v>45971</v>
      </c>
      <c r="D9492" t="inlineStr">
        <is>
          <t>VÄSTERBOTTENS LÄN</t>
        </is>
      </c>
      <c r="E9492" t="inlineStr">
        <is>
          <t>SORSELE</t>
        </is>
      </c>
      <c r="G9492" t="n">
        <v>8.9</v>
      </c>
      <c r="H9492" t="n">
        <v>0</v>
      </c>
      <c r="I9492" t="n">
        <v>0</v>
      </c>
      <c r="J9492" t="n">
        <v>0</v>
      </c>
      <c r="K9492" t="n">
        <v>0</v>
      </c>
      <c r="L9492" t="n">
        <v>0</v>
      </c>
      <c r="M9492" t="n">
        <v>0</v>
      </c>
      <c r="N9492" t="n">
        <v>0</v>
      </c>
      <c r="O9492" t="n">
        <v>0</v>
      </c>
      <c r="P9492" t="n">
        <v>0</v>
      </c>
      <c r="Q9492" t="n">
        <v>0</v>
      </c>
      <c r="R9492" s="2" t="inlineStr"/>
    </row>
    <row r="9493" ht="15" customHeight="1">
      <c r="A9493" t="inlineStr">
        <is>
          <t>A 31445-2025</t>
        </is>
      </c>
      <c r="B9493" s="1" t="n">
        <v>45833.51791666666</v>
      </c>
      <c r="C9493" s="1" t="n">
        <v>45971</v>
      </c>
      <c r="D9493" t="inlineStr">
        <is>
          <t>VÄSTERBOTTENS LÄN</t>
        </is>
      </c>
      <c r="E9493" t="inlineStr">
        <is>
          <t>ÅSELE</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52710-2025</t>
        </is>
      </c>
      <c r="B9494" s="1" t="n">
        <v>45957.29408564815</v>
      </c>
      <c r="C9494" s="1" t="n">
        <v>45971</v>
      </c>
      <c r="D9494" t="inlineStr">
        <is>
          <t>VÄSTERBOTTENS LÄN</t>
        </is>
      </c>
      <c r="E9494" t="inlineStr">
        <is>
          <t>UMEÅ</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44072-2025</t>
        </is>
      </c>
      <c r="B9495" s="1" t="n">
        <v>45915.54738425926</v>
      </c>
      <c r="C9495" s="1" t="n">
        <v>45971</v>
      </c>
      <c r="D9495" t="inlineStr">
        <is>
          <t>VÄSTERBOTTENS LÄN</t>
        </is>
      </c>
      <c r="E9495" t="inlineStr">
        <is>
          <t>VINDELN</t>
        </is>
      </c>
      <c r="F9495" t="inlineStr">
        <is>
          <t>Sveaskog</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31800-2025</t>
        </is>
      </c>
      <c r="B9496" s="1" t="n">
        <v>45834.55274305555</v>
      </c>
      <c r="C9496" s="1" t="n">
        <v>45971</v>
      </c>
      <c r="D9496" t="inlineStr">
        <is>
          <t>VÄSTERBOTTENS LÄN</t>
        </is>
      </c>
      <c r="E9496" t="inlineStr">
        <is>
          <t>LYCKSELE</t>
        </is>
      </c>
      <c r="F9496" t="inlineStr">
        <is>
          <t>SCA</t>
        </is>
      </c>
      <c r="G9496" t="n">
        <v>13.6</v>
      </c>
      <c r="H9496" t="n">
        <v>0</v>
      </c>
      <c r="I9496" t="n">
        <v>0</v>
      </c>
      <c r="J9496" t="n">
        <v>0</v>
      </c>
      <c r="K9496" t="n">
        <v>0</v>
      </c>
      <c r="L9496" t="n">
        <v>0</v>
      </c>
      <c r="M9496" t="n">
        <v>0</v>
      </c>
      <c r="N9496" t="n">
        <v>0</v>
      </c>
      <c r="O9496" t="n">
        <v>0</v>
      </c>
      <c r="P9496" t="n">
        <v>0</v>
      </c>
      <c r="Q9496" t="n">
        <v>0</v>
      </c>
      <c r="R9496" s="2" t="inlineStr"/>
    </row>
    <row r="9497" ht="15" customHeight="1">
      <c r="A9497" t="inlineStr">
        <is>
          <t>A 44109-2025</t>
        </is>
      </c>
      <c r="B9497" s="1" t="n">
        <v>45915.57237268519</v>
      </c>
      <c r="C9497" s="1" t="n">
        <v>45971</v>
      </c>
      <c r="D9497" t="inlineStr">
        <is>
          <t>VÄSTERBOTTENS LÄN</t>
        </is>
      </c>
      <c r="E9497" t="inlineStr">
        <is>
          <t>VINDELN</t>
        </is>
      </c>
      <c r="F9497" t="inlineStr">
        <is>
          <t>Sveaskog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44115-2025</t>
        </is>
      </c>
      <c r="B9498" s="1" t="n">
        <v>45915.57604166667</v>
      </c>
      <c r="C9498" s="1" t="n">
        <v>45971</v>
      </c>
      <c r="D9498" t="inlineStr">
        <is>
          <t>VÄSTERBOTTENS LÄN</t>
        </is>
      </c>
      <c r="E9498" t="inlineStr">
        <is>
          <t>VINDELN</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50419-2024</t>
        </is>
      </c>
      <c r="B9499" s="1" t="n">
        <v>45601</v>
      </c>
      <c r="C9499" s="1" t="n">
        <v>45971</v>
      </c>
      <c r="D9499" t="inlineStr">
        <is>
          <t>VÄSTERBOTTENS LÄN</t>
        </is>
      </c>
      <c r="E9499" t="inlineStr">
        <is>
          <t>ÅSELE</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45374-2021</t>
        </is>
      </c>
      <c r="B9500" s="1" t="n">
        <v>44439</v>
      </c>
      <c r="C9500" s="1" t="n">
        <v>45971</v>
      </c>
      <c r="D9500" t="inlineStr">
        <is>
          <t>VÄSTERBOTTENS LÄN</t>
        </is>
      </c>
      <c r="E9500" t="inlineStr">
        <is>
          <t>SORSELE</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45384-2021</t>
        </is>
      </c>
      <c r="B9501" s="1" t="n">
        <v>44440.3184375</v>
      </c>
      <c r="C9501" s="1" t="n">
        <v>45971</v>
      </c>
      <c r="D9501" t="inlineStr">
        <is>
          <t>VÄSTERBOTTENS LÄN</t>
        </is>
      </c>
      <c r="E9501" t="inlineStr">
        <is>
          <t>SKELLEFTEÅ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48472-2023</t>
        </is>
      </c>
      <c r="B9502" s="1" t="n">
        <v>45206.95761574074</v>
      </c>
      <c r="C9502" s="1" t="n">
        <v>45971</v>
      </c>
      <c r="D9502" t="inlineStr">
        <is>
          <t>VÄSTERBOTTENS LÄN</t>
        </is>
      </c>
      <c r="E9502" t="inlineStr">
        <is>
          <t>VILHELMINA</t>
        </is>
      </c>
      <c r="F9502" t="inlineStr">
        <is>
          <t>SCA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48572-2023</t>
        </is>
      </c>
      <c r="B9503" s="1" t="n">
        <v>45202</v>
      </c>
      <c r="C9503" s="1" t="n">
        <v>45971</v>
      </c>
      <c r="D9503" t="inlineStr">
        <is>
          <t>VÄSTERBOTTENS LÄN</t>
        </is>
      </c>
      <c r="E9503" t="inlineStr">
        <is>
          <t>MALÅ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52657-2025</t>
        </is>
      </c>
      <c r="B9504" s="1" t="n">
        <v>45955.42762731481</v>
      </c>
      <c r="C9504" s="1" t="n">
        <v>45971</v>
      </c>
      <c r="D9504" t="inlineStr">
        <is>
          <t>VÄSTERBOTTENS LÄN</t>
        </is>
      </c>
      <c r="E9504" t="inlineStr">
        <is>
          <t>SKELLEFTEÅ</t>
        </is>
      </c>
      <c r="F9504" t="inlineStr">
        <is>
          <t>SCA</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52664-2025</t>
        </is>
      </c>
      <c r="B9505" s="1" t="n">
        <v>45955.61505787037</v>
      </c>
      <c r="C9505" s="1" t="n">
        <v>45971</v>
      </c>
      <c r="D9505" t="inlineStr">
        <is>
          <t>VÄSTERBOTTENS LÄN</t>
        </is>
      </c>
      <c r="E9505" t="inlineStr">
        <is>
          <t>ÅSELE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31520-2025</t>
        </is>
      </c>
      <c r="B9506" s="1" t="n">
        <v>45833.60758101852</v>
      </c>
      <c r="C9506" s="1" t="n">
        <v>45971</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17326-2024</t>
        </is>
      </c>
      <c r="B9507" s="1" t="n">
        <v>45414</v>
      </c>
      <c r="C9507" s="1" t="n">
        <v>45971</v>
      </c>
      <c r="D9507" t="inlineStr">
        <is>
          <t>VÄSTERBOTTENS LÄN</t>
        </is>
      </c>
      <c r="E9507" t="inlineStr">
        <is>
          <t>SORSELE</t>
        </is>
      </c>
      <c r="G9507" t="n">
        <v>18.2</v>
      </c>
      <c r="H9507" t="n">
        <v>0</v>
      </c>
      <c r="I9507" t="n">
        <v>0</v>
      </c>
      <c r="J9507" t="n">
        <v>0</v>
      </c>
      <c r="K9507" t="n">
        <v>0</v>
      </c>
      <c r="L9507" t="n">
        <v>0</v>
      </c>
      <c r="M9507" t="n">
        <v>0</v>
      </c>
      <c r="N9507" t="n">
        <v>0</v>
      </c>
      <c r="O9507" t="n">
        <v>0</v>
      </c>
      <c r="P9507" t="n">
        <v>0</v>
      </c>
      <c r="Q9507" t="n">
        <v>0</v>
      </c>
      <c r="R9507" s="2" t="inlineStr"/>
    </row>
    <row r="9508" ht="15" customHeight="1">
      <c r="A9508" t="inlineStr">
        <is>
          <t>A 17379-2024</t>
        </is>
      </c>
      <c r="B9508" s="1" t="n">
        <v>45414</v>
      </c>
      <c r="C9508" s="1" t="n">
        <v>45971</v>
      </c>
      <c r="D9508" t="inlineStr">
        <is>
          <t>VÄSTERBOTTENS LÄN</t>
        </is>
      </c>
      <c r="E9508" t="inlineStr">
        <is>
          <t>SORSELE</t>
        </is>
      </c>
      <c r="G9508" t="n">
        <v>48.8</v>
      </c>
      <c r="H9508" t="n">
        <v>0</v>
      </c>
      <c r="I9508" t="n">
        <v>0</v>
      </c>
      <c r="J9508" t="n">
        <v>0</v>
      </c>
      <c r="K9508" t="n">
        <v>0</v>
      </c>
      <c r="L9508" t="n">
        <v>0</v>
      </c>
      <c r="M9508" t="n">
        <v>0</v>
      </c>
      <c r="N9508" t="n">
        <v>0</v>
      </c>
      <c r="O9508" t="n">
        <v>0</v>
      </c>
      <c r="P9508" t="n">
        <v>0</v>
      </c>
      <c r="Q9508" t="n">
        <v>0</v>
      </c>
      <c r="R9508" s="2" t="inlineStr"/>
    </row>
    <row r="9509" ht="15" customHeight="1">
      <c r="A9509" t="inlineStr">
        <is>
          <t>A 31313-2025</t>
        </is>
      </c>
      <c r="B9509" s="1" t="n">
        <v>45833.39784722222</v>
      </c>
      <c r="C9509" s="1" t="n">
        <v>45971</v>
      </c>
      <c r="D9509" t="inlineStr">
        <is>
          <t>VÄSTERBOTTENS LÄN</t>
        </is>
      </c>
      <c r="E9509" t="inlineStr">
        <is>
          <t>ÅSELE</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41181-2024</t>
        </is>
      </c>
      <c r="B9510" s="1" t="n">
        <v>45559.49487268519</v>
      </c>
      <c r="C9510" s="1" t="n">
        <v>45971</v>
      </c>
      <c r="D9510" t="inlineStr">
        <is>
          <t>VÄSTERBOTTENS LÄN</t>
        </is>
      </c>
      <c r="E9510" t="inlineStr">
        <is>
          <t>VINDELN</t>
        </is>
      </c>
      <c r="F9510" t="inlineStr">
        <is>
          <t>Sveaskog</t>
        </is>
      </c>
      <c r="G9510" t="n">
        <v>14.7</v>
      </c>
      <c r="H9510" t="n">
        <v>0</v>
      </c>
      <c r="I9510" t="n">
        <v>0</v>
      </c>
      <c r="J9510" t="n">
        <v>0</v>
      </c>
      <c r="K9510" t="n">
        <v>0</v>
      </c>
      <c r="L9510" t="n">
        <v>0</v>
      </c>
      <c r="M9510" t="n">
        <v>0</v>
      </c>
      <c r="N9510" t="n">
        <v>0</v>
      </c>
      <c r="O9510" t="n">
        <v>0</v>
      </c>
      <c r="P9510" t="n">
        <v>0</v>
      </c>
      <c r="Q9510" t="n">
        <v>0</v>
      </c>
      <c r="R9510" s="2" t="inlineStr"/>
    </row>
    <row r="9511" ht="15" customHeight="1">
      <c r="A9511" t="inlineStr">
        <is>
          <t>A 59031-2024</t>
        </is>
      </c>
      <c r="B9511" s="1" t="n">
        <v>45636</v>
      </c>
      <c r="C9511" s="1" t="n">
        <v>45971</v>
      </c>
      <c r="D9511" t="inlineStr">
        <is>
          <t>VÄSTERBOTTENS LÄN</t>
        </is>
      </c>
      <c r="E9511" t="inlineStr">
        <is>
          <t>VILHELMINA</t>
        </is>
      </c>
      <c r="G9511" t="n">
        <v>40</v>
      </c>
      <c r="H9511" t="n">
        <v>0</v>
      </c>
      <c r="I9511" t="n">
        <v>0</v>
      </c>
      <c r="J9511" t="n">
        <v>0</v>
      </c>
      <c r="K9511" t="n">
        <v>0</v>
      </c>
      <c r="L9511" t="n">
        <v>0</v>
      </c>
      <c r="M9511" t="n">
        <v>0</v>
      </c>
      <c r="N9511" t="n">
        <v>0</v>
      </c>
      <c r="O9511" t="n">
        <v>0</v>
      </c>
      <c r="P9511" t="n">
        <v>0</v>
      </c>
      <c r="Q9511" t="n">
        <v>0</v>
      </c>
      <c r="R9511" s="2" t="inlineStr"/>
    </row>
    <row r="9512" ht="15" customHeight="1">
      <c r="A9512" t="inlineStr">
        <is>
          <t>A 44050-2025</t>
        </is>
      </c>
      <c r="B9512" s="1" t="n">
        <v>45915.50104166667</v>
      </c>
      <c r="C9512" s="1" t="n">
        <v>45971</v>
      </c>
      <c r="D9512" t="inlineStr">
        <is>
          <t>VÄSTERBOTTENS LÄN</t>
        </is>
      </c>
      <c r="E9512" t="inlineStr">
        <is>
          <t>VINDELN</t>
        </is>
      </c>
      <c r="F9512" t="inlineStr">
        <is>
          <t>Sveaskog</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25346-2024</t>
        </is>
      </c>
      <c r="B9513" s="1" t="n">
        <v>45462</v>
      </c>
      <c r="C9513" s="1" t="n">
        <v>45971</v>
      </c>
      <c r="D9513" t="inlineStr">
        <is>
          <t>VÄSTERBOTTENS LÄN</t>
        </is>
      </c>
      <c r="E9513" t="inlineStr">
        <is>
          <t>UMEÅ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25399-2024</t>
        </is>
      </c>
      <c r="B9514" s="1" t="n">
        <v>45463</v>
      </c>
      <c r="C9514" s="1" t="n">
        <v>45971</v>
      </c>
      <c r="D9514" t="inlineStr">
        <is>
          <t>VÄSTERBOTTENS LÄN</t>
        </is>
      </c>
      <c r="E9514" t="inlineStr">
        <is>
          <t>VINDELN</t>
        </is>
      </c>
      <c r="F9514" t="inlineStr">
        <is>
          <t>Sveaskog</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17384-2024</t>
        </is>
      </c>
      <c r="B9515" s="1" t="n">
        <v>45414</v>
      </c>
      <c r="C9515" s="1" t="n">
        <v>45971</v>
      </c>
      <c r="D9515" t="inlineStr">
        <is>
          <t>VÄSTERBOTTENS LÄN</t>
        </is>
      </c>
      <c r="E9515" t="inlineStr">
        <is>
          <t>SORSELE</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52746-2025</t>
        </is>
      </c>
      <c r="B9516" s="1" t="n">
        <v>45957.38414351852</v>
      </c>
      <c r="C9516" s="1" t="n">
        <v>45971</v>
      </c>
      <c r="D9516" t="inlineStr">
        <is>
          <t>VÄSTERBOTTENS LÄN</t>
        </is>
      </c>
      <c r="E9516" t="inlineStr">
        <is>
          <t>ROBERTSFORS</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52950-2025</t>
        </is>
      </c>
      <c r="B9517" s="1" t="n">
        <v>45957.65315972222</v>
      </c>
      <c r="C9517" s="1" t="n">
        <v>45971</v>
      </c>
      <c r="D9517" t="inlineStr">
        <is>
          <t>VÄSTERBOTTENS LÄN</t>
        </is>
      </c>
      <c r="E9517" t="inlineStr">
        <is>
          <t>LYCKSELE</t>
        </is>
      </c>
      <c r="G9517" t="n">
        <v>9.300000000000001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56627-2024</t>
        </is>
      </c>
      <c r="B9518" s="1" t="n">
        <v>45625</v>
      </c>
      <c r="C9518" s="1" t="n">
        <v>45971</v>
      </c>
      <c r="D9518" t="inlineStr">
        <is>
          <t>VÄSTERBOTTENS LÄN</t>
        </is>
      </c>
      <c r="E9518" t="inlineStr">
        <is>
          <t>VILHELMINA</t>
        </is>
      </c>
      <c r="F9518" t="inlineStr">
        <is>
          <t>Allmännings- och besparingsskogar</t>
        </is>
      </c>
      <c r="G9518" t="n">
        <v>21.5</v>
      </c>
      <c r="H9518" t="n">
        <v>0</v>
      </c>
      <c r="I9518" t="n">
        <v>0</v>
      </c>
      <c r="J9518" t="n">
        <v>0</v>
      </c>
      <c r="K9518" t="n">
        <v>0</v>
      </c>
      <c r="L9518" t="n">
        <v>0</v>
      </c>
      <c r="M9518" t="n">
        <v>0</v>
      </c>
      <c r="N9518" t="n">
        <v>0</v>
      </c>
      <c r="O9518" t="n">
        <v>0</v>
      </c>
      <c r="P9518" t="n">
        <v>0</v>
      </c>
      <c r="Q9518" t="n">
        <v>0</v>
      </c>
      <c r="R9518" s="2" t="inlineStr"/>
    </row>
    <row r="9519" ht="15" customHeight="1">
      <c r="A9519" t="inlineStr">
        <is>
          <t>A 44357-2025</t>
        </is>
      </c>
      <c r="B9519" s="1" t="n">
        <v>45916.44855324074</v>
      </c>
      <c r="C9519" s="1" t="n">
        <v>45971</v>
      </c>
      <c r="D9519" t="inlineStr">
        <is>
          <t>VÄSTERBOTTENS LÄN</t>
        </is>
      </c>
      <c r="E9519" t="inlineStr">
        <is>
          <t>DOROTEA</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49103-2025</t>
        </is>
      </c>
      <c r="B9520" s="1" t="n">
        <v>45937</v>
      </c>
      <c r="C9520" s="1" t="n">
        <v>45971</v>
      </c>
      <c r="D9520" t="inlineStr">
        <is>
          <t>VÄSTERBOTTENS LÄN</t>
        </is>
      </c>
      <c r="E9520" t="inlineStr">
        <is>
          <t>VILHELMINA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44063-2025</t>
        </is>
      </c>
      <c r="B9521" s="1" t="n">
        <v>45915.53975694445</v>
      </c>
      <c r="C9521" s="1" t="n">
        <v>45971</v>
      </c>
      <c r="D9521" t="inlineStr">
        <is>
          <t>VÄSTERBOTTENS LÄN</t>
        </is>
      </c>
      <c r="E9521" t="inlineStr">
        <is>
          <t>SKELLEFTEÅ</t>
        </is>
      </c>
      <c r="F9521" t="inlineStr">
        <is>
          <t>Sveaskog</t>
        </is>
      </c>
      <c r="G9521" t="n">
        <v>16.1</v>
      </c>
      <c r="H9521" t="n">
        <v>0</v>
      </c>
      <c r="I9521" t="n">
        <v>0</v>
      </c>
      <c r="J9521" t="n">
        <v>0</v>
      </c>
      <c r="K9521" t="n">
        <v>0</v>
      </c>
      <c r="L9521" t="n">
        <v>0</v>
      </c>
      <c r="M9521" t="n">
        <v>0</v>
      </c>
      <c r="N9521" t="n">
        <v>0</v>
      </c>
      <c r="O9521" t="n">
        <v>0</v>
      </c>
      <c r="P9521" t="n">
        <v>0</v>
      </c>
      <c r="Q9521" t="n">
        <v>0</v>
      </c>
      <c r="R9521" s="2" t="inlineStr"/>
    </row>
    <row r="9522" ht="15" customHeight="1">
      <c r="A9522" t="inlineStr">
        <is>
          <t>A 42208-2022</t>
        </is>
      </c>
      <c r="B9522" s="1" t="n">
        <v>44830</v>
      </c>
      <c r="C9522" s="1" t="n">
        <v>45971</v>
      </c>
      <c r="D9522" t="inlineStr">
        <is>
          <t>VÄSTERBOTTENS LÄN</t>
        </is>
      </c>
      <c r="E9522" t="inlineStr">
        <is>
          <t>LYCKSELE</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44102-2025</t>
        </is>
      </c>
      <c r="B9523" s="1" t="n">
        <v>45915</v>
      </c>
      <c r="C9523" s="1" t="n">
        <v>45971</v>
      </c>
      <c r="D9523" t="inlineStr">
        <is>
          <t>VÄSTERBOTTENS LÄN</t>
        </is>
      </c>
      <c r="E9523" t="inlineStr">
        <is>
          <t>STORUMAN</t>
        </is>
      </c>
      <c r="F9523" t="inlineStr">
        <is>
          <t>Allmännings- och besparingsskogar</t>
        </is>
      </c>
      <c r="G9523" t="n">
        <v>29.7</v>
      </c>
      <c r="H9523" t="n">
        <v>0</v>
      </c>
      <c r="I9523" t="n">
        <v>0</v>
      </c>
      <c r="J9523" t="n">
        <v>0</v>
      </c>
      <c r="K9523" t="n">
        <v>0</v>
      </c>
      <c r="L9523" t="n">
        <v>0</v>
      </c>
      <c r="M9523" t="n">
        <v>0</v>
      </c>
      <c r="N9523" t="n">
        <v>0</v>
      </c>
      <c r="O9523" t="n">
        <v>0</v>
      </c>
      <c r="P9523" t="n">
        <v>0</v>
      </c>
      <c r="Q9523" t="n">
        <v>0</v>
      </c>
      <c r="R9523" s="2" t="inlineStr"/>
    </row>
    <row r="9524" ht="15" customHeight="1">
      <c r="A9524" t="inlineStr">
        <is>
          <t>A 43637-2023</t>
        </is>
      </c>
      <c r="B9524" s="1" t="n">
        <v>45186.51590277778</v>
      </c>
      <c r="C9524" s="1" t="n">
        <v>45971</v>
      </c>
      <c r="D9524" t="inlineStr">
        <is>
          <t>VÄSTERBOTTENS LÄN</t>
        </is>
      </c>
      <c r="E9524" t="inlineStr">
        <is>
          <t>VILHELMINA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31912-2025</t>
        </is>
      </c>
      <c r="B9525" s="1" t="n">
        <v>45834.70775462963</v>
      </c>
      <c r="C9525" s="1" t="n">
        <v>45971</v>
      </c>
      <c r="D9525" t="inlineStr">
        <is>
          <t>VÄSTERBOTTENS LÄN</t>
        </is>
      </c>
      <c r="E9525" t="inlineStr">
        <is>
          <t>ROBERTSFORS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31251-2025</t>
        </is>
      </c>
      <c r="B9526" s="1" t="n">
        <v>45832.98082175926</v>
      </c>
      <c r="C9526" s="1" t="n">
        <v>45971</v>
      </c>
      <c r="D9526" t="inlineStr">
        <is>
          <t>VÄSTERBOTTENS LÄN</t>
        </is>
      </c>
      <c r="E9526" t="inlineStr">
        <is>
          <t>NORDMALING</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31257-2025</t>
        </is>
      </c>
      <c r="B9527" s="1" t="n">
        <v>45833.32091435185</v>
      </c>
      <c r="C9527" s="1" t="n">
        <v>45971</v>
      </c>
      <c r="D9527" t="inlineStr">
        <is>
          <t>VÄSTERBOTTENS LÄN</t>
        </is>
      </c>
      <c r="E9527" t="inlineStr">
        <is>
          <t>SKELLEFTEÅ</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44140-2025</t>
        </is>
      </c>
      <c r="B9528" s="1" t="n">
        <v>45915</v>
      </c>
      <c r="C9528" s="1" t="n">
        <v>45971</v>
      </c>
      <c r="D9528" t="inlineStr">
        <is>
          <t>VÄSTERBOTTENS LÄN</t>
        </is>
      </c>
      <c r="E9528" t="inlineStr">
        <is>
          <t>STORUMAN</t>
        </is>
      </c>
      <c r="F9528" t="inlineStr">
        <is>
          <t>Allmännings- och besparingsskogar</t>
        </is>
      </c>
      <c r="G9528" t="n">
        <v>16.2</v>
      </c>
      <c r="H9528" t="n">
        <v>0</v>
      </c>
      <c r="I9528" t="n">
        <v>0</v>
      </c>
      <c r="J9528" t="n">
        <v>0</v>
      </c>
      <c r="K9528" t="n">
        <v>0</v>
      </c>
      <c r="L9528" t="n">
        <v>0</v>
      </c>
      <c r="M9528" t="n">
        <v>0</v>
      </c>
      <c r="N9528" t="n">
        <v>0</v>
      </c>
      <c r="O9528" t="n">
        <v>0</v>
      </c>
      <c r="P9528" t="n">
        <v>0</v>
      </c>
      <c r="Q9528" t="n">
        <v>0</v>
      </c>
      <c r="R9528" s="2" t="inlineStr"/>
    </row>
    <row r="9529" ht="15" customHeight="1">
      <c r="A9529" t="inlineStr">
        <is>
          <t>A 44147-2025</t>
        </is>
      </c>
      <c r="B9529" s="1" t="n">
        <v>45915.59162037037</v>
      </c>
      <c r="C9529" s="1" t="n">
        <v>45971</v>
      </c>
      <c r="D9529" t="inlineStr">
        <is>
          <t>VÄSTERBOTTENS LÄN</t>
        </is>
      </c>
      <c r="E9529" t="inlineStr">
        <is>
          <t>VINDELN</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44194-2025</t>
        </is>
      </c>
      <c r="B9530" s="1" t="n">
        <v>45915.61606481481</v>
      </c>
      <c r="C9530" s="1" t="n">
        <v>45971</v>
      </c>
      <c r="D9530" t="inlineStr">
        <is>
          <t>VÄSTERBOTTENS LÄN</t>
        </is>
      </c>
      <c r="E9530" t="inlineStr">
        <is>
          <t>DOROTEA</t>
        </is>
      </c>
      <c r="F9530" t="inlineStr">
        <is>
          <t>SCA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31287-2025</t>
        </is>
      </c>
      <c r="B9531" s="1" t="n">
        <v>45833.35861111111</v>
      </c>
      <c r="C9531" s="1" t="n">
        <v>45971</v>
      </c>
      <c r="D9531" t="inlineStr">
        <is>
          <t>VÄSTERBOTTENS LÄN</t>
        </is>
      </c>
      <c r="E9531" t="inlineStr">
        <is>
          <t>ROBERTSFORS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53023-2025</t>
        </is>
      </c>
      <c r="B9532" s="1" t="n">
        <v>45958.3203125</v>
      </c>
      <c r="C9532" s="1" t="n">
        <v>45971</v>
      </c>
      <c r="D9532" t="inlineStr">
        <is>
          <t>VÄSTERBOTTENS LÄN</t>
        </is>
      </c>
      <c r="E9532" t="inlineStr">
        <is>
          <t>SKELLEFTEÅ</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31583-2025</t>
        </is>
      </c>
      <c r="B9533" s="1" t="n">
        <v>45833.68674768518</v>
      </c>
      <c r="C9533" s="1" t="n">
        <v>45971</v>
      </c>
      <c r="D9533" t="inlineStr">
        <is>
          <t>VÄSTERBOTTENS LÄN</t>
        </is>
      </c>
      <c r="E9533" t="inlineStr">
        <is>
          <t>NORSJÖ</t>
        </is>
      </c>
      <c r="F9533" t="inlineStr">
        <is>
          <t>Holmen skog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31724-2025</t>
        </is>
      </c>
      <c r="B9534" s="1" t="n">
        <v>45834</v>
      </c>
      <c r="C9534" s="1" t="n">
        <v>45971</v>
      </c>
      <c r="D9534" t="inlineStr">
        <is>
          <t>VÄSTERBOTTENS LÄN</t>
        </is>
      </c>
      <c r="E9534" t="inlineStr">
        <is>
          <t>VILHELMINA</t>
        </is>
      </c>
      <c r="G9534" t="n">
        <v>19.7</v>
      </c>
      <c r="H9534" t="n">
        <v>0</v>
      </c>
      <c r="I9534" t="n">
        <v>0</v>
      </c>
      <c r="J9534" t="n">
        <v>0</v>
      </c>
      <c r="K9534" t="n">
        <v>0</v>
      </c>
      <c r="L9534" t="n">
        <v>0</v>
      </c>
      <c r="M9534" t="n">
        <v>0</v>
      </c>
      <c r="N9534" t="n">
        <v>0</v>
      </c>
      <c r="O9534" t="n">
        <v>0</v>
      </c>
      <c r="P9534" t="n">
        <v>0</v>
      </c>
      <c r="Q9534" t="n">
        <v>0</v>
      </c>
      <c r="R9534" s="2" t="inlineStr"/>
    </row>
    <row r="9535" ht="15" customHeight="1">
      <c r="A9535" t="inlineStr">
        <is>
          <t>A 31727-2025</t>
        </is>
      </c>
      <c r="B9535" s="1" t="n">
        <v>45834.46859953704</v>
      </c>
      <c r="C9535" s="1" t="n">
        <v>45971</v>
      </c>
      <c r="D9535" t="inlineStr">
        <is>
          <t>VÄSTERBOTTENS LÄN</t>
        </is>
      </c>
      <c r="E9535" t="inlineStr">
        <is>
          <t>SKELLEFTEÅ</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31730-2025</t>
        </is>
      </c>
      <c r="B9536" s="1" t="n">
        <v>45834</v>
      </c>
      <c r="C9536" s="1" t="n">
        <v>45971</v>
      </c>
      <c r="D9536" t="inlineStr">
        <is>
          <t>VÄSTERBOTTENS LÄN</t>
        </is>
      </c>
      <c r="E9536" t="inlineStr">
        <is>
          <t>VILHELMINA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44267-2025</t>
        </is>
      </c>
      <c r="B9537" s="1" t="n">
        <v>45916.3115625</v>
      </c>
      <c r="C9537" s="1" t="n">
        <v>45971</v>
      </c>
      <c r="D9537" t="inlineStr">
        <is>
          <t>VÄSTERBOTTENS LÄN</t>
        </is>
      </c>
      <c r="E9537" t="inlineStr">
        <is>
          <t>VINDELN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52589-2025</t>
        </is>
      </c>
      <c r="B9538" s="1" t="n">
        <v>45954</v>
      </c>
      <c r="C9538" s="1" t="n">
        <v>45971</v>
      </c>
      <c r="D9538" t="inlineStr">
        <is>
          <t>VÄSTERBOTTENS LÄN</t>
        </is>
      </c>
      <c r="E9538" t="inlineStr">
        <is>
          <t>NORSJÖ</t>
        </is>
      </c>
      <c r="F9538" t="inlineStr">
        <is>
          <t>Holmen skog AB</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44182-2025</t>
        </is>
      </c>
      <c r="B9539" s="1" t="n">
        <v>45915.60943287037</v>
      </c>
      <c r="C9539" s="1" t="n">
        <v>45971</v>
      </c>
      <c r="D9539" t="inlineStr">
        <is>
          <t>VÄSTERBOTTENS LÄN</t>
        </is>
      </c>
      <c r="E9539" t="inlineStr">
        <is>
          <t>SKELLEFTEÅ</t>
        </is>
      </c>
      <c r="F9539" t="inlineStr">
        <is>
          <t>Sveaskog</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44190-2025</t>
        </is>
      </c>
      <c r="B9540" s="1" t="n">
        <v>45915.61515046296</v>
      </c>
      <c r="C9540" s="1" t="n">
        <v>45971</v>
      </c>
      <c r="D9540" t="inlineStr">
        <is>
          <t>VÄSTERBOTTENS LÄN</t>
        </is>
      </c>
      <c r="E9540" t="inlineStr">
        <is>
          <t>DOROTEA</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34060-2023</t>
        </is>
      </c>
      <c r="B9541" s="1" t="n">
        <v>45135</v>
      </c>
      <c r="C9541" s="1" t="n">
        <v>45971</v>
      </c>
      <c r="D9541" t="inlineStr">
        <is>
          <t>VÄSTERBOTTENS LÄN</t>
        </is>
      </c>
      <c r="E9541" t="inlineStr">
        <is>
          <t>LYCKSELE</t>
        </is>
      </c>
      <c r="F9541" t="inlineStr">
        <is>
          <t>Holmen skog AB</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44395-2025</t>
        </is>
      </c>
      <c r="B9542" s="1" t="n">
        <v>45916.49549768519</v>
      </c>
      <c r="C9542" s="1" t="n">
        <v>45971</v>
      </c>
      <c r="D9542" t="inlineStr">
        <is>
          <t>VÄSTERBOTTENS LÄN</t>
        </is>
      </c>
      <c r="E9542" t="inlineStr">
        <is>
          <t>DOROTEA</t>
        </is>
      </c>
      <c r="F9542" t="inlineStr">
        <is>
          <t>Övriga statliga verk och myndigheter</t>
        </is>
      </c>
      <c r="G9542" t="n">
        <v>15.2</v>
      </c>
      <c r="H9542" t="n">
        <v>0</v>
      </c>
      <c r="I9542" t="n">
        <v>0</v>
      </c>
      <c r="J9542" t="n">
        <v>0</v>
      </c>
      <c r="K9542" t="n">
        <v>0</v>
      </c>
      <c r="L9542" t="n">
        <v>0</v>
      </c>
      <c r="M9542" t="n">
        <v>0</v>
      </c>
      <c r="N9542" t="n">
        <v>0</v>
      </c>
      <c r="O9542" t="n">
        <v>0</v>
      </c>
      <c r="P9542" t="n">
        <v>0</v>
      </c>
      <c r="Q9542" t="n">
        <v>0</v>
      </c>
      <c r="R9542" s="2" t="inlineStr"/>
    </row>
    <row r="9543" ht="15" customHeight="1">
      <c r="A9543" t="inlineStr">
        <is>
          <t>A 31271-2025</t>
        </is>
      </c>
      <c r="B9543" s="1" t="n">
        <v>45833.33717592592</v>
      </c>
      <c r="C9543" s="1" t="n">
        <v>45971</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31278-2025</t>
        </is>
      </c>
      <c r="B9544" s="1" t="n">
        <v>45833.34509259259</v>
      </c>
      <c r="C9544" s="1" t="n">
        <v>45971</v>
      </c>
      <c r="D9544" t="inlineStr">
        <is>
          <t>VÄSTERBOTTENS LÄN</t>
        </is>
      </c>
      <c r="E9544" t="inlineStr">
        <is>
          <t>ÅSELE</t>
        </is>
      </c>
      <c r="F9544" t="inlineStr">
        <is>
          <t>SCA</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44017-2025</t>
        </is>
      </c>
      <c r="B9545" s="1" t="n">
        <v>45915</v>
      </c>
      <c r="C9545" s="1" t="n">
        <v>45971</v>
      </c>
      <c r="D9545" t="inlineStr">
        <is>
          <t>VÄSTERBOTTENS LÄN</t>
        </is>
      </c>
      <c r="E9545" t="inlineStr">
        <is>
          <t>VILHELMINA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31501-2025</t>
        </is>
      </c>
      <c r="B9546" s="1" t="n">
        <v>45833.59173611111</v>
      </c>
      <c r="C9546" s="1" t="n">
        <v>45971</v>
      </c>
      <c r="D9546" t="inlineStr">
        <is>
          <t>VÄSTERBOTTENS LÄN</t>
        </is>
      </c>
      <c r="E9546" t="inlineStr">
        <is>
          <t>NORSJÖ</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52736-2025</t>
        </is>
      </c>
      <c r="B9547" s="1" t="n">
        <v>45957.37329861111</v>
      </c>
      <c r="C9547" s="1" t="n">
        <v>45971</v>
      </c>
      <c r="D9547" t="inlineStr">
        <is>
          <t>VÄSTERBOTTENS LÄN</t>
        </is>
      </c>
      <c r="E9547" t="inlineStr">
        <is>
          <t>SKELLEFTEÅ</t>
        </is>
      </c>
      <c r="F9547" t="inlineStr">
        <is>
          <t>Holmen skog AB</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52722-2025</t>
        </is>
      </c>
      <c r="B9548" s="1" t="n">
        <v>45957.3443287037</v>
      </c>
      <c r="C9548" s="1" t="n">
        <v>45971</v>
      </c>
      <c r="D9548" t="inlineStr">
        <is>
          <t>VÄSTERBOTTENS LÄN</t>
        </is>
      </c>
      <c r="E9548" t="inlineStr">
        <is>
          <t>NORSJÖ</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48206-2024</t>
        </is>
      </c>
      <c r="B9549" s="1" t="n">
        <v>45590</v>
      </c>
      <c r="C9549" s="1" t="n">
        <v>45971</v>
      </c>
      <c r="D9549" t="inlineStr">
        <is>
          <t>VÄSTERBOTTENS LÄN</t>
        </is>
      </c>
      <c r="E9549" t="inlineStr">
        <is>
          <t>ÅSELE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44166-2025</t>
        </is>
      </c>
      <c r="B9550" s="1" t="n">
        <v>45915</v>
      </c>
      <c r="C9550" s="1" t="n">
        <v>45971</v>
      </c>
      <c r="D9550" t="inlineStr">
        <is>
          <t>VÄSTERBOTTENS LÄN</t>
        </is>
      </c>
      <c r="E9550" t="inlineStr">
        <is>
          <t>STORUMAN</t>
        </is>
      </c>
      <c r="F9550" t="inlineStr">
        <is>
          <t>Allmännings- och besparingsskogar</t>
        </is>
      </c>
      <c r="G9550" t="n">
        <v>36.3</v>
      </c>
      <c r="H9550" t="n">
        <v>0</v>
      </c>
      <c r="I9550" t="n">
        <v>0</v>
      </c>
      <c r="J9550" t="n">
        <v>0</v>
      </c>
      <c r="K9550" t="n">
        <v>0</v>
      </c>
      <c r="L9550" t="n">
        <v>0</v>
      </c>
      <c r="M9550" t="n">
        <v>0</v>
      </c>
      <c r="N9550" t="n">
        <v>0</v>
      </c>
      <c r="O9550" t="n">
        <v>0</v>
      </c>
      <c r="P9550" t="n">
        <v>0</v>
      </c>
      <c r="Q9550" t="n">
        <v>0</v>
      </c>
      <c r="R9550" s="2" t="inlineStr"/>
    </row>
    <row r="9551" ht="15" customHeight="1">
      <c r="A9551" t="inlineStr">
        <is>
          <t>A 44168-2025</t>
        </is>
      </c>
      <c r="B9551" s="1" t="n">
        <v>45915.59853009259</v>
      </c>
      <c r="C9551" s="1" t="n">
        <v>45971</v>
      </c>
      <c r="D9551" t="inlineStr">
        <is>
          <t>VÄSTERBOTTENS LÄN</t>
        </is>
      </c>
      <c r="E9551" t="inlineStr">
        <is>
          <t>UMEÅ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17365-2024</t>
        </is>
      </c>
      <c r="B9552" s="1" t="n">
        <v>45414</v>
      </c>
      <c r="C9552" s="1" t="n">
        <v>45971</v>
      </c>
      <c r="D9552" t="inlineStr">
        <is>
          <t>VÄSTERBOTTENS LÄN</t>
        </is>
      </c>
      <c r="E9552" t="inlineStr">
        <is>
          <t>SORSELE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31897-2025</t>
        </is>
      </c>
      <c r="B9553" s="1" t="n">
        <v>45834.67758101852</v>
      </c>
      <c r="C9553" s="1" t="n">
        <v>45971</v>
      </c>
      <c r="D9553" t="inlineStr">
        <is>
          <t>VÄSTERBOTTENS LÄN</t>
        </is>
      </c>
      <c r="E9553" t="inlineStr">
        <is>
          <t>LYCKSELE</t>
        </is>
      </c>
      <c r="F9553" t="inlineStr">
        <is>
          <t>Holmen skog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52987-2025</t>
        </is>
      </c>
      <c r="B9554" s="1" t="n">
        <v>45957.70400462963</v>
      </c>
      <c r="C9554" s="1" t="n">
        <v>45971</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44339-2025</t>
        </is>
      </c>
      <c r="B9555" s="1" t="n">
        <v>45916.42990740741</v>
      </c>
      <c r="C9555" s="1" t="n">
        <v>45971</v>
      </c>
      <c r="D9555" t="inlineStr">
        <is>
          <t>VÄSTERBOTTENS LÄN</t>
        </is>
      </c>
      <c r="E9555" t="inlineStr">
        <is>
          <t>VINDELN</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44342-2025</t>
        </is>
      </c>
      <c r="B9556" s="1" t="n">
        <v>45916.43309027778</v>
      </c>
      <c r="C9556" s="1" t="n">
        <v>45971</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44346-2025</t>
        </is>
      </c>
      <c r="B9557" s="1" t="n">
        <v>45916.43722222222</v>
      </c>
      <c r="C9557" s="1" t="n">
        <v>45971</v>
      </c>
      <c r="D9557" t="inlineStr">
        <is>
          <t>VÄSTERBOTTENS LÄN</t>
        </is>
      </c>
      <c r="E9557" t="inlineStr">
        <is>
          <t>LYCKSELE</t>
        </is>
      </c>
      <c r="F9557" t="inlineStr">
        <is>
          <t>Sveaskog</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17173-2025</t>
        </is>
      </c>
      <c r="B9558" s="1" t="n">
        <v>45756.37224537037</v>
      </c>
      <c r="C9558" s="1" t="n">
        <v>45971</v>
      </c>
      <c r="D9558" t="inlineStr">
        <is>
          <t>VÄSTERBOTTENS LÄN</t>
        </is>
      </c>
      <c r="E9558" t="inlineStr">
        <is>
          <t>SKELLEFTEÅ</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40438-2023</t>
        </is>
      </c>
      <c r="B9559" s="1" t="n">
        <v>45169.94112268519</v>
      </c>
      <c r="C9559" s="1" t="n">
        <v>45971</v>
      </c>
      <c r="D9559" t="inlineStr">
        <is>
          <t>VÄSTERBOTTENS LÄN</t>
        </is>
      </c>
      <c r="E9559" t="inlineStr">
        <is>
          <t>DOROTEA</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39810-2021</t>
        </is>
      </c>
      <c r="B9560" s="1" t="n">
        <v>44417</v>
      </c>
      <c r="C9560" s="1" t="n">
        <v>45971</v>
      </c>
      <c r="D9560" t="inlineStr">
        <is>
          <t>VÄSTERBOTTENS LÄN</t>
        </is>
      </c>
      <c r="E9560" t="inlineStr">
        <is>
          <t>STORUMAN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52706-2025</t>
        </is>
      </c>
      <c r="B9561" s="1" t="n">
        <v>45957.28523148148</v>
      </c>
      <c r="C9561" s="1" t="n">
        <v>45971</v>
      </c>
      <c r="D9561" t="inlineStr">
        <is>
          <t>VÄSTERBOTTENS LÄN</t>
        </is>
      </c>
      <c r="E9561" t="inlineStr">
        <is>
          <t>UMEÅ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31512-2025</t>
        </is>
      </c>
      <c r="B9562" s="1" t="n">
        <v>45833.5987962963</v>
      </c>
      <c r="C9562" s="1" t="n">
        <v>45971</v>
      </c>
      <c r="D9562" t="inlineStr">
        <is>
          <t>VÄSTERBOTTENS LÄN</t>
        </is>
      </c>
      <c r="E9562" t="inlineStr">
        <is>
          <t>NORSJÖ</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59771-2023</t>
        </is>
      </c>
      <c r="B9563" s="1" t="n">
        <v>45257</v>
      </c>
      <c r="C9563" s="1" t="n">
        <v>45971</v>
      </c>
      <c r="D9563" t="inlineStr">
        <is>
          <t>VÄSTERBOTTENS LÄN</t>
        </is>
      </c>
      <c r="E9563" t="inlineStr">
        <is>
          <t>VÄNNÄS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44081-2025</t>
        </is>
      </c>
      <c r="B9564" s="1" t="n">
        <v>45915.55290509259</v>
      </c>
      <c r="C9564" s="1" t="n">
        <v>45971</v>
      </c>
      <c r="D9564" t="inlineStr">
        <is>
          <t>VÄSTERBOTTENS LÄN</t>
        </is>
      </c>
      <c r="E9564" t="inlineStr">
        <is>
          <t>UMEÅ</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44098-2025</t>
        </is>
      </c>
      <c r="B9565" s="1" t="n">
        <v>45915</v>
      </c>
      <c r="C9565" s="1" t="n">
        <v>45971</v>
      </c>
      <c r="D9565" t="inlineStr">
        <is>
          <t>VÄSTERBOTTENS LÄN</t>
        </is>
      </c>
      <c r="E9565" t="inlineStr">
        <is>
          <t>LYCKSELE</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44487-2025</t>
        </is>
      </c>
      <c r="B9566" s="1" t="n">
        <v>45916.65663194445</v>
      </c>
      <c r="C9566" s="1" t="n">
        <v>45971</v>
      </c>
      <c r="D9566" t="inlineStr">
        <is>
          <t>VÄSTERBOTTENS LÄN</t>
        </is>
      </c>
      <c r="E9566" t="inlineStr">
        <is>
          <t>BJURHOLM</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44488-2025</t>
        </is>
      </c>
      <c r="B9567" s="1" t="n">
        <v>45916.65673611111</v>
      </c>
      <c r="C9567" s="1" t="n">
        <v>45971</v>
      </c>
      <c r="D9567" t="inlineStr">
        <is>
          <t>VÄSTERBOTTENS LÄN</t>
        </is>
      </c>
      <c r="E9567" t="inlineStr">
        <is>
          <t>ÅSELE</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53256-2023</t>
        </is>
      </c>
      <c r="B9568" s="1" t="n">
        <v>45229</v>
      </c>
      <c r="C9568" s="1" t="n">
        <v>45971</v>
      </c>
      <c r="D9568" t="inlineStr">
        <is>
          <t>VÄSTERBOTTENS LÄN</t>
        </is>
      </c>
      <c r="E9568" t="inlineStr">
        <is>
          <t>MALÅ</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31307-2025</t>
        </is>
      </c>
      <c r="B9569" s="1" t="n">
        <v>45833</v>
      </c>
      <c r="C9569" s="1" t="n">
        <v>45971</v>
      </c>
      <c r="D9569" t="inlineStr">
        <is>
          <t>VÄSTERBOTTENS LÄN</t>
        </is>
      </c>
      <c r="E9569" t="inlineStr">
        <is>
          <t>VILHELMINA</t>
        </is>
      </c>
      <c r="G9569" t="n">
        <v>9.9</v>
      </c>
      <c r="H9569" t="n">
        <v>0</v>
      </c>
      <c r="I9569" t="n">
        <v>0</v>
      </c>
      <c r="J9569" t="n">
        <v>0</v>
      </c>
      <c r="K9569" t="n">
        <v>0</v>
      </c>
      <c r="L9569" t="n">
        <v>0</v>
      </c>
      <c r="M9569" t="n">
        <v>0</v>
      </c>
      <c r="N9569" t="n">
        <v>0</v>
      </c>
      <c r="O9569" t="n">
        <v>0</v>
      </c>
      <c r="P9569" t="n">
        <v>0</v>
      </c>
      <c r="Q9569" t="n">
        <v>0</v>
      </c>
      <c r="R9569" s="2" t="inlineStr"/>
    </row>
    <row r="9570" ht="15" customHeight="1">
      <c r="A9570" t="inlineStr">
        <is>
          <t>A 44106-2025</t>
        </is>
      </c>
      <c r="B9570" s="1" t="n">
        <v>45915.57119212963</v>
      </c>
      <c r="C9570" s="1" t="n">
        <v>45971</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48209-2024</t>
        </is>
      </c>
      <c r="B9571" s="1" t="n">
        <v>45590</v>
      </c>
      <c r="C9571" s="1" t="n">
        <v>45971</v>
      </c>
      <c r="D9571" t="inlineStr">
        <is>
          <t>VÄSTERBOTTENS LÄN</t>
        </is>
      </c>
      <c r="E9571" t="inlineStr">
        <is>
          <t>ÅSELE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48051-2024</t>
        </is>
      </c>
      <c r="B9572" s="1" t="n">
        <v>45589</v>
      </c>
      <c r="C9572" s="1" t="n">
        <v>45971</v>
      </c>
      <c r="D9572" t="inlineStr">
        <is>
          <t>VÄSTERBOTTENS LÄN</t>
        </is>
      </c>
      <c r="E9572" t="inlineStr">
        <is>
          <t>ÅSELE</t>
        </is>
      </c>
      <c r="F9572" t="inlineStr">
        <is>
          <t>SCA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44134-2025</t>
        </is>
      </c>
      <c r="B9573" s="1" t="n">
        <v>45915</v>
      </c>
      <c r="C9573" s="1" t="n">
        <v>45971</v>
      </c>
      <c r="D9573" t="inlineStr">
        <is>
          <t>VÄSTERBOTTENS LÄN</t>
        </is>
      </c>
      <c r="E9573" t="inlineStr">
        <is>
          <t>STORUMAN</t>
        </is>
      </c>
      <c r="F9573" t="inlineStr">
        <is>
          <t>Allmännings- och besparingsskogar</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29085-2022</t>
        </is>
      </c>
      <c r="B9574" s="1" t="n">
        <v>44749</v>
      </c>
      <c r="C9574" s="1" t="n">
        <v>45971</v>
      </c>
      <c r="D9574" t="inlineStr">
        <is>
          <t>VÄSTERBOTTENS LÄN</t>
        </is>
      </c>
      <c r="E9574" t="inlineStr">
        <is>
          <t>SKELLEFTEÅ</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44353-2025</t>
        </is>
      </c>
      <c r="B9575" s="1" t="n">
        <v>45916.44612268519</v>
      </c>
      <c r="C9575" s="1" t="n">
        <v>45971</v>
      </c>
      <c r="D9575" t="inlineStr">
        <is>
          <t>VÄSTERBOTTENS LÄN</t>
        </is>
      </c>
      <c r="E9575" t="inlineStr">
        <is>
          <t>SKELLEFTEÅ</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44087-2025</t>
        </is>
      </c>
      <c r="B9576" s="1" t="n">
        <v>45915</v>
      </c>
      <c r="C9576" s="1" t="n">
        <v>45971</v>
      </c>
      <c r="D9576" t="inlineStr">
        <is>
          <t>VÄSTERBOTTENS LÄN</t>
        </is>
      </c>
      <c r="E9576" t="inlineStr">
        <is>
          <t>LYCKSELE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43960-2025</t>
        </is>
      </c>
      <c r="B9577" s="1" t="n">
        <v>45915.39046296296</v>
      </c>
      <c r="C9577" s="1" t="n">
        <v>45971</v>
      </c>
      <c r="D9577" t="inlineStr">
        <is>
          <t>VÄSTERBOTTENS LÄN</t>
        </is>
      </c>
      <c r="E9577" t="inlineStr">
        <is>
          <t>ÅSELE</t>
        </is>
      </c>
      <c r="F9577" t="inlineStr">
        <is>
          <t>Kyrkan</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31743-2025</t>
        </is>
      </c>
      <c r="B9578" s="1" t="n">
        <v>45834.47671296296</v>
      </c>
      <c r="C9578" s="1" t="n">
        <v>45971</v>
      </c>
      <c r="D9578" t="inlineStr">
        <is>
          <t>VÄSTERBOTTENS LÄN</t>
        </is>
      </c>
      <c r="E9578" t="inlineStr">
        <is>
          <t>SKELLEFTEÅ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31532-2025</t>
        </is>
      </c>
      <c r="B9579" s="1" t="n">
        <v>45833.61688657408</v>
      </c>
      <c r="C9579" s="1" t="n">
        <v>45971</v>
      </c>
      <c r="D9579" t="inlineStr">
        <is>
          <t>VÄSTERBOTTENS LÄN</t>
        </is>
      </c>
      <c r="E9579" t="inlineStr">
        <is>
          <t>DOROTEA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56629-2024</t>
        </is>
      </c>
      <c r="B9580" s="1" t="n">
        <v>45625</v>
      </c>
      <c r="C9580" s="1" t="n">
        <v>45971</v>
      </c>
      <c r="D9580" t="inlineStr">
        <is>
          <t>VÄSTERBOTTENS LÄN</t>
        </is>
      </c>
      <c r="E9580" t="inlineStr">
        <is>
          <t>VILHELMINA</t>
        </is>
      </c>
      <c r="F9580" t="inlineStr">
        <is>
          <t>Allmännings- och besparingsskogar</t>
        </is>
      </c>
      <c r="G9580" t="n">
        <v>20</v>
      </c>
      <c r="H9580" t="n">
        <v>0</v>
      </c>
      <c r="I9580" t="n">
        <v>0</v>
      </c>
      <c r="J9580" t="n">
        <v>0</v>
      </c>
      <c r="K9580" t="n">
        <v>0</v>
      </c>
      <c r="L9580" t="n">
        <v>0</v>
      </c>
      <c r="M9580" t="n">
        <v>0</v>
      </c>
      <c r="N9580" t="n">
        <v>0</v>
      </c>
      <c r="O9580" t="n">
        <v>0</v>
      </c>
      <c r="P9580" t="n">
        <v>0</v>
      </c>
      <c r="Q9580" t="n">
        <v>0</v>
      </c>
      <c r="R9580" s="2" t="inlineStr"/>
    </row>
    <row r="9581" ht="15" customHeight="1">
      <c r="A9581" t="inlineStr">
        <is>
          <t>A 44070-2025</t>
        </is>
      </c>
      <c r="B9581" s="1" t="n">
        <v>45915.54528935185</v>
      </c>
      <c r="C9581" s="1" t="n">
        <v>45971</v>
      </c>
      <c r="D9581" t="inlineStr">
        <is>
          <t>VÄSTERBOTTENS LÄN</t>
        </is>
      </c>
      <c r="E9581" t="inlineStr">
        <is>
          <t>SKELLEFTEÅ</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53101-2025</t>
        </is>
      </c>
      <c r="B9582" s="1" t="n">
        <v>45958.42988425926</v>
      </c>
      <c r="C9582" s="1" t="n">
        <v>45971</v>
      </c>
      <c r="D9582" t="inlineStr">
        <is>
          <t>VÄSTERBOTTENS LÄN</t>
        </is>
      </c>
      <c r="E9582" t="inlineStr">
        <is>
          <t>LYCKSELE</t>
        </is>
      </c>
      <c r="F9582" t="inlineStr">
        <is>
          <t>Sveaskog</t>
        </is>
      </c>
      <c r="G9582" t="n">
        <v>10.6</v>
      </c>
      <c r="H9582" t="n">
        <v>0</v>
      </c>
      <c r="I9582" t="n">
        <v>0</v>
      </c>
      <c r="J9582" t="n">
        <v>0</v>
      </c>
      <c r="K9582" t="n">
        <v>0</v>
      </c>
      <c r="L9582" t="n">
        <v>0</v>
      </c>
      <c r="M9582" t="n">
        <v>0</v>
      </c>
      <c r="N9582" t="n">
        <v>0</v>
      </c>
      <c r="O9582" t="n">
        <v>0</v>
      </c>
      <c r="P9582" t="n">
        <v>0</v>
      </c>
      <c r="Q9582" t="n">
        <v>0</v>
      </c>
      <c r="R9582" s="2" t="inlineStr"/>
    </row>
    <row r="9583" ht="15" customHeight="1">
      <c r="A9583" t="inlineStr">
        <is>
          <t>A 28244-2021</t>
        </is>
      </c>
      <c r="B9583" s="1" t="n">
        <v>44355</v>
      </c>
      <c r="C9583" s="1" t="n">
        <v>45971</v>
      </c>
      <c r="D9583" t="inlineStr">
        <is>
          <t>VÄSTERBOTTENS LÄN</t>
        </is>
      </c>
      <c r="E9583" t="inlineStr">
        <is>
          <t>SKELLEFTEÅ</t>
        </is>
      </c>
      <c r="F9583" t="inlineStr">
        <is>
          <t>Holmen skog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41468-2022</t>
        </is>
      </c>
      <c r="B9584" s="1" t="n">
        <v>44826</v>
      </c>
      <c r="C9584" s="1" t="n">
        <v>45971</v>
      </c>
      <c r="D9584" t="inlineStr">
        <is>
          <t>VÄSTERBOTTENS LÄN</t>
        </is>
      </c>
      <c r="E9584" t="inlineStr">
        <is>
          <t>ÅSELE</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44726-2025</t>
        </is>
      </c>
      <c r="B9585" s="1" t="n">
        <v>45917.64392361111</v>
      </c>
      <c r="C9585" s="1" t="n">
        <v>45971</v>
      </c>
      <c r="D9585" t="inlineStr">
        <is>
          <t>VÄSTERBOTTENS LÄN</t>
        </is>
      </c>
      <c r="E9585" t="inlineStr">
        <is>
          <t>SKELLEFTEÅ</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44730-2025</t>
        </is>
      </c>
      <c r="B9586" s="1" t="n">
        <v>45917.65262731481</v>
      </c>
      <c r="C9586" s="1" t="n">
        <v>45971</v>
      </c>
      <c r="D9586" t="inlineStr">
        <is>
          <t>VÄSTERBOTTENS LÄN</t>
        </is>
      </c>
      <c r="E9586" t="inlineStr">
        <is>
          <t>UMEÅ</t>
        </is>
      </c>
      <c r="F9586" t="inlineStr">
        <is>
          <t>Sveaskog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44731-2025</t>
        </is>
      </c>
      <c r="B9587" s="1" t="n">
        <v>45917.653125</v>
      </c>
      <c r="C9587" s="1" t="n">
        <v>45971</v>
      </c>
      <c r="D9587" t="inlineStr">
        <is>
          <t>VÄSTERBOTTENS LÄN</t>
        </is>
      </c>
      <c r="E9587" t="inlineStr">
        <is>
          <t>ROBERTSFORS</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44637-2025</t>
        </is>
      </c>
      <c r="B9588" s="1" t="n">
        <v>45917.50743055555</v>
      </c>
      <c r="C9588" s="1" t="n">
        <v>45971</v>
      </c>
      <c r="D9588" t="inlineStr">
        <is>
          <t>VÄSTERBOTTENS LÄN</t>
        </is>
      </c>
      <c r="E9588" t="inlineStr">
        <is>
          <t>SKELLEFTEÅ</t>
        </is>
      </c>
      <c r="F9588" t="inlineStr">
        <is>
          <t>Holmen skog AB</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44639-2025</t>
        </is>
      </c>
      <c r="B9589" s="1" t="n">
        <v>45917.51179398148</v>
      </c>
      <c r="C9589" s="1" t="n">
        <v>45971</v>
      </c>
      <c r="D9589" t="inlineStr">
        <is>
          <t>VÄSTERBOTTENS LÄN</t>
        </is>
      </c>
      <c r="E9589" t="inlineStr">
        <is>
          <t>NORDMALING</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44921-2025</t>
        </is>
      </c>
      <c r="B9590" s="1" t="n">
        <v>45918.55270833334</v>
      </c>
      <c r="C9590" s="1" t="n">
        <v>45971</v>
      </c>
      <c r="D9590" t="inlineStr">
        <is>
          <t>VÄSTERBOTTENS LÄN</t>
        </is>
      </c>
      <c r="E9590" t="inlineStr">
        <is>
          <t>SKELLEFTEÅ</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16598-2025</t>
        </is>
      </c>
      <c r="B9591" s="1" t="n">
        <v>45753.47692129629</v>
      </c>
      <c r="C9591" s="1" t="n">
        <v>45971</v>
      </c>
      <c r="D9591" t="inlineStr">
        <is>
          <t>VÄSTERBOTTENS LÄN</t>
        </is>
      </c>
      <c r="E9591" t="inlineStr">
        <is>
          <t>VINDELN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16602-2025</t>
        </is>
      </c>
      <c r="B9592" s="1" t="n">
        <v>45753.53373842593</v>
      </c>
      <c r="C9592" s="1" t="n">
        <v>45971</v>
      </c>
      <c r="D9592" t="inlineStr">
        <is>
          <t>VÄSTERBOTTENS LÄN</t>
        </is>
      </c>
      <c r="E9592" t="inlineStr">
        <is>
          <t>SKELLEFTEÅ</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29185-2022</t>
        </is>
      </c>
      <c r="B9593" s="1" t="n">
        <v>44750.54626157408</v>
      </c>
      <c r="C9593" s="1" t="n">
        <v>45971</v>
      </c>
      <c r="D9593" t="inlineStr">
        <is>
          <t>VÄSTERBOTTENS LÄN</t>
        </is>
      </c>
      <c r="E9593" t="inlineStr">
        <is>
          <t>LYCKSELE</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31779-2025</t>
        </is>
      </c>
      <c r="B9594" s="1" t="n">
        <v>45834.52873842593</v>
      </c>
      <c r="C9594" s="1" t="n">
        <v>45971</v>
      </c>
      <c r="D9594" t="inlineStr">
        <is>
          <t>VÄSTERBOTTENS LÄN</t>
        </is>
      </c>
      <c r="E9594" t="inlineStr">
        <is>
          <t>SKELLEFTEÅ</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44920-2025</t>
        </is>
      </c>
      <c r="B9595" s="1" t="n">
        <v>45918.55259259259</v>
      </c>
      <c r="C9595" s="1" t="n">
        <v>45971</v>
      </c>
      <c r="D9595" t="inlineStr">
        <is>
          <t>VÄSTERBOTTENS LÄN</t>
        </is>
      </c>
      <c r="E9595" t="inlineStr">
        <is>
          <t>SKELLEFTEÅ</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31510-2025</t>
        </is>
      </c>
      <c r="B9596" s="1" t="n">
        <v>45833.59679398148</v>
      </c>
      <c r="C9596" s="1" t="n">
        <v>45971</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44838-2025</t>
        </is>
      </c>
      <c r="B9597" s="1" t="n">
        <v>45918.42427083333</v>
      </c>
      <c r="C9597" s="1" t="n">
        <v>45971</v>
      </c>
      <c r="D9597" t="inlineStr">
        <is>
          <t>VÄSTERBOTTENS LÄN</t>
        </is>
      </c>
      <c r="E9597" t="inlineStr">
        <is>
          <t>UMEÅ</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44908-2025</t>
        </is>
      </c>
      <c r="B9598" s="1" t="n">
        <v>45918.53197916667</v>
      </c>
      <c r="C9598" s="1" t="n">
        <v>45971</v>
      </c>
      <c r="D9598" t="inlineStr">
        <is>
          <t>VÄSTERBOTTENS LÄN</t>
        </is>
      </c>
      <c r="E9598" t="inlineStr">
        <is>
          <t>SKELLEFTEÅ</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31637-2025</t>
        </is>
      </c>
      <c r="B9599" s="1" t="n">
        <v>45834.33939814815</v>
      </c>
      <c r="C9599" s="1" t="n">
        <v>45971</v>
      </c>
      <c r="D9599" t="inlineStr">
        <is>
          <t>VÄSTERBOTTENS LÄN</t>
        </is>
      </c>
      <c r="E9599" t="inlineStr">
        <is>
          <t>BJURHOLM</t>
        </is>
      </c>
      <c r="F9599" t="inlineStr">
        <is>
          <t>Holmen skog AB</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44596-2025</t>
        </is>
      </c>
      <c r="B9600" s="1" t="n">
        <v>45917.42873842592</v>
      </c>
      <c r="C9600" s="1" t="n">
        <v>45971</v>
      </c>
      <c r="D9600" t="inlineStr">
        <is>
          <t>VÄSTERBOTTENS LÄN</t>
        </is>
      </c>
      <c r="E9600" t="inlineStr">
        <is>
          <t>LYCKSELE</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44626-2025</t>
        </is>
      </c>
      <c r="B9601" s="1" t="n">
        <v>45917</v>
      </c>
      <c r="C9601" s="1" t="n">
        <v>45971</v>
      </c>
      <c r="D9601" t="inlineStr">
        <is>
          <t>VÄSTERBOTTENS LÄN</t>
        </is>
      </c>
      <c r="E9601" t="inlineStr">
        <is>
          <t>VILHELMINA</t>
        </is>
      </c>
      <c r="G9601" t="n">
        <v>8.300000000000001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44636-2025</t>
        </is>
      </c>
      <c r="B9602" s="1" t="n">
        <v>45917.50638888889</v>
      </c>
      <c r="C9602" s="1" t="n">
        <v>45971</v>
      </c>
      <c r="D9602" t="inlineStr">
        <is>
          <t>VÄSTERBOTTENS LÄN</t>
        </is>
      </c>
      <c r="E9602" t="inlineStr">
        <is>
          <t>NORDMALING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31717-2025</t>
        </is>
      </c>
      <c r="B9603" s="1" t="n">
        <v>45834.46008101852</v>
      </c>
      <c r="C9603" s="1" t="n">
        <v>45971</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31733-2025</t>
        </is>
      </c>
      <c r="B9604" s="1" t="n">
        <v>45834.47035879629</v>
      </c>
      <c r="C9604" s="1" t="n">
        <v>45971</v>
      </c>
      <c r="D9604" t="inlineStr">
        <is>
          <t>VÄSTERBOTTENS LÄN</t>
        </is>
      </c>
      <c r="E9604" t="inlineStr">
        <is>
          <t>VILHELMINA</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31739-2025</t>
        </is>
      </c>
      <c r="B9605" s="1" t="n">
        <v>45834.47350694444</v>
      </c>
      <c r="C9605" s="1" t="n">
        <v>45971</v>
      </c>
      <c r="D9605" t="inlineStr">
        <is>
          <t>VÄSTERBOTTENS LÄN</t>
        </is>
      </c>
      <c r="E9605" t="inlineStr">
        <is>
          <t>SKELLEFTEÅ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31308-2025</t>
        </is>
      </c>
      <c r="B9606" s="1" t="n">
        <v>45833</v>
      </c>
      <c r="C9606" s="1" t="n">
        <v>45971</v>
      </c>
      <c r="D9606" t="inlineStr">
        <is>
          <t>VÄSTERBOTTENS LÄN</t>
        </is>
      </c>
      <c r="E9606" t="inlineStr">
        <is>
          <t>VILHELMINA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44824-2025</t>
        </is>
      </c>
      <c r="B9607" s="1" t="n">
        <v>45918.38581018519</v>
      </c>
      <c r="C9607" s="1" t="n">
        <v>45971</v>
      </c>
      <c r="D9607" t="inlineStr">
        <is>
          <t>VÄSTERBOTTENS LÄN</t>
        </is>
      </c>
      <c r="E9607" t="inlineStr">
        <is>
          <t>VINDELN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44909-2025</t>
        </is>
      </c>
      <c r="B9608" s="1" t="n">
        <v>45918.53211805555</v>
      </c>
      <c r="C9608" s="1" t="n">
        <v>45971</v>
      </c>
      <c r="D9608" t="inlineStr">
        <is>
          <t>VÄSTERBOTTENS LÄN</t>
        </is>
      </c>
      <c r="E9608" t="inlineStr">
        <is>
          <t>SKELLEFTEÅ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44910-2025</t>
        </is>
      </c>
      <c r="B9609" s="1" t="n">
        <v>45918.5321412037</v>
      </c>
      <c r="C9609" s="1" t="n">
        <v>45971</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59554-2022</t>
        </is>
      </c>
      <c r="B9610" s="1" t="n">
        <v>44900</v>
      </c>
      <c r="C9610" s="1" t="n">
        <v>45971</v>
      </c>
      <c r="D9610" t="inlineStr">
        <is>
          <t>VÄSTERBOTTENS LÄN</t>
        </is>
      </c>
      <c r="E9610" t="inlineStr">
        <is>
          <t>LYCKSELE</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31688-2025</t>
        </is>
      </c>
      <c r="B9611" s="1" t="n">
        <v>45834.40149305556</v>
      </c>
      <c r="C9611" s="1" t="n">
        <v>45971</v>
      </c>
      <c r="D9611" t="inlineStr">
        <is>
          <t>VÄSTERBOTTENS LÄN</t>
        </is>
      </c>
      <c r="E9611" t="inlineStr">
        <is>
          <t>SKELLEFTEÅ</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16471-2025</t>
        </is>
      </c>
      <c r="B9612" s="1" t="n">
        <v>45751.54825231482</v>
      </c>
      <c r="C9612" s="1" t="n">
        <v>45971</v>
      </c>
      <c r="D9612" t="inlineStr">
        <is>
          <t>VÄSTERBOTTENS LÄN</t>
        </is>
      </c>
      <c r="E9612" t="inlineStr">
        <is>
          <t>VÄNNÄS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44942-2025</t>
        </is>
      </c>
      <c r="B9613" s="1" t="n">
        <v>45918</v>
      </c>
      <c r="C9613" s="1" t="n">
        <v>45971</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10422-2025</t>
        </is>
      </c>
      <c r="B9614" s="1" t="n">
        <v>45720.64917824074</v>
      </c>
      <c r="C9614" s="1" t="n">
        <v>45971</v>
      </c>
      <c r="D9614" t="inlineStr">
        <is>
          <t>VÄSTERBOTTENS LÄN</t>
        </is>
      </c>
      <c r="E9614" t="inlineStr">
        <is>
          <t>UMEÅ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6489-2021</t>
        </is>
      </c>
      <c r="B9615" s="1" t="n">
        <v>44235</v>
      </c>
      <c r="C9615" s="1" t="n">
        <v>45971</v>
      </c>
      <c r="D9615" t="inlineStr">
        <is>
          <t>VÄSTERBOTTENS LÄN</t>
        </is>
      </c>
      <c r="E9615" t="inlineStr">
        <is>
          <t>DOROTEA</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18165-2024</t>
        </is>
      </c>
      <c r="B9616" s="1" t="n">
        <v>45420.62534722222</v>
      </c>
      <c r="C9616" s="1" t="n">
        <v>45971</v>
      </c>
      <c r="D9616" t="inlineStr">
        <is>
          <t>VÄSTERBOTTENS LÄN</t>
        </is>
      </c>
      <c r="E9616" t="inlineStr">
        <is>
          <t>NORSJÖ</t>
        </is>
      </c>
      <c r="F9616" t="inlineStr">
        <is>
          <t>Holmen skog AB</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16608-2024</t>
        </is>
      </c>
      <c r="B9617" s="1" t="n">
        <v>45408</v>
      </c>
      <c r="C9617" s="1" t="n">
        <v>45971</v>
      </c>
      <c r="D9617" t="inlineStr">
        <is>
          <t>VÄSTERBOTTENS LÄN</t>
        </is>
      </c>
      <c r="E9617" t="inlineStr">
        <is>
          <t>VILHELMINA</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31859-2025</t>
        </is>
      </c>
      <c r="B9618" s="1" t="n">
        <v>45834.6284375</v>
      </c>
      <c r="C9618" s="1" t="n">
        <v>45971</v>
      </c>
      <c r="D9618" t="inlineStr">
        <is>
          <t>VÄSTERBOTTENS LÄN</t>
        </is>
      </c>
      <c r="E9618" t="inlineStr">
        <is>
          <t>UMEÅ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53347-2025</t>
        </is>
      </c>
      <c r="B9619" s="1" t="n">
        <v>45959.43278935185</v>
      </c>
      <c r="C9619" s="1" t="n">
        <v>45971</v>
      </c>
      <c r="D9619" t="inlineStr">
        <is>
          <t>VÄSTERBOTTENS LÄN</t>
        </is>
      </c>
      <c r="E9619" t="inlineStr">
        <is>
          <t>SORSELE</t>
        </is>
      </c>
      <c r="F9619" t="inlineStr">
        <is>
          <t>Sveaskog</t>
        </is>
      </c>
      <c r="G9619" t="n">
        <v>57.3</v>
      </c>
      <c r="H9619" t="n">
        <v>0</v>
      </c>
      <c r="I9619" t="n">
        <v>0</v>
      </c>
      <c r="J9619" t="n">
        <v>0</v>
      </c>
      <c r="K9619" t="n">
        <v>0</v>
      </c>
      <c r="L9619" t="n">
        <v>0</v>
      </c>
      <c r="M9619" t="n">
        <v>0</v>
      </c>
      <c r="N9619" t="n">
        <v>0</v>
      </c>
      <c r="O9619" t="n">
        <v>0</v>
      </c>
      <c r="P9619" t="n">
        <v>0</v>
      </c>
      <c r="Q9619" t="n">
        <v>0</v>
      </c>
      <c r="R9619" s="2" t="inlineStr"/>
    </row>
    <row r="9620" ht="15" customHeight="1">
      <c r="A9620" t="inlineStr">
        <is>
          <t>A 31725-2025</t>
        </is>
      </c>
      <c r="B9620" s="1" t="n">
        <v>45834</v>
      </c>
      <c r="C9620" s="1" t="n">
        <v>45971</v>
      </c>
      <c r="D9620" t="inlineStr">
        <is>
          <t>VÄSTERBOTTENS LÄN</t>
        </is>
      </c>
      <c r="E9620" t="inlineStr">
        <is>
          <t>NORSJÖ</t>
        </is>
      </c>
      <c r="F9620" t="inlineStr">
        <is>
          <t>Sveaskog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50805-2023</t>
        </is>
      </c>
      <c r="B9621" s="1" t="n">
        <v>45211</v>
      </c>
      <c r="C9621" s="1" t="n">
        <v>45971</v>
      </c>
      <c r="D9621" t="inlineStr">
        <is>
          <t>VÄSTERBOTTENS LÄN</t>
        </is>
      </c>
      <c r="E9621" t="inlineStr">
        <is>
          <t>VINDELN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9159-2025</t>
        </is>
      </c>
      <c r="B9622" s="1" t="n">
        <v>45714.35774305555</v>
      </c>
      <c r="C9622" s="1" t="n">
        <v>45971</v>
      </c>
      <c r="D9622" t="inlineStr">
        <is>
          <t>VÄSTERBOTTENS LÄN</t>
        </is>
      </c>
      <c r="E9622" t="inlineStr">
        <is>
          <t>UMEÅ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60311-2022</t>
        </is>
      </c>
      <c r="B9623" s="1" t="n">
        <v>44910</v>
      </c>
      <c r="C9623" s="1" t="n">
        <v>45971</v>
      </c>
      <c r="D9623" t="inlineStr">
        <is>
          <t>VÄSTERBOTTENS LÄN</t>
        </is>
      </c>
      <c r="E9623" t="inlineStr">
        <is>
          <t>VINDELN</t>
        </is>
      </c>
      <c r="F9623" t="inlineStr">
        <is>
          <t>Sveaskog</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53415-2025</t>
        </is>
      </c>
      <c r="B9624" s="1" t="n">
        <v>45959.58013888889</v>
      </c>
      <c r="C9624" s="1" t="n">
        <v>45971</v>
      </c>
      <c r="D9624" t="inlineStr">
        <is>
          <t>VÄSTERBOTTENS LÄN</t>
        </is>
      </c>
      <c r="E9624" t="inlineStr">
        <is>
          <t>SKELLEFTEÅ</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53533-2025</t>
        </is>
      </c>
      <c r="B9625" s="1" t="n">
        <v>45960.36548611111</v>
      </c>
      <c r="C9625" s="1" t="n">
        <v>45971</v>
      </c>
      <c r="D9625" t="inlineStr">
        <is>
          <t>VÄSTERBOTTENS LÄN</t>
        </is>
      </c>
      <c r="E9625" t="inlineStr">
        <is>
          <t>SKELLEFTEÅ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31241-2025</t>
        </is>
      </c>
      <c r="B9626" s="1" t="n">
        <v>45832.86366898148</v>
      </c>
      <c r="C9626" s="1" t="n">
        <v>45971</v>
      </c>
      <c r="D9626" t="inlineStr">
        <is>
          <t>VÄSTERBOTTENS LÄN</t>
        </is>
      </c>
      <c r="E9626" t="inlineStr">
        <is>
          <t>UMEÅ</t>
        </is>
      </c>
      <c r="F9626" t="inlineStr">
        <is>
          <t>Holmen skog AB</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40930-2023</t>
        </is>
      </c>
      <c r="B9627" s="1" t="n">
        <v>45173.4409375</v>
      </c>
      <c r="C9627" s="1" t="n">
        <v>45971</v>
      </c>
      <c r="D9627" t="inlineStr">
        <is>
          <t>VÄSTERBOTTENS LÄN</t>
        </is>
      </c>
      <c r="E9627" t="inlineStr">
        <is>
          <t>LYCKSELE</t>
        </is>
      </c>
      <c r="F9627" t="inlineStr">
        <is>
          <t>Holmen skog AB</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53777-2025</t>
        </is>
      </c>
      <c r="B9628" s="1" t="n">
        <v>45960.69732638889</v>
      </c>
      <c r="C9628" s="1" t="n">
        <v>45971</v>
      </c>
      <c r="D9628" t="inlineStr">
        <is>
          <t>VÄSTERBOTTENS LÄN</t>
        </is>
      </c>
      <c r="E9628" t="inlineStr">
        <is>
          <t>NORDMALING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31799-2025</t>
        </is>
      </c>
      <c r="B9629" s="1" t="n">
        <v>45834.55252314815</v>
      </c>
      <c r="C9629" s="1" t="n">
        <v>45971</v>
      </c>
      <c r="D9629" t="inlineStr">
        <is>
          <t>VÄSTERBOTTENS LÄN</t>
        </is>
      </c>
      <c r="E9629" t="inlineStr">
        <is>
          <t>DOROTEA</t>
        </is>
      </c>
      <c r="F9629" t="inlineStr">
        <is>
          <t>SCA</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28567-2025</t>
        </is>
      </c>
      <c r="B9630" s="1" t="n">
        <v>45819</v>
      </c>
      <c r="C9630" s="1" t="n">
        <v>45971</v>
      </c>
      <c r="D9630" t="inlineStr">
        <is>
          <t>VÄSTERBOTTENS LÄN</t>
        </is>
      </c>
      <c r="E9630" t="inlineStr">
        <is>
          <t>SKELLEFTEÅ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53779-2025</t>
        </is>
      </c>
      <c r="B9631" s="1" t="n">
        <v>45960.69875</v>
      </c>
      <c r="C9631" s="1" t="n">
        <v>45971</v>
      </c>
      <c r="D9631" t="inlineStr">
        <is>
          <t>VÄSTERBOTTENS LÄN</t>
        </is>
      </c>
      <c r="E9631" t="inlineStr">
        <is>
          <t>ÅSELE</t>
        </is>
      </c>
      <c r="F9631" t="inlineStr">
        <is>
          <t>Holmen skog AB</t>
        </is>
      </c>
      <c r="G9631" t="n">
        <v>25.8</v>
      </c>
      <c r="H9631" t="n">
        <v>0</v>
      </c>
      <c r="I9631" t="n">
        <v>0</v>
      </c>
      <c r="J9631" t="n">
        <v>0</v>
      </c>
      <c r="K9631" t="n">
        <v>0</v>
      </c>
      <c r="L9631" t="n">
        <v>0</v>
      </c>
      <c r="M9631" t="n">
        <v>0</v>
      </c>
      <c r="N9631" t="n">
        <v>0</v>
      </c>
      <c r="O9631" t="n">
        <v>0</v>
      </c>
      <c r="P9631" t="n">
        <v>0</v>
      </c>
      <c r="Q9631" t="n">
        <v>0</v>
      </c>
      <c r="R9631" s="2" t="inlineStr"/>
    </row>
    <row r="9632" ht="15" customHeight="1">
      <c r="A9632" t="inlineStr">
        <is>
          <t>A 53794-2025</t>
        </is>
      </c>
      <c r="B9632" s="1" t="n">
        <v>45960.74474537037</v>
      </c>
      <c r="C9632" s="1" t="n">
        <v>45971</v>
      </c>
      <c r="D9632" t="inlineStr">
        <is>
          <t>VÄSTERBOTTENS LÄN</t>
        </is>
      </c>
      <c r="E9632" t="inlineStr">
        <is>
          <t>VINDELN</t>
        </is>
      </c>
      <c r="F9632" t="inlineStr">
        <is>
          <t>Holmen skog AB</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50029-2025</t>
        </is>
      </c>
      <c r="B9633" s="1" t="n">
        <v>45943.38599537037</v>
      </c>
      <c r="C9633" s="1" t="n">
        <v>45971</v>
      </c>
      <c r="D9633" t="inlineStr">
        <is>
          <t>VÄSTERBOTTENS LÄN</t>
        </is>
      </c>
      <c r="E9633" t="inlineStr">
        <is>
          <t>NORSJÖ</t>
        </is>
      </c>
      <c r="G9633" t="n">
        <v>25.3</v>
      </c>
      <c r="H9633" t="n">
        <v>0</v>
      </c>
      <c r="I9633" t="n">
        <v>0</v>
      </c>
      <c r="J9633" t="n">
        <v>0</v>
      </c>
      <c r="K9633" t="n">
        <v>0</v>
      </c>
      <c r="L9633" t="n">
        <v>0</v>
      </c>
      <c r="M9633" t="n">
        <v>0</v>
      </c>
      <c r="N9633" t="n">
        <v>0</v>
      </c>
      <c r="O9633" t="n">
        <v>0</v>
      </c>
      <c r="P9633" t="n">
        <v>0</v>
      </c>
      <c r="Q9633" t="n">
        <v>0</v>
      </c>
      <c r="R9633" s="2" t="inlineStr"/>
    </row>
    <row r="9634" ht="15" customHeight="1">
      <c r="A9634" t="inlineStr">
        <is>
          <t>A 32640-2025</t>
        </is>
      </c>
      <c r="B9634" s="1" t="n">
        <v>45838.65730324074</v>
      </c>
      <c r="C9634" s="1" t="n">
        <v>45971</v>
      </c>
      <c r="D9634" t="inlineStr">
        <is>
          <t>VÄSTERBOTTENS LÄN</t>
        </is>
      </c>
      <c r="E9634" t="inlineStr">
        <is>
          <t>SKELLEFTEÅ</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10145-2025</t>
        </is>
      </c>
      <c r="B9635" s="1" t="n">
        <v>45719.63577546296</v>
      </c>
      <c r="C9635" s="1" t="n">
        <v>45971</v>
      </c>
      <c r="D9635" t="inlineStr">
        <is>
          <t>VÄSTERBOTTENS LÄN</t>
        </is>
      </c>
      <c r="E9635" t="inlineStr">
        <is>
          <t>ROBERTSFORS</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54469-2023</t>
        </is>
      </c>
      <c r="B9636" s="1" t="n">
        <v>45226</v>
      </c>
      <c r="C9636" s="1" t="n">
        <v>45971</v>
      </c>
      <c r="D9636" t="inlineStr">
        <is>
          <t>VÄSTERBOTTENS LÄN</t>
        </is>
      </c>
      <c r="E9636" t="inlineStr">
        <is>
          <t>SKELLEFTEÅ</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43515-2022</t>
        </is>
      </c>
      <c r="B9637" s="1" t="n">
        <v>44837.3690162037</v>
      </c>
      <c r="C9637" s="1" t="n">
        <v>45971</v>
      </c>
      <c r="D9637" t="inlineStr">
        <is>
          <t>VÄSTERBOTTENS LÄN</t>
        </is>
      </c>
      <c r="E9637" t="inlineStr">
        <is>
          <t>SKELLEFTEÅ</t>
        </is>
      </c>
      <c r="F9637" t="inlineStr">
        <is>
          <t>Holmen skog AB</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31988-2025</t>
        </is>
      </c>
      <c r="B9638" s="1" t="n">
        <v>45835.363125</v>
      </c>
      <c r="C9638" s="1" t="n">
        <v>45971</v>
      </c>
      <c r="D9638" t="inlineStr">
        <is>
          <t>VÄSTERBOTTENS LÄN</t>
        </is>
      </c>
      <c r="E9638" t="inlineStr">
        <is>
          <t>SKELLEFTEÅ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32066-2025</t>
        </is>
      </c>
      <c r="B9639" s="1" t="n">
        <v>45835.44824074074</v>
      </c>
      <c r="C9639" s="1" t="n">
        <v>45971</v>
      </c>
      <c r="D9639" t="inlineStr">
        <is>
          <t>VÄSTERBOTTENS LÄN</t>
        </is>
      </c>
      <c r="E9639" t="inlineStr">
        <is>
          <t>SKELLEFTEÅ</t>
        </is>
      </c>
      <c r="F9639" t="inlineStr">
        <is>
          <t>Holmen skog AB</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32455-2025</t>
        </is>
      </c>
      <c r="B9640" s="1" t="n">
        <v>45838.40053240741</v>
      </c>
      <c r="C9640" s="1" t="n">
        <v>45971</v>
      </c>
      <c r="D9640" t="inlineStr">
        <is>
          <t>VÄSTERBOTTENS LÄN</t>
        </is>
      </c>
      <c r="E9640" t="inlineStr">
        <is>
          <t>NORSJÖ</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64920-2023</t>
        </is>
      </c>
      <c r="B9641" s="1" t="n">
        <v>45282.68806712963</v>
      </c>
      <c r="C9641" s="1" t="n">
        <v>45971</v>
      </c>
      <c r="D9641" t="inlineStr">
        <is>
          <t>VÄSTERBOTTENS LÄN</t>
        </is>
      </c>
      <c r="E9641" t="inlineStr">
        <is>
          <t>SKELLEFTEÅ</t>
        </is>
      </c>
      <c r="F9641" t="inlineStr">
        <is>
          <t>Sveaskog</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32158-2025</t>
        </is>
      </c>
      <c r="B9642" s="1" t="n">
        <v>45835.53893518518</v>
      </c>
      <c r="C9642" s="1" t="n">
        <v>45971</v>
      </c>
      <c r="D9642" t="inlineStr">
        <is>
          <t>VÄSTERBOTTENS LÄN</t>
        </is>
      </c>
      <c r="E9642" t="inlineStr">
        <is>
          <t>ROBERTSFORS</t>
        </is>
      </c>
      <c r="F9642" t="inlineStr">
        <is>
          <t>Holmen skog AB</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32198-2025</t>
        </is>
      </c>
      <c r="B9643" s="1" t="n">
        <v>45835.57682870371</v>
      </c>
      <c r="C9643" s="1" t="n">
        <v>45971</v>
      </c>
      <c r="D9643" t="inlineStr">
        <is>
          <t>VÄSTERBOTTENS LÄN</t>
        </is>
      </c>
      <c r="E9643" t="inlineStr">
        <is>
          <t>VINDELN</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31938-2025</t>
        </is>
      </c>
      <c r="B9644" s="1" t="n">
        <v>45835.29355324074</v>
      </c>
      <c r="C9644" s="1" t="n">
        <v>45971</v>
      </c>
      <c r="D9644" t="inlineStr">
        <is>
          <t>VÄSTERBOTTENS LÄN</t>
        </is>
      </c>
      <c r="E9644" t="inlineStr">
        <is>
          <t>SKELLEFTEÅ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31970-2025</t>
        </is>
      </c>
      <c r="B9645" s="1" t="n">
        <v>45835.34858796297</v>
      </c>
      <c r="C9645" s="1" t="n">
        <v>45971</v>
      </c>
      <c r="D9645" t="inlineStr">
        <is>
          <t>VÄSTERBOTTENS LÄN</t>
        </is>
      </c>
      <c r="E9645" t="inlineStr">
        <is>
          <t>LYCKSELE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60391-2024</t>
        </is>
      </c>
      <c r="B9646" s="1" t="n">
        <v>45643.49018518518</v>
      </c>
      <c r="C9646" s="1" t="n">
        <v>45971</v>
      </c>
      <c r="D9646" t="inlineStr">
        <is>
          <t>VÄSTERBOTTENS LÄN</t>
        </is>
      </c>
      <c r="E9646" t="inlineStr">
        <is>
          <t>VINDELN</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32499-2025</t>
        </is>
      </c>
      <c r="B9647" s="1" t="n">
        <v>45838.45792824074</v>
      </c>
      <c r="C9647" s="1" t="n">
        <v>45971</v>
      </c>
      <c r="D9647" t="inlineStr">
        <is>
          <t>VÄSTERBOTTENS LÄN</t>
        </is>
      </c>
      <c r="E9647" t="inlineStr">
        <is>
          <t>ROBERTSFORS</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63390-2023</t>
        </is>
      </c>
      <c r="B9648" s="1" t="n">
        <v>45274</v>
      </c>
      <c r="C9648" s="1" t="n">
        <v>45971</v>
      </c>
      <c r="D9648" t="inlineStr">
        <is>
          <t>VÄSTERBOTTENS LÄN</t>
        </is>
      </c>
      <c r="E9648" t="inlineStr">
        <is>
          <t>ROBERTSFORS</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32143-2025</t>
        </is>
      </c>
      <c r="B9649" s="1" t="n">
        <v>45835.52561342593</v>
      </c>
      <c r="C9649" s="1" t="n">
        <v>45971</v>
      </c>
      <c r="D9649" t="inlineStr">
        <is>
          <t>VÄSTERBOTTENS LÄN</t>
        </is>
      </c>
      <c r="E9649" t="inlineStr">
        <is>
          <t>ÅSELE</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44802-2025</t>
        </is>
      </c>
      <c r="B9650" s="1" t="n">
        <v>45918.35710648148</v>
      </c>
      <c r="C9650" s="1" t="n">
        <v>45971</v>
      </c>
      <c r="D9650" t="inlineStr">
        <is>
          <t>VÄSTERBOTTENS LÄN</t>
        </is>
      </c>
      <c r="E9650" t="inlineStr">
        <is>
          <t>MALÅ</t>
        </is>
      </c>
      <c r="F9650" t="inlineStr">
        <is>
          <t>Sveaskog</t>
        </is>
      </c>
      <c r="G9650" t="n">
        <v>27.5</v>
      </c>
      <c r="H9650" t="n">
        <v>0</v>
      </c>
      <c r="I9650" t="n">
        <v>0</v>
      </c>
      <c r="J9650" t="n">
        <v>0</v>
      </c>
      <c r="K9650" t="n">
        <v>0</v>
      </c>
      <c r="L9650" t="n">
        <v>0</v>
      </c>
      <c r="M9650" t="n">
        <v>0</v>
      </c>
      <c r="N9650" t="n">
        <v>0</v>
      </c>
      <c r="O9650" t="n">
        <v>0</v>
      </c>
      <c r="P9650" t="n">
        <v>0</v>
      </c>
      <c r="Q9650" t="n">
        <v>0</v>
      </c>
      <c r="R9650" s="2" t="inlineStr"/>
    </row>
    <row r="9651" ht="15" customHeight="1">
      <c r="A9651" t="inlineStr">
        <is>
          <t>A 51709-2023</t>
        </is>
      </c>
      <c r="B9651" s="1" t="n">
        <v>45215</v>
      </c>
      <c r="C9651" s="1" t="n">
        <v>45971</v>
      </c>
      <c r="D9651" t="inlineStr">
        <is>
          <t>VÄSTERBOTTENS LÄN</t>
        </is>
      </c>
      <c r="E9651" t="inlineStr">
        <is>
          <t>UMEÅ</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32450-2025</t>
        </is>
      </c>
      <c r="B9652" s="1" t="n">
        <v>45838.38953703704</v>
      </c>
      <c r="C9652" s="1" t="n">
        <v>45971</v>
      </c>
      <c r="D9652" t="inlineStr">
        <is>
          <t>VÄSTERBOTTENS LÄN</t>
        </is>
      </c>
      <c r="E9652" t="inlineStr">
        <is>
          <t>SKELLEFTEÅ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44823-2025</t>
        </is>
      </c>
      <c r="B9653" s="1" t="n">
        <v>45918.38574074074</v>
      </c>
      <c r="C9653" s="1" t="n">
        <v>45971</v>
      </c>
      <c r="D9653" t="inlineStr">
        <is>
          <t>VÄSTERBOTTENS LÄN</t>
        </is>
      </c>
      <c r="E9653" t="inlineStr">
        <is>
          <t>SKELLEFTEÅ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32522-2025</t>
        </is>
      </c>
      <c r="B9654" s="1" t="n">
        <v>45838.48564814815</v>
      </c>
      <c r="C9654" s="1" t="n">
        <v>45971</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45027-2025</t>
        </is>
      </c>
      <c r="B9655" s="1" t="n">
        <v>45918</v>
      </c>
      <c r="C9655" s="1" t="n">
        <v>45971</v>
      </c>
      <c r="D9655" t="inlineStr">
        <is>
          <t>VÄSTERBOTTENS LÄN</t>
        </is>
      </c>
      <c r="E9655" t="inlineStr">
        <is>
          <t>VILHELMINA</t>
        </is>
      </c>
      <c r="G9655" t="n">
        <v>14.3</v>
      </c>
      <c r="H9655" t="n">
        <v>0</v>
      </c>
      <c r="I9655" t="n">
        <v>0</v>
      </c>
      <c r="J9655" t="n">
        <v>0</v>
      </c>
      <c r="K9655" t="n">
        <v>0</v>
      </c>
      <c r="L9655" t="n">
        <v>0</v>
      </c>
      <c r="M9655" t="n">
        <v>0</v>
      </c>
      <c r="N9655" t="n">
        <v>0</v>
      </c>
      <c r="O9655" t="n">
        <v>0</v>
      </c>
      <c r="P9655" t="n">
        <v>0</v>
      </c>
      <c r="Q9655" t="n">
        <v>0</v>
      </c>
      <c r="R9655" s="2" t="inlineStr"/>
    </row>
    <row r="9656" ht="15" customHeight="1">
      <c r="A9656" t="inlineStr">
        <is>
          <t>A 32229-2025</t>
        </is>
      </c>
      <c r="B9656" s="1" t="n">
        <v>45835.59662037037</v>
      </c>
      <c r="C9656" s="1" t="n">
        <v>45971</v>
      </c>
      <c r="D9656" t="inlineStr">
        <is>
          <t>VÄSTERBOTTENS LÄN</t>
        </is>
      </c>
      <c r="E9656" t="inlineStr">
        <is>
          <t>LYCKSELE</t>
        </is>
      </c>
      <c r="F9656" t="inlineStr">
        <is>
          <t>Sveaskog</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24759-2024</t>
        </is>
      </c>
      <c r="B9657" s="1" t="n">
        <v>45460.67993055555</v>
      </c>
      <c r="C9657" s="1" t="n">
        <v>45971</v>
      </c>
      <c r="D9657" t="inlineStr">
        <is>
          <t>VÄSTERBOTTENS LÄN</t>
        </is>
      </c>
      <c r="E9657" t="inlineStr">
        <is>
          <t>VINDELN</t>
        </is>
      </c>
      <c r="F9657" t="inlineStr">
        <is>
          <t>Holmen skog AB</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18034-2025</t>
        </is>
      </c>
      <c r="B9658" s="1" t="n">
        <v>45761</v>
      </c>
      <c r="C9658" s="1" t="n">
        <v>45971</v>
      </c>
      <c r="D9658" t="inlineStr">
        <is>
          <t>VÄSTERBOTTENS LÄN</t>
        </is>
      </c>
      <c r="E9658" t="inlineStr">
        <is>
          <t>ÅSELE</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32239-2025</t>
        </is>
      </c>
      <c r="B9659" s="1" t="n">
        <v>45835.61503472222</v>
      </c>
      <c r="C9659" s="1" t="n">
        <v>45971</v>
      </c>
      <c r="D9659" t="inlineStr">
        <is>
          <t>VÄSTERBOTTENS LÄN</t>
        </is>
      </c>
      <c r="E9659" t="inlineStr">
        <is>
          <t>LYCKSELE</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16542-2025</t>
        </is>
      </c>
      <c r="B9660" s="1" t="n">
        <v>45751.67792824074</v>
      </c>
      <c r="C9660" s="1" t="n">
        <v>45971</v>
      </c>
      <c r="D9660" t="inlineStr">
        <is>
          <t>VÄSTERBOTTENS LÄN</t>
        </is>
      </c>
      <c r="E9660" t="inlineStr">
        <is>
          <t>VINDELN</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32245-2025</t>
        </is>
      </c>
      <c r="B9661" s="1" t="n">
        <v>45835.61631944445</v>
      </c>
      <c r="C9661" s="1" t="n">
        <v>45971</v>
      </c>
      <c r="D9661" t="inlineStr">
        <is>
          <t>VÄSTERBOTTENS LÄN</t>
        </is>
      </c>
      <c r="E9661" t="inlineStr">
        <is>
          <t>VINDELN</t>
        </is>
      </c>
      <c r="F9661" t="inlineStr">
        <is>
          <t>Sveaskog</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32263-2025</t>
        </is>
      </c>
      <c r="B9662" s="1" t="n">
        <v>45835</v>
      </c>
      <c r="C9662" s="1" t="n">
        <v>45971</v>
      </c>
      <c r="D9662" t="inlineStr">
        <is>
          <t>VÄSTERBOTTENS LÄN</t>
        </is>
      </c>
      <c r="E9662" t="inlineStr">
        <is>
          <t>ROBERTSFORS</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23360-2025</t>
        </is>
      </c>
      <c r="B9663" s="1" t="n">
        <v>45791</v>
      </c>
      <c r="C9663" s="1" t="n">
        <v>45971</v>
      </c>
      <c r="D9663" t="inlineStr">
        <is>
          <t>VÄSTERBOTTENS LÄN</t>
        </is>
      </c>
      <c r="E9663" t="inlineStr">
        <is>
          <t>VILHELMINA</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32639-2025</t>
        </is>
      </c>
      <c r="B9664" s="1" t="n">
        <v>45838.65726851852</v>
      </c>
      <c r="C9664" s="1" t="n">
        <v>45971</v>
      </c>
      <c r="D9664" t="inlineStr">
        <is>
          <t>VÄSTERBOTTENS LÄN</t>
        </is>
      </c>
      <c r="E9664" t="inlineStr">
        <is>
          <t>SKELLEFTEÅ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32584-2025</t>
        </is>
      </c>
      <c r="B9665" s="1" t="n">
        <v>45838.59995370371</v>
      </c>
      <c r="C9665" s="1" t="n">
        <v>45971</v>
      </c>
      <c r="D9665" t="inlineStr">
        <is>
          <t>VÄSTERBOTTENS LÄN</t>
        </is>
      </c>
      <c r="E9665" t="inlineStr">
        <is>
          <t>BJURHOLM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26381-2024</t>
        </is>
      </c>
      <c r="B9666" s="1" t="n">
        <v>45469</v>
      </c>
      <c r="C9666" s="1" t="n">
        <v>45971</v>
      </c>
      <c r="D9666" t="inlineStr">
        <is>
          <t>VÄSTERBOTTENS LÄN</t>
        </is>
      </c>
      <c r="E9666" t="inlineStr">
        <is>
          <t>VILHELMINA</t>
        </is>
      </c>
      <c r="F9666" t="inlineStr">
        <is>
          <t>Sveaskog</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62584-2022</t>
        </is>
      </c>
      <c r="B9667" s="1" t="n">
        <v>44924</v>
      </c>
      <c r="C9667" s="1" t="n">
        <v>45971</v>
      </c>
      <c r="D9667" t="inlineStr">
        <is>
          <t>VÄSTERBOTTENS LÄN</t>
        </is>
      </c>
      <c r="E9667" t="inlineStr">
        <is>
          <t>LYCKSELE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32638-2025</t>
        </is>
      </c>
      <c r="B9668" s="1" t="n">
        <v>45838.65724537037</v>
      </c>
      <c r="C9668" s="1" t="n">
        <v>45971</v>
      </c>
      <c r="D9668" t="inlineStr">
        <is>
          <t>VÄSTERBOTTENS LÄN</t>
        </is>
      </c>
      <c r="E9668" t="inlineStr">
        <is>
          <t>SKELLEFTEÅ</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32648-2025</t>
        </is>
      </c>
      <c r="B9669" s="1" t="n">
        <v>45838.67253472222</v>
      </c>
      <c r="C9669" s="1" t="n">
        <v>45971</v>
      </c>
      <c r="D9669" t="inlineStr">
        <is>
          <t>VÄSTERBOTTENS LÄN</t>
        </is>
      </c>
      <c r="E9669" t="inlineStr">
        <is>
          <t>ÅSELE</t>
        </is>
      </c>
      <c r="F9669" t="inlineStr">
        <is>
          <t>Holmen skog AB</t>
        </is>
      </c>
      <c r="G9669" t="n">
        <v>20</v>
      </c>
      <c r="H9669" t="n">
        <v>0</v>
      </c>
      <c r="I9669" t="n">
        <v>0</v>
      </c>
      <c r="J9669" t="n">
        <v>0</v>
      </c>
      <c r="K9669" t="n">
        <v>0</v>
      </c>
      <c r="L9669" t="n">
        <v>0</v>
      </c>
      <c r="M9669" t="n">
        <v>0</v>
      </c>
      <c r="N9669" t="n">
        <v>0</v>
      </c>
      <c r="O9669" t="n">
        <v>0</v>
      </c>
      <c r="P9669" t="n">
        <v>0</v>
      </c>
      <c r="Q9669" t="n">
        <v>0</v>
      </c>
      <c r="R9669" s="2" t="inlineStr"/>
    </row>
    <row r="9670" ht="15" customHeight="1">
      <c r="A9670" t="inlineStr">
        <is>
          <t>A 53320-2025</t>
        </is>
      </c>
      <c r="B9670" s="1" t="n">
        <v>45959.35769675926</v>
      </c>
      <c r="C9670" s="1" t="n">
        <v>45971</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26389-2024</t>
        </is>
      </c>
      <c r="B9671" s="1" t="n">
        <v>45469.43194444444</v>
      </c>
      <c r="C9671" s="1" t="n">
        <v>45971</v>
      </c>
      <c r="D9671" t="inlineStr">
        <is>
          <t>VÄSTERBOTTENS LÄN</t>
        </is>
      </c>
      <c r="E9671" t="inlineStr">
        <is>
          <t>SKELLEFTEÅ</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13569-2025</t>
        </is>
      </c>
      <c r="B9672" s="1" t="n">
        <v>45736.57212962963</v>
      </c>
      <c r="C9672" s="1" t="n">
        <v>45971</v>
      </c>
      <c r="D9672" t="inlineStr">
        <is>
          <t>VÄSTERBOTTENS LÄN</t>
        </is>
      </c>
      <c r="E9672" t="inlineStr">
        <is>
          <t>SKELLEFTEÅ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35809-2022</t>
        </is>
      </c>
      <c r="B9673" s="1" t="n">
        <v>44802</v>
      </c>
      <c r="C9673" s="1" t="n">
        <v>45971</v>
      </c>
      <c r="D9673" t="inlineStr">
        <is>
          <t>VÄSTERBOTTENS LÄN</t>
        </is>
      </c>
      <c r="E9673" t="inlineStr">
        <is>
          <t>SKELLEFTEÅ</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14325-2025</t>
        </is>
      </c>
      <c r="B9674" s="1" t="n">
        <v>45740.81103009259</v>
      </c>
      <c r="C9674" s="1" t="n">
        <v>45971</v>
      </c>
      <c r="D9674" t="inlineStr">
        <is>
          <t>VÄSTERBOTTENS LÄN</t>
        </is>
      </c>
      <c r="E9674" t="inlineStr">
        <is>
          <t>DOROTEA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55873-2023</t>
        </is>
      </c>
      <c r="B9675" s="1" t="n">
        <v>45239</v>
      </c>
      <c r="C9675" s="1" t="n">
        <v>45971</v>
      </c>
      <c r="D9675" t="inlineStr">
        <is>
          <t>VÄSTERBOTTENS LÄN</t>
        </is>
      </c>
      <c r="E9675" t="inlineStr">
        <is>
          <t>SKELLEFTEÅ</t>
        </is>
      </c>
      <c r="F9675" t="inlineStr">
        <is>
          <t>Sveaskog</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32575-2025</t>
        </is>
      </c>
      <c r="B9676" s="1" t="n">
        <v>45838.585625</v>
      </c>
      <c r="C9676" s="1" t="n">
        <v>45971</v>
      </c>
      <c r="D9676" t="inlineStr">
        <is>
          <t>VÄSTERBOTTENS LÄN</t>
        </is>
      </c>
      <c r="E9676" t="inlineStr">
        <is>
          <t>NORDMALING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32578-2025</t>
        </is>
      </c>
      <c r="B9677" s="1" t="n">
        <v>45838.59311342592</v>
      </c>
      <c r="C9677" s="1" t="n">
        <v>45971</v>
      </c>
      <c r="D9677" t="inlineStr">
        <is>
          <t>VÄSTERBOTTENS LÄN</t>
        </is>
      </c>
      <c r="E9677" t="inlineStr">
        <is>
          <t>SKELLEFTEÅ</t>
        </is>
      </c>
      <c r="F9677" t="inlineStr">
        <is>
          <t>Holmen skog AB</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31966-2025</t>
        </is>
      </c>
      <c r="B9678" s="1" t="n">
        <v>45835.34629629629</v>
      </c>
      <c r="C9678" s="1" t="n">
        <v>45971</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32329-2025</t>
        </is>
      </c>
      <c r="B9679" s="1" t="n">
        <v>45836.48517361111</v>
      </c>
      <c r="C9679" s="1" t="n">
        <v>45971</v>
      </c>
      <c r="D9679" t="inlineStr">
        <is>
          <t>VÄSTERBOTTENS LÄN</t>
        </is>
      </c>
      <c r="E9679" t="inlineStr">
        <is>
          <t>SKELLEFTEÅ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47483-2023</t>
        </is>
      </c>
      <c r="B9680" s="1" t="n">
        <v>45202.9413425926</v>
      </c>
      <c r="C9680" s="1" t="n">
        <v>45971</v>
      </c>
      <c r="D9680" t="inlineStr">
        <is>
          <t>VÄSTERBOTTENS LÄN</t>
        </is>
      </c>
      <c r="E9680" t="inlineStr">
        <is>
          <t>VILHELMINA</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33965-2024</t>
        </is>
      </c>
      <c r="B9681" s="1" t="n">
        <v>45523.49219907408</v>
      </c>
      <c r="C9681" s="1" t="n">
        <v>45971</v>
      </c>
      <c r="D9681" t="inlineStr">
        <is>
          <t>VÄSTERBOTTENS LÄN</t>
        </is>
      </c>
      <c r="E9681" t="inlineStr">
        <is>
          <t>VINDELN</t>
        </is>
      </c>
      <c r="F9681" t="inlineStr">
        <is>
          <t>Holmen skog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41591-2023</t>
        </is>
      </c>
      <c r="B9682" s="1" t="n">
        <v>45173</v>
      </c>
      <c r="C9682" s="1" t="n">
        <v>45971</v>
      </c>
      <c r="D9682" t="inlineStr">
        <is>
          <t>VÄSTERBOTTENS LÄN</t>
        </is>
      </c>
      <c r="E9682" t="inlineStr">
        <is>
          <t>NORSJÖ</t>
        </is>
      </c>
      <c r="G9682" t="n">
        <v>7.6</v>
      </c>
      <c r="H9682" t="n">
        <v>0</v>
      </c>
      <c r="I9682" t="n">
        <v>0</v>
      </c>
      <c r="J9682" t="n">
        <v>0</v>
      </c>
      <c r="K9682" t="n">
        <v>0</v>
      </c>
      <c r="L9682" t="n">
        <v>0</v>
      </c>
      <c r="M9682" t="n">
        <v>0</v>
      </c>
      <c r="N9682" t="n">
        <v>0</v>
      </c>
      <c r="O9682" t="n">
        <v>0</v>
      </c>
      <c r="P9682" t="n">
        <v>0</v>
      </c>
      <c r="Q9682" t="n">
        <v>0</v>
      </c>
      <c r="R9682" s="2" t="inlineStr"/>
    </row>
    <row r="9683" ht="15" customHeight="1">
      <c r="A9683" t="inlineStr">
        <is>
          <t>A 32451-2025</t>
        </is>
      </c>
      <c r="B9683" s="1" t="n">
        <v>45838.39283564815</v>
      </c>
      <c r="C9683" s="1" t="n">
        <v>45971</v>
      </c>
      <c r="D9683" t="inlineStr">
        <is>
          <t>VÄSTERBOTTENS LÄN</t>
        </is>
      </c>
      <c r="E9683" t="inlineStr">
        <is>
          <t>SKELLEFTEÅ</t>
        </is>
      </c>
      <c r="F9683" t="inlineStr">
        <is>
          <t>Holmen skog AB</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32454-2025</t>
        </is>
      </c>
      <c r="B9684" s="1" t="n">
        <v>45838.40033564815</v>
      </c>
      <c r="C9684" s="1" t="n">
        <v>45971</v>
      </c>
      <c r="D9684" t="inlineStr">
        <is>
          <t>VÄSTERBOTTENS LÄN</t>
        </is>
      </c>
      <c r="E9684" t="inlineStr">
        <is>
          <t>LYCKSELE</t>
        </is>
      </c>
      <c r="F9684" t="inlineStr">
        <is>
          <t>Holmen skog AB</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44107-2025</t>
        </is>
      </c>
      <c r="B9685" s="1" t="n">
        <v>45915</v>
      </c>
      <c r="C9685" s="1" t="n">
        <v>45971</v>
      </c>
      <c r="D9685" t="inlineStr">
        <is>
          <t>VÄSTERBOTTENS LÄN</t>
        </is>
      </c>
      <c r="E9685" t="inlineStr">
        <is>
          <t>LYCKSELE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44594-2025</t>
        </is>
      </c>
      <c r="B9686" s="1" t="n">
        <v>45917.42766203704</v>
      </c>
      <c r="C9686" s="1" t="n">
        <v>45971</v>
      </c>
      <c r="D9686" t="inlineStr">
        <is>
          <t>VÄSTERBOTTENS LÄN</t>
        </is>
      </c>
      <c r="E9686" t="inlineStr">
        <is>
          <t>DOROTEA</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32550-2025</t>
        </is>
      </c>
      <c r="B9687" s="1" t="n">
        <v>45838.54916666666</v>
      </c>
      <c r="C9687" s="1" t="n">
        <v>45971</v>
      </c>
      <c r="D9687" t="inlineStr">
        <is>
          <t>VÄSTERBOTTENS LÄN</t>
        </is>
      </c>
      <c r="E9687" t="inlineStr">
        <is>
          <t>SKELLEFTEÅ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34098-2023</t>
        </is>
      </c>
      <c r="B9688" s="1" t="n">
        <v>45135.58939814815</v>
      </c>
      <c r="C9688" s="1" t="n">
        <v>45971</v>
      </c>
      <c r="D9688" t="inlineStr">
        <is>
          <t>VÄSTERBOTTENS LÄN</t>
        </is>
      </c>
      <c r="E9688" t="inlineStr">
        <is>
          <t>VINDELN</t>
        </is>
      </c>
      <c r="F9688" t="inlineStr">
        <is>
          <t>Holmen skog AB</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32614-2025</t>
        </is>
      </c>
      <c r="B9689" s="1" t="n">
        <v>45838.64195601852</v>
      </c>
      <c r="C9689" s="1" t="n">
        <v>45971</v>
      </c>
      <c r="D9689" t="inlineStr">
        <is>
          <t>VÄSTERBOTTENS LÄN</t>
        </is>
      </c>
      <c r="E9689" t="inlineStr">
        <is>
          <t>LYCKSELE</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44889-2025</t>
        </is>
      </c>
      <c r="B9690" s="1" t="n">
        <v>45918.49681712963</v>
      </c>
      <c r="C9690" s="1" t="n">
        <v>45971</v>
      </c>
      <c r="D9690" t="inlineStr">
        <is>
          <t>VÄSTERBOTTENS LÄN</t>
        </is>
      </c>
      <c r="E9690" t="inlineStr">
        <is>
          <t>VÄNNÄS</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44602-2025</t>
        </is>
      </c>
      <c r="B9691" s="1" t="n">
        <v>45917.43920138889</v>
      </c>
      <c r="C9691" s="1" t="n">
        <v>45971</v>
      </c>
      <c r="D9691" t="inlineStr">
        <is>
          <t>VÄSTERBOTTENS LÄN</t>
        </is>
      </c>
      <c r="E9691" t="inlineStr">
        <is>
          <t>SKELLEFTEÅ</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53183-2023</t>
        </is>
      </c>
      <c r="B9692" s="1" t="n">
        <v>45229.41625</v>
      </c>
      <c r="C9692" s="1" t="n">
        <v>45971</v>
      </c>
      <c r="D9692" t="inlineStr">
        <is>
          <t>VÄSTERBOTTENS LÄN</t>
        </is>
      </c>
      <c r="E9692" t="inlineStr">
        <is>
          <t>SKELLEFTEÅ</t>
        </is>
      </c>
      <c r="F9692" t="inlineStr">
        <is>
          <t>Sveaskog</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54449-2023</t>
        </is>
      </c>
      <c r="B9693" s="1" t="n">
        <v>45226</v>
      </c>
      <c r="C9693" s="1" t="n">
        <v>45971</v>
      </c>
      <c r="D9693" t="inlineStr">
        <is>
          <t>VÄSTERBOTTENS LÄN</t>
        </is>
      </c>
      <c r="E9693" t="inlineStr">
        <is>
          <t>SKELLEFTEÅ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44725-2025</t>
        </is>
      </c>
      <c r="B9694" s="1" t="n">
        <v>45917.64240740741</v>
      </c>
      <c r="C9694" s="1" t="n">
        <v>45971</v>
      </c>
      <c r="D9694" t="inlineStr">
        <is>
          <t>VÄSTERBOTTENS LÄN</t>
        </is>
      </c>
      <c r="E9694" t="inlineStr">
        <is>
          <t>UMEÅ</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32196-2025</t>
        </is>
      </c>
      <c r="B9695" s="1" t="n">
        <v>45835.57523148148</v>
      </c>
      <c r="C9695" s="1" t="n">
        <v>45971</v>
      </c>
      <c r="D9695" t="inlineStr">
        <is>
          <t>VÄSTERBOTTENS LÄN</t>
        </is>
      </c>
      <c r="E9695" t="inlineStr">
        <is>
          <t>STORUMAN</t>
        </is>
      </c>
      <c r="F9695" t="inlineStr">
        <is>
          <t>Sveaskog</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44623-2025</t>
        </is>
      </c>
      <c r="B9696" s="1" t="n">
        <v>45917.47033564815</v>
      </c>
      <c r="C9696" s="1" t="n">
        <v>45971</v>
      </c>
      <c r="D9696" t="inlineStr">
        <is>
          <t>VÄSTERBOTTENS LÄN</t>
        </is>
      </c>
      <c r="E9696" t="inlineStr">
        <is>
          <t>NORSJÖ</t>
        </is>
      </c>
      <c r="F9696" t="inlineStr">
        <is>
          <t>Holmen skog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61749-2023</t>
        </is>
      </c>
      <c r="B9697" s="1" t="n">
        <v>45264</v>
      </c>
      <c r="C9697" s="1" t="n">
        <v>45971</v>
      </c>
      <c r="D9697" t="inlineStr">
        <is>
          <t>VÄSTERBOTTENS LÄN</t>
        </is>
      </c>
      <c r="E9697" t="inlineStr">
        <is>
          <t>UMEÅ</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32125-2025</t>
        </is>
      </c>
      <c r="B9698" s="1" t="n">
        <v>45835.49601851852</v>
      </c>
      <c r="C9698" s="1" t="n">
        <v>45971</v>
      </c>
      <c r="D9698" t="inlineStr">
        <is>
          <t>VÄSTERBOTTENS LÄN</t>
        </is>
      </c>
      <c r="E9698" t="inlineStr">
        <is>
          <t>UMEÅ</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32202-2025</t>
        </is>
      </c>
      <c r="B9699" s="1" t="n">
        <v>45835.57872685185</v>
      </c>
      <c r="C9699" s="1" t="n">
        <v>45971</v>
      </c>
      <c r="D9699" t="inlineStr">
        <is>
          <t>VÄSTERBOTTENS LÄN</t>
        </is>
      </c>
      <c r="E9699" t="inlineStr">
        <is>
          <t>STORUMAN</t>
        </is>
      </c>
      <c r="F9699" t="inlineStr">
        <is>
          <t>Sveaskog</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32163-2025</t>
        </is>
      </c>
      <c r="B9700" s="1" t="n">
        <v>45835</v>
      </c>
      <c r="C9700" s="1" t="n">
        <v>45971</v>
      </c>
      <c r="D9700" t="inlineStr">
        <is>
          <t>VÄSTERBOTTENS LÄN</t>
        </is>
      </c>
      <c r="E9700" t="inlineStr">
        <is>
          <t>ROBERTSFORS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32170-2025</t>
        </is>
      </c>
      <c r="B9701" s="1" t="n">
        <v>45835</v>
      </c>
      <c r="C9701" s="1" t="n">
        <v>45971</v>
      </c>
      <c r="D9701" t="inlineStr">
        <is>
          <t>VÄSTERBOTTENS LÄN</t>
        </is>
      </c>
      <c r="E9701" t="inlineStr">
        <is>
          <t>ROBERTSFORS</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32259-2025</t>
        </is>
      </c>
      <c r="B9702" s="1" t="n">
        <v>45835.64210648148</v>
      </c>
      <c r="C9702" s="1" t="n">
        <v>45971</v>
      </c>
      <c r="D9702" t="inlineStr">
        <is>
          <t>VÄSTERBOTTENS LÄN</t>
        </is>
      </c>
      <c r="E9702" t="inlineStr">
        <is>
          <t>ÅSELE</t>
        </is>
      </c>
      <c r="F9702" t="inlineStr">
        <is>
          <t>Naturvårdsverket</t>
        </is>
      </c>
      <c r="G9702" t="n">
        <v>63.9</v>
      </c>
      <c r="H9702" t="n">
        <v>0</v>
      </c>
      <c r="I9702" t="n">
        <v>0</v>
      </c>
      <c r="J9702" t="n">
        <v>0</v>
      </c>
      <c r="K9702" t="n">
        <v>0</v>
      </c>
      <c r="L9702" t="n">
        <v>0</v>
      </c>
      <c r="M9702" t="n">
        <v>0</v>
      </c>
      <c r="N9702" t="n">
        <v>0</v>
      </c>
      <c r="O9702" t="n">
        <v>0</v>
      </c>
      <c r="P9702" t="n">
        <v>0</v>
      </c>
      <c r="Q9702" t="n">
        <v>0</v>
      </c>
      <c r="R9702" s="2" t="inlineStr"/>
    </row>
    <row r="9703" ht="15" customHeight="1">
      <c r="A9703" t="inlineStr">
        <is>
          <t>A 30009-2022</t>
        </is>
      </c>
      <c r="B9703" s="1" t="n">
        <v>44756.94358796296</v>
      </c>
      <c r="C9703" s="1" t="n">
        <v>45971</v>
      </c>
      <c r="D9703" t="inlineStr">
        <is>
          <t>VÄSTERBOTTENS LÄN</t>
        </is>
      </c>
      <c r="E9703" t="inlineStr">
        <is>
          <t>NORDMALING</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23974-2022</t>
        </is>
      </c>
      <c r="B9704" s="1" t="n">
        <v>44722</v>
      </c>
      <c r="C9704" s="1" t="n">
        <v>45971</v>
      </c>
      <c r="D9704" t="inlineStr">
        <is>
          <t>VÄSTERBOTTENS LÄN</t>
        </is>
      </c>
      <c r="E9704" t="inlineStr">
        <is>
          <t>BJURHOLM</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31986-2025</t>
        </is>
      </c>
      <c r="B9705" s="1" t="n">
        <v>45835.36210648148</v>
      </c>
      <c r="C9705" s="1" t="n">
        <v>45971</v>
      </c>
      <c r="D9705" t="inlineStr">
        <is>
          <t>VÄSTERBOTTENS LÄN</t>
        </is>
      </c>
      <c r="E9705" t="inlineStr">
        <is>
          <t>VÄNNÄS</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32551-2025</t>
        </is>
      </c>
      <c r="B9706" s="1" t="n">
        <v>45838.5503587963</v>
      </c>
      <c r="C9706" s="1" t="n">
        <v>45971</v>
      </c>
      <c r="D9706" t="inlineStr">
        <is>
          <t>VÄSTERBOTTENS LÄN</t>
        </is>
      </c>
      <c r="E9706" t="inlineStr">
        <is>
          <t>SKELLEFTEÅ</t>
        </is>
      </c>
      <c r="F9706" t="inlineStr">
        <is>
          <t>Holmen skog AB</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3212-2024</t>
        </is>
      </c>
      <c r="B9707" s="1" t="n">
        <v>45316</v>
      </c>
      <c r="C9707" s="1" t="n">
        <v>45971</v>
      </c>
      <c r="D9707" t="inlineStr">
        <is>
          <t>VÄSTERBOTTENS LÄN</t>
        </is>
      </c>
      <c r="E9707" t="inlineStr">
        <is>
          <t>VINDELN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32311-2025</t>
        </is>
      </c>
      <c r="B9708" s="1" t="n">
        <v>45835.8281712963</v>
      </c>
      <c r="C9708" s="1" t="n">
        <v>45971</v>
      </c>
      <c r="D9708" t="inlineStr">
        <is>
          <t>VÄSTERBOTTENS LÄN</t>
        </is>
      </c>
      <c r="E9708" t="inlineStr">
        <is>
          <t>BJURHOLM</t>
        </is>
      </c>
      <c r="F9708" t="inlineStr">
        <is>
          <t>Holmen skog AB</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1875-2024</t>
        </is>
      </c>
      <c r="B9709" s="1" t="n">
        <v>45307.92592592593</v>
      </c>
      <c r="C9709" s="1" t="n">
        <v>45971</v>
      </c>
      <c r="D9709" t="inlineStr">
        <is>
          <t>VÄSTERBOTTENS LÄN</t>
        </is>
      </c>
      <c r="E9709" t="inlineStr">
        <is>
          <t>BJURHOLM</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62300-2023</t>
        </is>
      </c>
      <c r="B9710" s="1" t="n">
        <v>45266</v>
      </c>
      <c r="C9710" s="1" t="n">
        <v>45971</v>
      </c>
      <c r="D9710" t="inlineStr">
        <is>
          <t>VÄSTERBOTTENS LÄN</t>
        </is>
      </c>
      <c r="E9710" t="inlineStr">
        <is>
          <t>SKELLEFTEÅ</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32313-2025</t>
        </is>
      </c>
      <c r="B9711" s="1" t="n">
        <v>45835.86921296296</v>
      </c>
      <c r="C9711" s="1" t="n">
        <v>45971</v>
      </c>
      <c r="D9711" t="inlineStr">
        <is>
          <t>VÄSTERBOTTENS LÄN</t>
        </is>
      </c>
      <c r="E9711" t="inlineStr">
        <is>
          <t>NORDMALING</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32316-2025</t>
        </is>
      </c>
      <c r="B9712" s="1" t="n">
        <v>45835.88451388889</v>
      </c>
      <c r="C9712" s="1" t="n">
        <v>45971</v>
      </c>
      <c r="D9712" t="inlineStr">
        <is>
          <t>VÄSTERBOTTENS LÄN</t>
        </is>
      </c>
      <c r="E9712" t="inlineStr">
        <is>
          <t>NORDMALING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32232-2025</t>
        </is>
      </c>
      <c r="B9713" s="1" t="n">
        <v>45835.60241898148</v>
      </c>
      <c r="C9713" s="1" t="n">
        <v>45971</v>
      </c>
      <c r="D9713" t="inlineStr">
        <is>
          <t>VÄSTERBOTTENS LÄN</t>
        </is>
      </c>
      <c r="E9713" t="inlineStr">
        <is>
          <t>VINDELN</t>
        </is>
      </c>
      <c r="F9713" t="inlineStr">
        <is>
          <t>Sveaskog</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32262-2025</t>
        </is>
      </c>
      <c r="B9714" s="1" t="n">
        <v>45835.64796296296</v>
      </c>
      <c r="C9714" s="1" t="n">
        <v>45971</v>
      </c>
      <c r="D9714" t="inlineStr">
        <is>
          <t>VÄSTERBOTTENS LÄN</t>
        </is>
      </c>
      <c r="E9714" t="inlineStr">
        <is>
          <t>VINDELN</t>
        </is>
      </c>
      <c r="F9714" t="inlineStr">
        <is>
          <t>Sveaskog</t>
        </is>
      </c>
      <c r="G9714" t="n">
        <v>17.4</v>
      </c>
      <c r="H9714" t="n">
        <v>0</v>
      </c>
      <c r="I9714" t="n">
        <v>0</v>
      </c>
      <c r="J9714" t="n">
        <v>0</v>
      </c>
      <c r="K9714" t="n">
        <v>0</v>
      </c>
      <c r="L9714" t="n">
        <v>0</v>
      </c>
      <c r="M9714" t="n">
        <v>0</v>
      </c>
      <c r="N9714" t="n">
        <v>0</v>
      </c>
      <c r="O9714" t="n">
        <v>0</v>
      </c>
      <c r="P9714" t="n">
        <v>0</v>
      </c>
      <c r="Q9714" t="n">
        <v>0</v>
      </c>
      <c r="R9714" s="2" t="inlineStr"/>
    </row>
    <row r="9715" ht="15" customHeight="1">
      <c r="A9715" t="inlineStr">
        <is>
          <t>A 44751-2025</t>
        </is>
      </c>
      <c r="B9715" s="1" t="n">
        <v>45917.68104166666</v>
      </c>
      <c r="C9715" s="1" t="n">
        <v>45971</v>
      </c>
      <c r="D9715" t="inlineStr">
        <is>
          <t>VÄSTERBOTTENS LÄN</t>
        </is>
      </c>
      <c r="E9715" t="inlineStr">
        <is>
          <t>UMEÅ</t>
        </is>
      </c>
      <c r="G9715" t="n">
        <v>9.1</v>
      </c>
      <c r="H9715" t="n">
        <v>0</v>
      </c>
      <c r="I9715" t="n">
        <v>0</v>
      </c>
      <c r="J9715" t="n">
        <v>0</v>
      </c>
      <c r="K9715" t="n">
        <v>0</v>
      </c>
      <c r="L9715" t="n">
        <v>0</v>
      </c>
      <c r="M9715" t="n">
        <v>0</v>
      </c>
      <c r="N9715" t="n">
        <v>0</v>
      </c>
      <c r="O9715" t="n">
        <v>0</v>
      </c>
      <c r="P9715" t="n">
        <v>0</v>
      </c>
      <c r="Q9715" t="n">
        <v>0</v>
      </c>
      <c r="R9715" s="2" t="inlineStr"/>
    </row>
    <row r="9716" ht="15" customHeight="1">
      <c r="A9716" t="inlineStr">
        <is>
          <t>A 32289-2025</t>
        </is>
      </c>
      <c r="B9716" s="1" t="n">
        <v>45835.69831018519</v>
      </c>
      <c r="C9716" s="1" t="n">
        <v>45971</v>
      </c>
      <c r="D9716" t="inlineStr">
        <is>
          <t>VÄSTERBOTTENS LÄN</t>
        </is>
      </c>
      <c r="E9716" t="inlineStr">
        <is>
          <t>ÅSELE</t>
        </is>
      </c>
      <c r="F9716" t="inlineStr">
        <is>
          <t>SCA</t>
        </is>
      </c>
      <c r="G9716" t="n">
        <v>21.2</v>
      </c>
      <c r="H9716" t="n">
        <v>0</v>
      </c>
      <c r="I9716" t="n">
        <v>0</v>
      </c>
      <c r="J9716" t="n">
        <v>0</v>
      </c>
      <c r="K9716" t="n">
        <v>0</v>
      </c>
      <c r="L9716" t="n">
        <v>0</v>
      </c>
      <c r="M9716" t="n">
        <v>0</v>
      </c>
      <c r="N9716" t="n">
        <v>0</v>
      </c>
      <c r="O9716" t="n">
        <v>0</v>
      </c>
      <c r="P9716" t="n">
        <v>0</v>
      </c>
      <c r="Q9716" t="n">
        <v>0</v>
      </c>
      <c r="R9716" s="2" t="inlineStr"/>
    </row>
    <row r="9717" ht="15" customHeight="1">
      <c r="A9717" t="inlineStr">
        <is>
          <t>A 32292-2025</t>
        </is>
      </c>
      <c r="B9717" s="1" t="n">
        <v>45835.7030787037</v>
      </c>
      <c r="C9717" s="1" t="n">
        <v>45971</v>
      </c>
      <c r="D9717" t="inlineStr">
        <is>
          <t>VÄSTERBOTTENS LÄN</t>
        </is>
      </c>
      <c r="E9717" t="inlineStr">
        <is>
          <t>VINDELN</t>
        </is>
      </c>
      <c r="F9717" t="inlineStr">
        <is>
          <t>Holmen skog AB</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54401-2023</t>
        </is>
      </c>
      <c r="B9718" s="1" t="n">
        <v>45226</v>
      </c>
      <c r="C9718" s="1" t="n">
        <v>45971</v>
      </c>
      <c r="D9718" t="inlineStr">
        <is>
          <t>VÄSTERBOTTENS LÄN</t>
        </is>
      </c>
      <c r="E9718" t="inlineStr">
        <is>
          <t>SKELLEFTEÅ</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32601-2025</t>
        </is>
      </c>
      <c r="B9719" s="1" t="n">
        <v>45838.62275462963</v>
      </c>
      <c r="C9719" s="1" t="n">
        <v>45971</v>
      </c>
      <c r="D9719" t="inlineStr">
        <is>
          <t>VÄSTERBOTTENS LÄN</t>
        </is>
      </c>
      <c r="E9719" t="inlineStr">
        <is>
          <t>SKELLEFTEÅ</t>
        </is>
      </c>
      <c r="F9719" t="inlineStr">
        <is>
          <t>Holmen skog AB</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53514-2025</t>
        </is>
      </c>
      <c r="B9720" s="1" t="n">
        <v>45960.34552083333</v>
      </c>
      <c r="C9720" s="1" t="n">
        <v>45971</v>
      </c>
      <c r="D9720" t="inlineStr">
        <is>
          <t>VÄSTERBOTTENS LÄN</t>
        </is>
      </c>
      <c r="E9720" t="inlineStr">
        <is>
          <t>SKELLEFTEÅ</t>
        </is>
      </c>
      <c r="G9720" t="n">
        <v>18.1</v>
      </c>
      <c r="H9720" t="n">
        <v>0</v>
      </c>
      <c r="I9720" t="n">
        <v>0</v>
      </c>
      <c r="J9720" t="n">
        <v>0</v>
      </c>
      <c r="K9720" t="n">
        <v>0</v>
      </c>
      <c r="L9720" t="n">
        <v>0</v>
      </c>
      <c r="M9720" t="n">
        <v>0</v>
      </c>
      <c r="N9720" t="n">
        <v>0</v>
      </c>
      <c r="O9720" t="n">
        <v>0</v>
      </c>
      <c r="P9720" t="n">
        <v>0</v>
      </c>
      <c r="Q9720" t="n">
        <v>0</v>
      </c>
      <c r="R9720" s="2" t="inlineStr"/>
    </row>
    <row r="9721" ht="15" customHeight="1">
      <c r="A9721" t="inlineStr">
        <is>
          <t>A 32108-2025</t>
        </is>
      </c>
      <c r="B9721" s="1" t="n">
        <v>45835.47898148148</v>
      </c>
      <c r="C9721" s="1" t="n">
        <v>45971</v>
      </c>
      <c r="D9721" t="inlineStr">
        <is>
          <t>VÄSTERBOTTENS LÄN</t>
        </is>
      </c>
      <c r="E9721" t="inlineStr">
        <is>
          <t>LYCKSELE</t>
        </is>
      </c>
      <c r="F9721" t="inlineStr">
        <is>
          <t>Holmen skog AB</t>
        </is>
      </c>
      <c r="G9721" t="n">
        <v>24.3</v>
      </c>
      <c r="H9721" t="n">
        <v>0</v>
      </c>
      <c r="I9721" t="n">
        <v>0</v>
      </c>
      <c r="J9721" t="n">
        <v>0</v>
      </c>
      <c r="K9721" t="n">
        <v>0</v>
      </c>
      <c r="L9721" t="n">
        <v>0</v>
      </c>
      <c r="M9721" t="n">
        <v>0</v>
      </c>
      <c r="N9721" t="n">
        <v>0</v>
      </c>
      <c r="O9721" t="n">
        <v>0</v>
      </c>
      <c r="P9721" t="n">
        <v>0</v>
      </c>
      <c r="Q9721" t="n">
        <v>0</v>
      </c>
      <c r="R9721" s="2" t="inlineStr"/>
    </row>
    <row r="9722" ht="15" customHeight="1">
      <c r="A9722" t="inlineStr">
        <is>
          <t>A 32486-2025</t>
        </is>
      </c>
      <c r="B9722" s="1" t="n">
        <v>45838.44112268519</v>
      </c>
      <c r="C9722" s="1" t="n">
        <v>45971</v>
      </c>
      <c r="D9722" t="inlineStr">
        <is>
          <t>VÄSTERBOTTENS LÄN</t>
        </is>
      </c>
      <c r="E9722" t="inlineStr">
        <is>
          <t>SKELLEFTEÅ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32487-2025</t>
        </is>
      </c>
      <c r="B9723" s="1" t="n">
        <v>45838.44355324074</v>
      </c>
      <c r="C9723" s="1" t="n">
        <v>45971</v>
      </c>
      <c r="D9723" t="inlineStr">
        <is>
          <t>VÄSTERBOTTENS LÄN</t>
        </is>
      </c>
      <c r="E9723" t="inlineStr">
        <is>
          <t>LYCKSELE</t>
        </is>
      </c>
      <c r="F9723" t="inlineStr">
        <is>
          <t>Holmen skog AB</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53370-2025</t>
        </is>
      </c>
      <c r="B9724" s="1" t="n">
        <v>45959.4962962963</v>
      </c>
      <c r="C9724" s="1" t="n">
        <v>45971</v>
      </c>
      <c r="D9724" t="inlineStr">
        <is>
          <t>VÄSTERBOTTENS LÄN</t>
        </is>
      </c>
      <c r="E9724" t="inlineStr">
        <is>
          <t>UMEÅ</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53385-2025</t>
        </is>
      </c>
      <c r="B9725" s="1" t="n">
        <v>45959.54261574074</v>
      </c>
      <c r="C9725" s="1" t="n">
        <v>45971</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61795-2023</t>
        </is>
      </c>
      <c r="B9726" s="1" t="n">
        <v>45265</v>
      </c>
      <c r="C9726" s="1" t="n">
        <v>45971</v>
      </c>
      <c r="D9726" t="inlineStr">
        <is>
          <t>VÄSTERBOTTENS LÄN</t>
        </is>
      </c>
      <c r="E9726" t="inlineStr">
        <is>
          <t>NORDMALING</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61801-2023</t>
        </is>
      </c>
      <c r="B9727" s="1" t="n">
        <v>45265.95881944444</v>
      </c>
      <c r="C9727" s="1" t="n">
        <v>45971</v>
      </c>
      <c r="D9727" t="inlineStr">
        <is>
          <t>VÄSTERBOTTENS LÄN</t>
        </is>
      </c>
      <c r="E9727" t="inlineStr">
        <is>
          <t>ÅSELE</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27557-2024</t>
        </is>
      </c>
      <c r="B9728" s="1" t="n">
        <v>45474.62798611111</v>
      </c>
      <c r="C9728" s="1" t="n">
        <v>45971</v>
      </c>
      <c r="D9728" t="inlineStr">
        <is>
          <t>VÄSTERBOTTENS LÄN</t>
        </is>
      </c>
      <c r="E9728" t="inlineStr">
        <is>
          <t>ROBERTSFORS</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32619-2025</t>
        </is>
      </c>
      <c r="B9729" s="1" t="n">
        <v>45838.64458333333</v>
      </c>
      <c r="C9729" s="1" t="n">
        <v>45971</v>
      </c>
      <c r="D9729" t="inlineStr">
        <is>
          <t>VÄSTERBOTTENS LÄN</t>
        </is>
      </c>
      <c r="E9729" t="inlineStr">
        <is>
          <t>LYCKSELE</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31958-2025</t>
        </is>
      </c>
      <c r="B9730" s="1" t="n">
        <v>45835.34219907408</v>
      </c>
      <c r="C9730" s="1" t="n">
        <v>45971</v>
      </c>
      <c r="D9730" t="inlineStr">
        <is>
          <t>VÄSTERBOTTENS LÄN</t>
        </is>
      </c>
      <c r="E9730" t="inlineStr">
        <is>
          <t>SKELLEFTEÅ</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31997-2025</t>
        </is>
      </c>
      <c r="B9731" s="1" t="n">
        <v>45835.37637731482</v>
      </c>
      <c r="C9731" s="1" t="n">
        <v>45971</v>
      </c>
      <c r="D9731" t="inlineStr">
        <is>
          <t>VÄSTERBOTTENS LÄN</t>
        </is>
      </c>
      <c r="E9731" t="inlineStr">
        <is>
          <t>SKELLEFTEÅ</t>
        </is>
      </c>
      <c r="F9731" t="inlineStr">
        <is>
          <t>Holmen skog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44459-2023</t>
        </is>
      </c>
      <c r="B9732" s="1" t="n">
        <v>45189</v>
      </c>
      <c r="C9732" s="1" t="n">
        <v>45971</v>
      </c>
      <c r="D9732" t="inlineStr">
        <is>
          <t>VÄSTERBOTTENS LÄN</t>
        </is>
      </c>
      <c r="E9732" t="inlineStr">
        <is>
          <t>UMEÅ</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32673-2025</t>
        </is>
      </c>
      <c r="B9733" s="1" t="n">
        <v>45838.70978009259</v>
      </c>
      <c r="C9733" s="1" t="n">
        <v>45971</v>
      </c>
      <c r="D9733" t="inlineStr">
        <is>
          <t>VÄSTERBOTTENS LÄN</t>
        </is>
      </c>
      <c r="E9733" t="inlineStr">
        <is>
          <t>ÅSELE</t>
        </is>
      </c>
      <c r="F9733" t="inlineStr">
        <is>
          <t>Holmen skog AB</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53796-2025</t>
        </is>
      </c>
      <c r="B9734" s="1" t="n">
        <v>45960.76365740741</v>
      </c>
      <c r="C9734" s="1" t="n">
        <v>45971</v>
      </c>
      <c r="D9734" t="inlineStr">
        <is>
          <t>VÄSTERBOTTENS LÄN</t>
        </is>
      </c>
      <c r="E9734" t="inlineStr">
        <is>
          <t>VINDELN</t>
        </is>
      </c>
      <c r="F9734" t="inlineStr">
        <is>
          <t>Holmen skog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32431-2025</t>
        </is>
      </c>
      <c r="B9735" s="1" t="n">
        <v>45838.36606481481</v>
      </c>
      <c r="C9735" s="1" t="n">
        <v>45971</v>
      </c>
      <c r="D9735" t="inlineStr">
        <is>
          <t>VÄSTERBOTTENS LÄN</t>
        </is>
      </c>
      <c r="E9735" t="inlineStr">
        <is>
          <t>LYCKSELE</t>
        </is>
      </c>
      <c r="F9735" t="inlineStr">
        <is>
          <t>Holmen skog AB</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53461-2025</t>
        </is>
      </c>
      <c r="B9736" s="1" t="n">
        <v>45959.67452546296</v>
      </c>
      <c r="C9736" s="1" t="n">
        <v>45971</v>
      </c>
      <c r="D9736" t="inlineStr">
        <is>
          <t>VÄSTERBOTTENS LÄN</t>
        </is>
      </c>
      <c r="E9736" t="inlineStr">
        <is>
          <t>LYCKSELE</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53465-2025</t>
        </is>
      </c>
      <c r="B9737" s="1" t="n">
        <v>45959.68450231481</v>
      </c>
      <c r="C9737" s="1" t="n">
        <v>45971</v>
      </c>
      <c r="D9737" t="inlineStr">
        <is>
          <t>VÄSTERBOTTENS LÄN</t>
        </is>
      </c>
      <c r="E9737" t="inlineStr">
        <is>
          <t>LYCKSELE</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53469-2025</t>
        </is>
      </c>
      <c r="B9738" s="1" t="n">
        <v>45959.70898148148</v>
      </c>
      <c r="C9738" s="1" t="n">
        <v>45971</v>
      </c>
      <c r="D9738" t="inlineStr">
        <is>
          <t>VÄSTERBOTTENS LÄN</t>
        </is>
      </c>
      <c r="E9738" t="inlineStr">
        <is>
          <t>SKELLEFTEÅ</t>
        </is>
      </c>
      <c r="F9738" t="inlineStr">
        <is>
          <t>Sveaskog</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55427-2023</t>
        </is>
      </c>
      <c r="B9739" s="1" t="n">
        <v>45238.42410879629</v>
      </c>
      <c r="C9739" s="1" t="n">
        <v>45971</v>
      </c>
      <c r="D9739" t="inlineStr">
        <is>
          <t>VÄSTERBOTTENS LÄN</t>
        </is>
      </c>
      <c r="E9739" t="inlineStr">
        <is>
          <t>VINDELN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53485-2025</t>
        </is>
      </c>
      <c r="B9740" s="1" t="n">
        <v>45959.895625</v>
      </c>
      <c r="C9740" s="1" t="n">
        <v>45971</v>
      </c>
      <c r="D9740" t="inlineStr">
        <is>
          <t>VÄSTERBOTTENS LÄN</t>
        </is>
      </c>
      <c r="E9740" t="inlineStr">
        <is>
          <t>ROBERTSFORS</t>
        </is>
      </c>
      <c r="F9740" t="inlineStr">
        <is>
          <t>Holmen skog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44805-2025</t>
        </is>
      </c>
      <c r="B9741" s="1" t="n">
        <v>45918.36143518519</v>
      </c>
      <c r="C9741" s="1" t="n">
        <v>45971</v>
      </c>
      <c r="D9741" t="inlineStr">
        <is>
          <t>VÄSTERBOTTENS LÄN</t>
        </is>
      </c>
      <c r="E9741" t="inlineStr">
        <is>
          <t>MALÅ</t>
        </is>
      </c>
      <c r="F9741" t="inlineStr">
        <is>
          <t>Sveaskog</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54813-2023</t>
        </is>
      </c>
      <c r="B9742" s="1" t="n">
        <v>45236</v>
      </c>
      <c r="C9742" s="1" t="n">
        <v>45971</v>
      </c>
      <c r="D9742" t="inlineStr">
        <is>
          <t>VÄSTERBOTTENS LÄN</t>
        </is>
      </c>
      <c r="E9742" t="inlineStr">
        <is>
          <t>SKELLEFTEÅ</t>
        </is>
      </c>
      <c r="F9742" t="inlineStr">
        <is>
          <t>Sveaskog</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8256-2025</t>
        </is>
      </c>
      <c r="B9743" s="1" t="n">
        <v>45708.49795138889</v>
      </c>
      <c r="C9743" s="1" t="n">
        <v>45971</v>
      </c>
      <c r="D9743" t="inlineStr">
        <is>
          <t>VÄSTERBOTTENS LÄN</t>
        </is>
      </c>
      <c r="E9743" t="inlineStr">
        <is>
          <t>ROBERTSFORS</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44832-2025</t>
        </is>
      </c>
      <c r="B9744" s="1" t="n">
        <v>45918.406875</v>
      </c>
      <c r="C9744" s="1" t="n">
        <v>45971</v>
      </c>
      <c r="D9744" t="inlineStr">
        <is>
          <t>VÄSTERBOTTENS LÄN</t>
        </is>
      </c>
      <c r="E9744" t="inlineStr">
        <is>
          <t>VÄNNÄS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44833-2025</t>
        </is>
      </c>
      <c r="B9745" s="1" t="n">
        <v>45918.40694444445</v>
      </c>
      <c r="C9745" s="1" t="n">
        <v>45971</v>
      </c>
      <c r="D9745" t="inlineStr">
        <is>
          <t>VÄSTERBOTTENS LÄN</t>
        </is>
      </c>
      <c r="E9745" t="inlineStr">
        <is>
          <t>VINDELN</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32409-2025</t>
        </is>
      </c>
      <c r="B9746" s="1" t="n">
        <v>45838.33060185185</v>
      </c>
      <c r="C9746" s="1" t="n">
        <v>45971</v>
      </c>
      <c r="D9746" t="inlineStr">
        <is>
          <t>VÄSTERBOTTENS LÄN</t>
        </is>
      </c>
      <c r="E9746" t="inlineStr">
        <is>
          <t>LYCKSELE</t>
        </is>
      </c>
      <c r="F9746" t="inlineStr">
        <is>
          <t>Holmen skog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32415-2025</t>
        </is>
      </c>
      <c r="B9747" s="1" t="n">
        <v>45838.34214120371</v>
      </c>
      <c r="C9747" s="1" t="n">
        <v>45971</v>
      </c>
      <c r="D9747" t="inlineStr">
        <is>
          <t>VÄSTERBOTTENS LÄN</t>
        </is>
      </c>
      <c r="E9747" t="inlineStr">
        <is>
          <t>VINDELN</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14247-2025</t>
        </is>
      </c>
      <c r="B9748" s="1" t="n">
        <v>45740.61497685185</v>
      </c>
      <c r="C9748" s="1" t="n">
        <v>45971</v>
      </c>
      <c r="D9748" t="inlineStr">
        <is>
          <t>VÄSTERBOTTENS LÄN</t>
        </is>
      </c>
      <c r="E9748" t="inlineStr">
        <is>
          <t>VINDELN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55923-2023</t>
        </is>
      </c>
      <c r="B9749" s="1" t="n">
        <v>45239</v>
      </c>
      <c r="C9749" s="1" t="n">
        <v>45971</v>
      </c>
      <c r="D9749" t="inlineStr">
        <is>
          <t>VÄSTERBOTTENS LÄN</t>
        </is>
      </c>
      <c r="E9749" t="inlineStr">
        <is>
          <t>LYCKSELE</t>
        </is>
      </c>
      <c r="F9749" t="inlineStr">
        <is>
          <t>SCA</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32485-2025</t>
        </is>
      </c>
      <c r="B9750" s="1" t="n">
        <v>45838.43662037037</v>
      </c>
      <c r="C9750" s="1" t="n">
        <v>45971</v>
      </c>
      <c r="D9750" t="inlineStr">
        <is>
          <t>VÄSTERBOTTENS LÄN</t>
        </is>
      </c>
      <c r="E9750" t="inlineStr">
        <is>
          <t>SKELLEFTEÅ</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32305-2025</t>
        </is>
      </c>
      <c r="B9751" s="1" t="n">
        <v>45835.71929398148</v>
      </c>
      <c r="C9751" s="1" t="n">
        <v>45971</v>
      </c>
      <c r="D9751" t="inlineStr">
        <is>
          <t>VÄSTERBOTTENS LÄN</t>
        </is>
      </c>
      <c r="E9751" t="inlineStr">
        <is>
          <t>VINDELN</t>
        </is>
      </c>
      <c r="F9751" t="inlineStr">
        <is>
          <t>SCA</t>
        </is>
      </c>
      <c r="G9751" t="n">
        <v>15.2</v>
      </c>
      <c r="H9751" t="n">
        <v>0</v>
      </c>
      <c r="I9751" t="n">
        <v>0</v>
      </c>
      <c r="J9751" t="n">
        <v>0</v>
      </c>
      <c r="K9751" t="n">
        <v>0</v>
      </c>
      <c r="L9751" t="n">
        <v>0</v>
      </c>
      <c r="M9751" t="n">
        <v>0</v>
      </c>
      <c r="N9751" t="n">
        <v>0</v>
      </c>
      <c r="O9751" t="n">
        <v>0</v>
      </c>
      <c r="P9751" t="n">
        <v>0</v>
      </c>
      <c r="Q9751" t="n">
        <v>0</v>
      </c>
      <c r="R9751" s="2" t="inlineStr"/>
    </row>
    <row r="9752" ht="15" customHeight="1">
      <c r="A9752" t="inlineStr">
        <is>
          <t>A 32314-2025</t>
        </is>
      </c>
      <c r="B9752" s="1" t="n">
        <v>45835.87006944444</v>
      </c>
      <c r="C9752" s="1" t="n">
        <v>45971</v>
      </c>
      <c r="D9752" t="inlineStr">
        <is>
          <t>VÄSTERBOTTENS LÄN</t>
        </is>
      </c>
      <c r="E9752" t="inlineStr">
        <is>
          <t>BJURHOLM</t>
        </is>
      </c>
      <c r="F9752" t="inlineStr">
        <is>
          <t>Holmen skog AB</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32315-2025</t>
        </is>
      </c>
      <c r="B9753" s="1" t="n">
        <v>45835.878125</v>
      </c>
      <c r="C9753" s="1" t="n">
        <v>45971</v>
      </c>
      <c r="D9753" t="inlineStr">
        <is>
          <t>VÄSTERBOTTENS LÄN</t>
        </is>
      </c>
      <c r="E9753" t="inlineStr">
        <is>
          <t>NORDMALING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17863-2025</t>
        </is>
      </c>
      <c r="B9754" s="1" t="n">
        <v>45758.6283912037</v>
      </c>
      <c r="C9754" s="1" t="n">
        <v>45971</v>
      </c>
      <c r="D9754" t="inlineStr">
        <is>
          <t>VÄSTERBOTTENS LÄN</t>
        </is>
      </c>
      <c r="E9754" t="inlineStr">
        <is>
          <t>SORSELE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32446-2025</t>
        </is>
      </c>
      <c r="B9755" s="1" t="n">
        <v>45838.38635416667</v>
      </c>
      <c r="C9755" s="1" t="n">
        <v>45971</v>
      </c>
      <c r="D9755" t="inlineStr">
        <is>
          <t>VÄSTERBOTTENS LÄN</t>
        </is>
      </c>
      <c r="E9755" t="inlineStr">
        <is>
          <t>VINDELN</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32047-2025</t>
        </is>
      </c>
      <c r="B9756" s="1" t="n">
        <v>45835.44034722223</v>
      </c>
      <c r="C9756" s="1" t="n">
        <v>45971</v>
      </c>
      <c r="D9756" t="inlineStr">
        <is>
          <t>VÄSTERBOTTENS LÄN</t>
        </is>
      </c>
      <c r="E9756" t="inlineStr">
        <is>
          <t>SKELLEFTEÅ</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53640-2023</t>
        </is>
      </c>
      <c r="B9757" s="1" t="n">
        <v>45230.59909722222</v>
      </c>
      <c r="C9757" s="1" t="n">
        <v>45971</v>
      </c>
      <c r="D9757" t="inlineStr">
        <is>
          <t>VÄSTERBOTTENS LÄN</t>
        </is>
      </c>
      <c r="E9757" t="inlineStr">
        <is>
          <t>VINDELN</t>
        </is>
      </c>
      <c r="F9757" t="inlineStr">
        <is>
          <t>Sveaskog</t>
        </is>
      </c>
      <c r="G9757" t="n">
        <v>15.5</v>
      </c>
      <c r="H9757" t="n">
        <v>0</v>
      </c>
      <c r="I9757" t="n">
        <v>0</v>
      </c>
      <c r="J9757" t="n">
        <v>0</v>
      </c>
      <c r="K9757" t="n">
        <v>0</v>
      </c>
      <c r="L9757" t="n">
        <v>0</v>
      </c>
      <c r="M9757" t="n">
        <v>0</v>
      </c>
      <c r="N9757" t="n">
        <v>0</v>
      </c>
      <c r="O9757" t="n">
        <v>0</v>
      </c>
      <c r="P9757" t="n">
        <v>0</v>
      </c>
      <c r="Q9757" t="n">
        <v>0</v>
      </c>
      <c r="R9757" s="2" t="inlineStr"/>
    </row>
    <row r="9758" ht="15" customHeight="1">
      <c r="A9758" t="inlineStr">
        <is>
          <t>A 53116-2024</t>
        </is>
      </c>
      <c r="B9758" s="1" t="n">
        <v>45611.58083333333</v>
      </c>
      <c r="C9758" s="1" t="n">
        <v>45971</v>
      </c>
      <c r="D9758" t="inlineStr">
        <is>
          <t>VÄSTERBOTTENS LÄN</t>
        </is>
      </c>
      <c r="E9758" t="inlineStr">
        <is>
          <t>LYCKSELE</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44979-2025</t>
        </is>
      </c>
      <c r="B9759" s="1" t="n">
        <v>45918.64709490741</v>
      </c>
      <c r="C9759" s="1" t="n">
        <v>45971</v>
      </c>
      <c r="D9759" t="inlineStr">
        <is>
          <t>VÄSTERBOTTENS LÄN</t>
        </is>
      </c>
      <c r="E9759" t="inlineStr">
        <is>
          <t>ROBERTSFORS</t>
        </is>
      </c>
      <c r="F9759" t="inlineStr">
        <is>
          <t>Holmen skog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53117-2024</t>
        </is>
      </c>
      <c r="B9760" s="1" t="n">
        <v>45611.58105324074</v>
      </c>
      <c r="C9760" s="1" t="n">
        <v>45971</v>
      </c>
      <c r="D9760" t="inlineStr">
        <is>
          <t>VÄSTERBOTTENS LÄN</t>
        </is>
      </c>
      <c r="E9760" t="inlineStr">
        <is>
          <t>SKELLEFTEÅ</t>
        </is>
      </c>
      <c r="F9760" t="inlineStr">
        <is>
          <t>Kommuner</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32773-2025</t>
        </is>
      </c>
      <c r="B9761" s="1" t="n">
        <v>45839.46233796296</v>
      </c>
      <c r="C9761" s="1" t="n">
        <v>45971</v>
      </c>
      <c r="D9761" t="inlineStr">
        <is>
          <t>VÄSTERBOTTENS LÄN</t>
        </is>
      </c>
      <c r="E9761" t="inlineStr">
        <is>
          <t>ROBERTSFORS</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32781-2025</t>
        </is>
      </c>
      <c r="B9762" s="1" t="n">
        <v>45839.47243055556</v>
      </c>
      <c r="C9762" s="1" t="n">
        <v>45971</v>
      </c>
      <c r="D9762" t="inlineStr">
        <is>
          <t>VÄSTERBOTTENS LÄN</t>
        </is>
      </c>
      <c r="E9762" t="inlineStr">
        <is>
          <t>SKELLEFTEÅ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32783-2025</t>
        </is>
      </c>
      <c r="B9763" s="1" t="n">
        <v>45839.47989583333</v>
      </c>
      <c r="C9763" s="1" t="n">
        <v>45971</v>
      </c>
      <c r="D9763" t="inlineStr">
        <is>
          <t>VÄSTERBOTTENS LÄN</t>
        </is>
      </c>
      <c r="E9763" t="inlineStr">
        <is>
          <t>LYCKSELE</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32814-2025</t>
        </is>
      </c>
      <c r="B9764" s="1" t="n">
        <v>45839.5271875</v>
      </c>
      <c r="C9764" s="1" t="n">
        <v>45971</v>
      </c>
      <c r="D9764" t="inlineStr">
        <is>
          <t>VÄSTERBOTTENS LÄN</t>
        </is>
      </c>
      <c r="E9764" t="inlineStr">
        <is>
          <t>ROBERTSFORS</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33262-2025</t>
        </is>
      </c>
      <c r="B9765" s="1" t="n">
        <v>45840.67768518518</v>
      </c>
      <c r="C9765" s="1" t="n">
        <v>45971</v>
      </c>
      <c r="D9765" t="inlineStr">
        <is>
          <t>VÄSTERBOTTENS LÄN</t>
        </is>
      </c>
      <c r="E9765" t="inlineStr">
        <is>
          <t>DOROTEA</t>
        </is>
      </c>
      <c r="F9765" t="inlineStr">
        <is>
          <t>SCA</t>
        </is>
      </c>
      <c r="G9765" t="n">
        <v>17.4</v>
      </c>
      <c r="H9765" t="n">
        <v>0</v>
      </c>
      <c r="I9765" t="n">
        <v>0</v>
      </c>
      <c r="J9765" t="n">
        <v>0</v>
      </c>
      <c r="K9765" t="n">
        <v>0</v>
      </c>
      <c r="L9765" t="n">
        <v>0</v>
      </c>
      <c r="M9765" t="n">
        <v>0</v>
      </c>
      <c r="N9765" t="n">
        <v>0</v>
      </c>
      <c r="O9765" t="n">
        <v>0</v>
      </c>
      <c r="P9765" t="n">
        <v>0</v>
      </c>
      <c r="Q9765" t="n">
        <v>0</v>
      </c>
      <c r="R9765" s="2" t="inlineStr"/>
    </row>
    <row r="9766" ht="15" customHeight="1">
      <c r="A9766" t="inlineStr">
        <is>
          <t>A 59945-2023</t>
        </is>
      </c>
      <c r="B9766" s="1" t="n">
        <v>45254</v>
      </c>
      <c r="C9766" s="1" t="n">
        <v>45971</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44625-2025</t>
        </is>
      </c>
      <c r="B9767" s="1" t="n">
        <v>45917.47184027778</v>
      </c>
      <c r="C9767" s="1" t="n">
        <v>45971</v>
      </c>
      <c r="D9767" t="inlineStr">
        <is>
          <t>VÄSTERBOTTENS LÄN</t>
        </is>
      </c>
      <c r="E9767" t="inlineStr">
        <is>
          <t>ÅSELE</t>
        </is>
      </c>
      <c r="F9767" t="inlineStr">
        <is>
          <t>Holmen skog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33020-2025</t>
        </is>
      </c>
      <c r="B9768" s="1" t="n">
        <v>45840.37125</v>
      </c>
      <c r="C9768" s="1" t="n">
        <v>45971</v>
      </c>
      <c r="D9768" t="inlineStr">
        <is>
          <t>VÄSTERBOTTENS LÄN</t>
        </is>
      </c>
      <c r="E9768" t="inlineStr">
        <is>
          <t>NORSJÖ</t>
        </is>
      </c>
      <c r="G9768" t="n">
        <v>19.1</v>
      </c>
      <c r="H9768" t="n">
        <v>0</v>
      </c>
      <c r="I9768" t="n">
        <v>0</v>
      </c>
      <c r="J9768" t="n">
        <v>0</v>
      </c>
      <c r="K9768" t="n">
        <v>0</v>
      </c>
      <c r="L9768" t="n">
        <v>0</v>
      </c>
      <c r="M9768" t="n">
        <v>0</v>
      </c>
      <c r="N9768" t="n">
        <v>0</v>
      </c>
      <c r="O9768" t="n">
        <v>0</v>
      </c>
      <c r="P9768" t="n">
        <v>0</v>
      </c>
      <c r="Q9768" t="n">
        <v>0</v>
      </c>
      <c r="R9768" s="2" t="inlineStr"/>
    </row>
    <row r="9769" ht="15" customHeight="1">
      <c r="A9769" t="inlineStr">
        <is>
          <t>A 33142-2025</t>
        </is>
      </c>
      <c r="B9769" s="1" t="n">
        <v>45840</v>
      </c>
      <c r="C9769" s="1" t="n">
        <v>45971</v>
      </c>
      <c r="D9769" t="inlineStr">
        <is>
          <t>VÄSTERBOTTENS LÄN</t>
        </is>
      </c>
      <c r="E9769" t="inlineStr">
        <is>
          <t>VILHELMINA</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33154-2025</t>
        </is>
      </c>
      <c r="B9770" s="1" t="n">
        <v>45840.55459490741</v>
      </c>
      <c r="C9770" s="1" t="n">
        <v>45971</v>
      </c>
      <c r="D9770" t="inlineStr">
        <is>
          <t>VÄSTERBOTTENS LÄN</t>
        </is>
      </c>
      <c r="E9770" t="inlineStr">
        <is>
          <t>SKELLEFTEÅ</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33206-2025</t>
        </is>
      </c>
      <c r="B9771" s="1" t="n">
        <v>45840.61583333334</v>
      </c>
      <c r="C9771" s="1" t="n">
        <v>45971</v>
      </c>
      <c r="D9771" t="inlineStr">
        <is>
          <t>VÄSTERBOTTENS LÄN</t>
        </is>
      </c>
      <c r="E9771" t="inlineStr">
        <is>
          <t>UMEÅ</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33216-2025</t>
        </is>
      </c>
      <c r="B9772" s="1" t="n">
        <v>45840.63201388889</v>
      </c>
      <c r="C9772" s="1" t="n">
        <v>45971</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44593-2025</t>
        </is>
      </c>
      <c r="B9773" s="1" t="n">
        <v>45917.42748842593</v>
      </c>
      <c r="C9773" s="1" t="n">
        <v>45971</v>
      </c>
      <c r="D9773" t="inlineStr">
        <is>
          <t>VÄSTERBOTTENS LÄN</t>
        </is>
      </c>
      <c r="E9773" t="inlineStr">
        <is>
          <t>DOROTEA</t>
        </is>
      </c>
      <c r="F9773" t="inlineStr">
        <is>
          <t>SCA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55775-2023</t>
        </is>
      </c>
      <c r="B9774" s="1" t="n">
        <v>45232</v>
      </c>
      <c r="C9774" s="1" t="n">
        <v>45971</v>
      </c>
      <c r="D9774" t="inlineStr">
        <is>
          <t>VÄSTERBOTTENS LÄN</t>
        </is>
      </c>
      <c r="E9774" t="inlineStr">
        <is>
          <t>SKELLEFTEÅ</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47771-2022</t>
        </is>
      </c>
      <c r="B9775" s="1" t="n">
        <v>44854</v>
      </c>
      <c r="C9775" s="1" t="n">
        <v>45971</v>
      </c>
      <c r="D9775" t="inlineStr">
        <is>
          <t>VÄSTERBOTTENS LÄN</t>
        </is>
      </c>
      <c r="E9775" t="inlineStr">
        <is>
          <t>VÄNNÄS</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32780-2025</t>
        </is>
      </c>
      <c r="B9776" s="1" t="n">
        <v>45839.46975694445</v>
      </c>
      <c r="C9776" s="1" t="n">
        <v>45971</v>
      </c>
      <c r="D9776" t="inlineStr">
        <is>
          <t>VÄSTERBOTTENS LÄN</t>
        </is>
      </c>
      <c r="E9776" t="inlineStr">
        <is>
          <t>SKELLEFTEÅ</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33052-2025</t>
        </is>
      </c>
      <c r="B9777" s="1" t="n">
        <v>45840.42515046296</v>
      </c>
      <c r="C9777" s="1" t="n">
        <v>45971</v>
      </c>
      <c r="D9777" t="inlineStr">
        <is>
          <t>VÄSTERBOTTENS LÄN</t>
        </is>
      </c>
      <c r="E9777" t="inlineStr">
        <is>
          <t>LYCKSELE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38297-2024</t>
        </is>
      </c>
      <c r="B9778" s="1" t="n">
        <v>45545</v>
      </c>
      <c r="C9778" s="1" t="n">
        <v>45971</v>
      </c>
      <c r="D9778" t="inlineStr">
        <is>
          <t>VÄSTERBOTTENS LÄN</t>
        </is>
      </c>
      <c r="E9778" t="inlineStr">
        <is>
          <t>VILHELMINA</t>
        </is>
      </c>
      <c r="G9778" t="n">
        <v>139.8</v>
      </c>
      <c r="H9778" t="n">
        <v>0</v>
      </c>
      <c r="I9778" t="n">
        <v>0</v>
      </c>
      <c r="J9778" t="n">
        <v>0</v>
      </c>
      <c r="K9778" t="n">
        <v>0</v>
      </c>
      <c r="L9778" t="n">
        <v>0</v>
      </c>
      <c r="M9778" t="n">
        <v>0</v>
      </c>
      <c r="N9778" t="n">
        <v>0</v>
      </c>
      <c r="O9778" t="n">
        <v>0</v>
      </c>
      <c r="P9778" t="n">
        <v>0</v>
      </c>
      <c r="Q9778" t="n">
        <v>0</v>
      </c>
      <c r="R9778" s="2" t="inlineStr"/>
    </row>
    <row r="9779" ht="15" customHeight="1">
      <c r="A9779" t="inlineStr">
        <is>
          <t>A 17186-2025</t>
        </is>
      </c>
      <c r="B9779" s="1" t="n">
        <v>45756</v>
      </c>
      <c r="C9779" s="1" t="n">
        <v>45971</v>
      </c>
      <c r="D9779" t="inlineStr">
        <is>
          <t>VÄSTERBOTTENS LÄN</t>
        </is>
      </c>
      <c r="E9779" t="inlineStr">
        <is>
          <t>VILHELMINA</t>
        </is>
      </c>
      <c r="F9779" t="inlineStr">
        <is>
          <t>SCA</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15059-2025</t>
        </is>
      </c>
      <c r="B9780" s="1" t="n">
        <v>45743</v>
      </c>
      <c r="C9780" s="1" t="n">
        <v>45971</v>
      </c>
      <c r="D9780" t="inlineStr">
        <is>
          <t>VÄSTERBOTTENS LÄN</t>
        </is>
      </c>
      <c r="E9780" t="inlineStr">
        <is>
          <t>ÅSELE</t>
        </is>
      </c>
      <c r="F9780" t="inlineStr">
        <is>
          <t>Holmen skog AB</t>
        </is>
      </c>
      <c r="G9780" t="n">
        <v>13.7</v>
      </c>
      <c r="H9780" t="n">
        <v>0</v>
      </c>
      <c r="I9780" t="n">
        <v>0</v>
      </c>
      <c r="J9780" t="n">
        <v>0</v>
      </c>
      <c r="K9780" t="n">
        <v>0</v>
      </c>
      <c r="L9780" t="n">
        <v>0</v>
      </c>
      <c r="M9780" t="n">
        <v>0</v>
      </c>
      <c r="N9780" t="n">
        <v>0</v>
      </c>
      <c r="O9780" t="n">
        <v>0</v>
      </c>
      <c r="P9780" t="n">
        <v>0</v>
      </c>
      <c r="Q9780" t="n">
        <v>0</v>
      </c>
      <c r="R9780" s="2" t="inlineStr"/>
    </row>
    <row r="9781" ht="15" customHeight="1">
      <c r="A9781" t="inlineStr">
        <is>
          <t>A 32947-2025</t>
        </is>
      </c>
      <c r="B9781" s="1" t="n">
        <v>45839</v>
      </c>
      <c r="C9781" s="1" t="n">
        <v>45971</v>
      </c>
      <c r="D9781" t="inlineStr">
        <is>
          <t>VÄSTERBOTTENS LÄN</t>
        </is>
      </c>
      <c r="E9781" t="inlineStr">
        <is>
          <t>VILHELMINA</t>
        </is>
      </c>
      <c r="G9781" t="n">
        <v>19.1</v>
      </c>
      <c r="H9781" t="n">
        <v>0</v>
      </c>
      <c r="I9781" t="n">
        <v>0</v>
      </c>
      <c r="J9781" t="n">
        <v>0</v>
      </c>
      <c r="K9781" t="n">
        <v>0</v>
      </c>
      <c r="L9781" t="n">
        <v>0</v>
      </c>
      <c r="M9781" t="n">
        <v>0</v>
      </c>
      <c r="N9781" t="n">
        <v>0</v>
      </c>
      <c r="O9781" t="n">
        <v>0</v>
      </c>
      <c r="P9781" t="n">
        <v>0</v>
      </c>
      <c r="Q9781" t="n">
        <v>0</v>
      </c>
      <c r="R9781" s="2" t="inlineStr"/>
    </row>
    <row r="9782" ht="15" customHeight="1">
      <c r="A9782" t="inlineStr">
        <is>
          <t>A 17192-2025</t>
        </is>
      </c>
      <c r="B9782" s="1" t="n">
        <v>45756.39481481481</v>
      </c>
      <c r="C9782" s="1" t="n">
        <v>45971</v>
      </c>
      <c r="D9782" t="inlineStr">
        <is>
          <t>VÄSTERBOTTENS LÄN</t>
        </is>
      </c>
      <c r="E9782" t="inlineStr">
        <is>
          <t>LYCKSELE</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17210-2025</t>
        </is>
      </c>
      <c r="B9783" s="1" t="n">
        <v>45756.4359375</v>
      </c>
      <c r="C9783" s="1" t="n">
        <v>45971</v>
      </c>
      <c r="D9783" t="inlineStr">
        <is>
          <t>VÄSTERBOTTENS LÄN</t>
        </is>
      </c>
      <c r="E9783" t="inlineStr">
        <is>
          <t>ROBERTSFORS</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24496-2025</t>
        </is>
      </c>
      <c r="B9784" s="1" t="n">
        <v>45798</v>
      </c>
      <c r="C9784" s="1" t="n">
        <v>45971</v>
      </c>
      <c r="D9784" t="inlineStr">
        <is>
          <t>VÄSTERBOTTENS LÄN</t>
        </is>
      </c>
      <c r="E9784" t="inlineStr">
        <is>
          <t>SKELLEFTEÅ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29263-2025</t>
        </is>
      </c>
      <c r="B9785" s="1" t="n">
        <v>45824.39538194444</v>
      </c>
      <c r="C9785" s="1" t="n">
        <v>45971</v>
      </c>
      <c r="D9785" t="inlineStr">
        <is>
          <t>VÄSTERBOTTENS LÄN</t>
        </is>
      </c>
      <c r="E9785" t="inlineStr">
        <is>
          <t>SKELLEFTEÅ</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17237-2025</t>
        </is>
      </c>
      <c r="B9786" s="1" t="n">
        <v>45756.47723379629</v>
      </c>
      <c r="C9786" s="1" t="n">
        <v>45971</v>
      </c>
      <c r="D9786" t="inlineStr">
        <is>
          <t>VÄSTERBOTTENS LÄN</t>
        </is>
      </c>
      <c r="E9786" t="inlineStr">
        <is>
          <t>BJURHOLM</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32714-2025</t>
        </is>
      </c>
      <c r="B9787" s="1" t="n">
        <v>45839.37024305556</v>
      </c>
      <c r="C9787" s="1" t="n">
        <v>45971</v>
      </c>
      <c r="D9787" t="inlineStr">
        <is>
          <t>VÄSTERBOTTENS LÄN</t>
        </is>
      </c>
      <c r="E9787" t="inlineStr">
        <is>
          <t>ÅSELE</t>
        </is>
      </c>
      <c r="G9787" t="n">
        <v>19.1</v>
      </c>
      <c r="H9787" t="n">
        <v>0</v>
      </c>
      <c r="I9787" t="n">
        <v>0</v>
      </c>
      <c r="J9787" t="n">
        <v>0</v>
      </c>
      <c r="K9787" t="n">
        <v>0</v>
      </c>
      <c r="L9787" t="n">
        <v>0</v>
      </c>
      <c r="M9787" t="n">
        <v>0</v>
      </c>
      <c r="N9787" t="n">
        <v>0</v>
      </c>
      <c r="O9787" t="n">
        <v>0</v>
      </c>
      <c r="P9787" t="n">
        <v>0</v>
      </c>
      <c r="Q9787" t="n">
        <v>0</v>
      </c>
      <c r="R9787" s="2" t="inlineStr"/>
    </row>
    <row r="9788" ht="15" customHeight="1">
      <c r="A9788" t="inlineStr">
        <is>
          <t>A 44998-2025</t>
        </is>
      </c>
      <c r="B9788" s="1" t="n">
        <v>45918.65956018519</v>
      </c>
      <c r="C9788" s="1" t="n">
        <v>45971</v>
      </c>
      <c r="D9788" t="inlineStr">
        <is>
          <t>VÄSTERBOTTENS LÄN</t>
        </is>
      </c>
      <c r="E9788" t="inlineStr">
        <is>
          <t>LYCKSELE</t>
        </is>
      </c>
      <c r="F9788" t="inlineStr">
        <is>
          <t>Holmen skog AB</t>
        </is>
      </c>
      <c r="G9788" t="n">
        <v>14.4</v>
      </c>
      <c r="H9788" t="n">
        <v>0</v>
      </c>
      <c r="I9788" t="n">
        <v>0</v>
      </c>
      <c r="J9788" t="n">
        <v>0</v>
      </c>
      <c r="K9788" t="n">
        <v>0</v>
      </c>
      <c r="L9788" t="n">
        <v>0</v>
      </c>
      <c r="M9788" t="n">
        <v>0</v>
      </c>
      <c r="N9788" t="n">
        <v>0</v>
      </c>
      <c r="O9788" t="n">
        <v>0</v>
      </c>
      <c r="P9788" t="n">
        <v>0</v>
      </c>
      <c r="Q9788" t="n">
        <v>0</v>
      </c>
      <c r="R9788" s="2" t="inlineStr"/>
    </row>
    <row r="9789" ht="15" customHeight="1">
      <c r="A9789" t="inlineStr">
        <is>
          <t>A 53456-2025</t>
        </is>
      </c>
      <c r="B9789" s="1" t="n">
        <v>45959.66428240741</v>
      </c>
      <c r="C9789" s="1" t="n">
        <v>45971</v>
      </c>
      <c r="D9789" t="inlineStr">
        <is>
          <t>VÄSTERBOTTENS LÄN</t>
        </is>
      </c>
      <c r="E9789" t="inlineStr">
        <is>
          <t>NORDMALING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17302-2025</t>
        </is>
      </c>
      <c r="B9790" s="1" t="n">
        <v>45756</v>
      </c>
      <c r="C9790" s="1" t="n">
        <v>45971</v>
      </c>
      <c r="D9790" t="inlineStr">
        <is>
          <t>VÄSTERBOTTENS LÄN</t>
        </is>
      </c>
      <c r="E9790" t="inlineStr">
        <is>
          <t>VILHELMINA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17314-2025</t>
        </is>
      </c>
      <c r="B9791" s="1" t="n">
        <v>45756</v>
      </c>
      <c r="C9791" s="1" t="n">
        <v>45971</v>
      </c>
      <c r="D9791" t="inlineStr">
        <is>
          <t>VÄSTERBOTTENS LÄN</t>
        </is>
      </c>
      <c r="E9791" t="inlineStr">
        <is>
          <t>VILHELMINA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44970-2025</t>
        </is>
      </c>
      <c r="B9792" s="1" t="n">
        <v>45918.63601851852</v>
      </c>
      <c r="C9792" s="1" t="n">
        <v>45971</v>
      </c>
      <c r="D9792" t="inlineStr">
        <is>
          <t>VÄSTERBOTTENS LÄN</t>
        </is>
      </c>
      <c r="E9792" t="inlineStr">
        <is>
          <t>STORUMAN</t>
        </is>
      </c>
      <c r="F9792" t="inlineStr">
        <is>
          <t>SCA</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44669-2025</t>
        </is>
      </c>
      <c r="B9793" s="1" t="n">
        <v>45917.56386574074</v>
      </c>
      <c r="C9793" s="1" t="n">
        <v>45971</v>
      </c>
      <c r="D9793" t="inlineStr">
        <is>
          <t>VÄSTERBOTTENS LÄN</t>
        </is>
      </c>
      <c r="E9793" t="inlineStr">
        <is>
          <t>ÅSELE</t>
        </is>
      </c>
      <c r="F9793" t="inlineStr">
        <is>
          <t>Holmen skog AB</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44772-2025</t>
        </is>
      </c>
      <c r="B9794" s="1" t="n">
        <v>45917.81572916666</v>
      </c>
      <c r="C9794" s="1" t="n">
        <v>45971</v>
      </c>
      <c r="D9794" t="inlineStr">
        <is>
          <t>VÄSTERBOTTENS LÄN</t>
        </is>
      </c>
      <c r="E9794" t="inlineStr">
        <is>
          <t>NORDMALING</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44773-2025</t>
        </is>
      </c>
      <c r="B9795" s="1" t="n">
        <v>45917.82435185185</v>
      </c>
      <c r="C9795" s="1" t="n">
        <v>45971</v>
      </c>
      <c r="D9795" t="inlineStr">
        <is>
          <t>VÄSTERBOTTENS LÄN</t>
        </is>
      </c>
      <c r="E9795" t="inlineStr">
        <is>
          <t>NORDMALING</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47243-2025</t>
        </is>
      </c>
      <c r="B9796" s="1" t="n">
        <v>45930</v>
      </c>
      <c r="C9796" s="1" t="n">
        <v>45971</v>
      </c>
      <c r="D9796" t="inlineStr">
        <is>
          <t>VÄSTERBOTTENS LÄN</t>
        </is>
      </c>
      <c r="E9796" t="inlineStr">
        <is>
          <t>SKELLEFTEÅ</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53355-2025</t>
        </is>
      </c>
      <c r="B9797" s="1" t="n">
        <v>45959.44872685185</v>
      </c>
      <c r="C9797" s="1" t="n">
        <v>45971</v>
      </c>
      <c r="D9797" t="inlineStr">
        <is>
          <t>VÄSTERBOTTENS LÄN</t>
        </is>
      </c>
      <c r="E9797" t="inlineStr">
        <is>
          <t>VÄNNÄS</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33198-2025</t>
        </is>
      </c>
      <c r="B9798" s="1" t="n">
        <v>45840.6047800926</v>
      </c>
      <c r="C9798" s="1" t="n">
        <v>45971</v>
      </c>
      <c r="D9798" t="inlineStr">
        <is>
          <t>VÄSTERBOTTENS LÄN</t>
        </is>
      </c>
      <c r="E9798" t="inlineStr">
        <is>
          <t>UMEÅ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53376-2025</t>
        </is>
      </c>
      <c r="B9799" s="1" t="n">
        <v>45959.52413194445</v>
      </c>
      <c r="C9799" s="1" t="n">
        <v>45971</v>
      </c>
      <c r="D9799" t="inlineStr">
        <is>
          <t>VÄSTERBOTTENS LÄN</t>
        </is>
      </c>
      <c r="E9799" t="inlineStr">
        <is>
          <t>SKELLEFTEÅ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32752-2025</t>
        </is>
      </c>
      <c r="B9800" s="1" t="n">
        <v>45839.42896990741</v>
      </c>
      <c r="C9800" s="1" t="n">
        <v>45971</v>
      </c>
      <c r="D9800" t="inlineStr">
        <is>
          <t>VÄSTERBOTTENS LÄN</t>
        </is>
      </c>
      <c r="E9800" t="inlineStr">
        <is>
          <t>LYCKSELE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53218-2025</t>
        </is>
      </c>
      <c r="B9801" s="1" t="n">
        <v>45958.60057870371</v>
      </c>
      <c r="C9801" s="1" t="n">
        <v>45971</v>
      </c>
      <c r="D9801" t="inlineStr">
        <is>
          <t>VÄSTERBOTTENS LÄN</t>
        </is>
      </c>
      <c r="E9801" t="inlineStr">
        <is>
          <t>ROBERTSFORS</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32820-2025</t>
        </is>
      </c>
      <c r="B9802" s="1" t="n">
        <v>45839.53807870371</v>
      </c>
      <c r="C9802" s="1" t="n">
        <v>45971</v>
      </c>
      <c r="D9802" t="inlineStr">
        <is>
          <t>VÄSTERBOTTENS LÄN</t>
        </is>
      </c>
      <c r="E9802" t="inlineStr">
        <is>
          <t>ROBERTSFORS</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53531-2025</t>
        </is>
      </c>
      <c r="B9803" s="1" t="n">
        <v>45960.36533564814</v>
      </c>
      <c r="C9803" s="1" t="n">
        <v>45971</v>
      </c>
      <c r="D9803" t="inlineStr">
        <is>
          <t>VÄSTERBOTTENS LÄN</t>
        </is>
      </c>
      <c r="E9803" t="inlineStr">
        <is>
          <t>SKELLEFTEÅ</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32810-2025</t>
        </is>
      </c>
      <c r="B9804" s="1" t="n">
        <v>45839.51207175926</v>
      </c>
      <c r="C9804" s="1" t="n">
        <v>45971</v>
      </c>
      <c r="D9804" t="inlineStr">
        <is>
          <t>VÄSTERBOTTENS LÄN</t>
        </is>
      </c>
      <c r="E9804" t="inlineStr">
        <is>
          <t>ÅSELE</t>
        </is>
      </c>
      <c r="F9804" t="inlineStr">
        <is>
          <t>Holmen skog AB</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32828-2025</t>
        </is>
      </c>
      <c r="B9805" s="1" t="n">
        <v>45839.54767361111</v>
      </c>
      <c r="C9805" s="1" t="n">
        <v>45971</v>
      </c>
      <c r="D9805" t="inlineStr">
        <is>
          <t>VÄSTERBOTTENS LÄN</t>
        </is>
      </c>
      <c r="E9805" t="inlineStr">
        <is>
          <t>ROBERTSFORS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32843-2025</t>
        </is>
      </c>
      <c r="B9806" s="1" t="n">
        <v>45839.57009259259</v>
      </c>
      <c r="C9806" s="1" t="n">
        <v>45971</v>
      </c>
      <c r="D9806" t="inlineStr">
        <is>
          <t>VÄSTERBOTTENS LÄN</t>
        </is>
      </c>
      <c r="E9806" t="inlineStr">
        <is>
          <t>ROBERTSFORS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32581-2022</t>
        </is>
      </c>
      <c r="B9807" s="1" t="n">
        <v>44783</v>
      </c>
      <c r="C9807" s="1" t="n">
        <v>45971</v>
      </c>
      <c r="D9807" t="inlineStr">
        <is>
          <t>VÄSTERBOTTENS LÄN</t>
        </is>
      </c>
      <c r="E9807" t="inlineStr">
        <is>
          <t>ROBERTSFORS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33073-2025</t>
        </is>
      </c>
      <c r="B9808" s="1" t="n">
        <v>45840.45332175926</v>
      </c>
      <c r="C9808" s="1" t="n">
        <v>45971</v>
      </c>
      <c r="D9808" t="inlineStr">
        <is>
          <t>VÄSTERBOTTENS LÄN</t>
        </is>
      </c>
      <c r="E9808" t="inlineStr">
        <is>
          <t>SKELLEFTEÅ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33085-2025</t>
        </is>
      </c>
      <c r="B9809" s="1" t="n">
        <v>45840.46704861111</v>
      </c>
      <c r="C9809" s="1" t="n">
        <v>45971</v>
      </c>
      <c r="D9809" t="inlineStr">
        <is>
          <t>VÄSTERBOTTENS LÄN</t>
        </is>
      </c>
      <c r="E9809" t="inlineStr">
        <is>
          <t>UMEÅ</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44965-2025</t>
        </is>
      </c>
      <c r="B9810" s="1" t="n">
        <v>45918.62368055555</v>
      </c>
      <c r="C9810" s="1" t="n">
        <v>45971</v>
      </c>
      <c r="D9810" t="inlineStr">
        <is>
          <t>VÄSTERBOTTENS LÄN</t>
        </is>
      </c>
      <c r="E9810" t="inlineStr">
        <is>
          <t>ROBERTSFORS</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44975-2025</t>
        </is>
      </c>
      <c r="B9811" s="1" t="n">
        <v>45918.64300925926</v>
      </c>
      <c r="C9811" s="1" t="n">
        <v>45971</v>
      </c>
      <c r="D9811" t="inlineStr">
        <is>
          <t>VÄSTERBOTTENS LÄN</t>
        </is>
      </c>
      <c r="E9811" t="inlineStr">
        <is>
          <t>VÄNNÄS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44992-2025</t>
        </is>
      </c>
      <c r="B9812" s="1" t="n">
        <v>45918.65660879629</v>
      </c>
      <c r="C9812" s="1" t="n">
        <v>45971</v>
      </c>
      <c r="D9812" t="inlineStr">
        <is>
          <t>VÄSTERBOTTENS LÄN</t>
        </is>
      </c>
      <c r="E9812" t="inlineStr">
        <is>
          <t>ÅSELE</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31955-2025</t>
        </is>
      </c>
      <c r="B9813" s="1" t="n">
        <v>45835</v>
      </c>
      <c r="C9813" s="1" t="n">
        <v>45971</v>
      </c>
      <c r="D9813" t="inlineStr">
        <is>
          <t>VÄSTERBOTTENS LÄN</t>
        </is>
      </c>
      <c r="E9813" t="inlineStr">
        <is>
          <t>SKELLEFTEÅ</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33167-2025</t>
        </is>
      </c>
      <c r="B9814" s="1" t="n">
        <v>45840.57563657407</v>
      </c>
      <c r="C9814" s="1" t="n">
        <v>45971</v>
      </c>
      <c r="D9814" t="inlineStr">
        <is>
          <t>VÄSTERBOTTENS LÄN</t>
        </is>
      </c>
      <c r="E9814" t="inlineStr">
        <is>
          <t>NORSJÖ</t>
        </is>
      </c>
      <c r="F9814" t="inlineStr">
        <is>
          <t>Holmen skog AB</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9840-2025</t>
        </is>
      </c>
      <c r="B9815" s="1" t="n">
        <v>45716</v>
      </c>
      <c r="C9815" s="1" t="n">
        <v>45971</v>
      </c>
      <c r="D9815" t="inlineStr">
        <is>
          <t>VÄSTERBOTTENS LÄN</t>
        </is>
      </c>
      <c r="E9815" t="inlineStr">
        <is>
          <t>SKELLEFTEÅ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3370-2025</t>
        </is>
      </c>
      <c r="B9816" s="1" t="n">
        <v>45679</v>
      </c>
      <c r="C9816" s="1" t="n">
        <v>45971</v>
      </c>
      <c r="D9816" t="inlineStr">
        <is>
          <t>VÄSTERBOTTENS LÄN</t>
        </is>
      </c>
      <c r="E9816" t="inlineStr">
        <is>
          <t>SKELLEFTEÅ</t>
        </is>
      </c>
      <c r="G9816" t="n">
        <v>15.7</v>
      </c>
      <c r="H9816" t="n">
        <v>0</v>
      </c>
      <c r="I9816" t="n">
        <v>0</v>
      </c>
      <c r="J9816" t="n">
        <v>0</v>
      </c>
      <c r="K9816" t="n">
        <v>0</v>
      </c>
      <c r="L9816" t="n">
        <v>0</v>
      </c>
      <c r="M9816" t="n">
        <v>0</v>
      </c>
      <c r="N9816" t="n">
        <v>0</v>
      </c>
      <c r="O9816" t="n">
        <v>0</v>
      </c>
      <c r="P9816" t="n">
        <v>0</v>
      </c>
      <c r="Q9816" t="n">
        <v>0</v>
      </c>
      <c r="R9816" s="2" t="inlineStr"/>
    </row>
    <row r="9817" ht="15" customHeight="1">
      <c r="A9817" t="inlineStr">
        <is>
          <t>A 33193-2025</t>
        </is>
      </c>
      <c r="B9817" s="1" t="n">
        <v>45840.60122685185</v>
      </c>
      <c r="C9817" s="1" t="n">
        <v>45971</v>
      </c>
      <c r="D9817" t="inlineStr">
        <is>
          <t>VÄSTERBOTTENS LÄN</t>
        </is>
      </c>
      <c r="E9817" t="inlineStr">
        <is>
          <t>UMEÅ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33210-2025</t>
        </is>
      </c>
      <c r="B9818" s="1" t="n">
        <v>45840.62734953704</v>
      </c>
      <c r="C9818" s="1" t="n">
        <v>45971</v>
      </c>
      <c r="D9818" t="inlineStr">
        <is>
          <t>VÄSTERBOTTENS LÄN</t>
        </is>
      </c>
      <c r="E9818" t="inlineStr">
        <is>
          <t>UMEÅ</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2955-2024</t>
        </is>
      </c>
      <c r="B9819" s="1" t="n">
        <v>45315.64509259259</v>
      </c>
      <c r="C9819" s="1" t="n">
        <v>45971</v>
      </c>
      <c r="D9819" t="inlineStr">
        <is>
          <t>VÄSTERBOTTENS LÄN</t>
        </is>
      </c>
      <c r="E9819" t="inlineStr">
        <is>
          <t>SKELLEFTEÅ</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32927-2025</t>
        </is>
      </c>
      <c r="B9820" s="1" t="n">
        <v>45839.66170138889</v>
      </c>
      <c r="C9820" s="1" t="n">
        <v>45971</v>
      </c>
      <c r="D9820" t="inlineStr">
        <is>
          <t>VÄSTERBOTTENS LÄN</t>
        </is>
      </c>
      <c r="E9820" t="inlineStr">
        <is>
          <t>STORUMAN</t>
        </is>
      </c>
      <c r="F9820" t="inlineStr">
        <is>
          <t>Sveaskog</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32931-2025</t>
        </is>
      </c>
      <c r="B9821" s="1" t="n">
        <v>45839.66858796297</v>
      </c>
      <c r="C9821" s="1" t="n">
        <v>45971</v>
      </c>
      <c r="D9821" t="inlineStr">
        <is>
          <t>VÄSTERBOTTENS LÄN</t>
        </is>
      </c>
      <c r="E9821" t="inlineStr">
        <is>
          <t>SKELLEFTEÅ</t>
        </is>
      </c>
      <c r="F9821" t="inlineStr">
        <is>
          <t>Holmen skog AB</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32823-2025</t>
        </is>
      </c>
      <c r="B9822" s="1" t="n">
        <v>45839.54072916666</v>
      </c>
      <c r="C9822" s="1" t="n">
        <v>45971</v>
      </c>
      <c r="D9822" t="inlineStr">
        <is>
          <t>VÄSTERBOTTENS LÄN</t>
        </is>
      </c>
      <c r="E9822" t="inlineStr">
        <is>
          <t>ROBERTSFORS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32826-2025</t>
        </is>
      </c>
      <c r="B9823" s="1" t="n">
        <v>45839.54482638889</v>
      </c>
      <c r="C9823" s="1" t="n">
        <v>45971</v>
      </c>
      <c r="D9823" t="inlineStr">
        <is>
          <t>VÄSTERBOTTENS LÄN</t>
        </is>
      </c>
      <c r="E9823" t="inlineStr">
        <is>
          <t>ROBERTSFORS</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57886-2023</t>
        </is>
      </c>
      <c r="B9824" s="1" t="n">
        <v>45247.47538194444</v>
      </c>
      <c r="C9824" s="1" t="n">
        <v>45971</v>
      </c>
      <c r="D9824" t="inlineStr">
        <is>
          <t>VÄSTERBOTTENS LÄN</t>
        </is>
      </c>
      <c r="E9824" t="inlineStr">
        <is>
          <t>BJURHOLM</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3369-2025</t>
        </is>
      </c>
      <c r="B9825" s="1" t="n">
        <v>45679</v>
      </c>
      <c r="C9825" s="1" t="n">
        <v>45971</v>
      </c>
      <c r="D9825" t="inlineStr">
        <is>
          <t>VÄSTERBOTTENS LÄN</t>
        </is>
      </c>
      <c r="E9825" t="inlineStr">
        <is>
          <t>SORSELE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8915-2025</t>
        </is>
      </c>
      <c r="B9826" s="1" t="n">
        <v>45713</v>
      </c>
      <c r="C9826" s="1" t="n">
        <v>45971</v>
      </c>
      <c r="D9826" t="inlineStr">
        <is>
          <t>VÄSTERBOTTENS LÄN</t>
        </is>
      </c>
      <c r="E9826" t="inlineStr">
        <is>
          <t>LYCKSELE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32933-2025</t>
        </is>
      </c>
      <c r="B9827" s="1" t="n">
        <v>45839.67144675926</v>
      </c>
      <c r="C9827" s="1" t="n">
        <v>45971</v>
      </c>
      <c r="D9827" t="inlineStr">
        <is>
          <t>VÄSTERBOTTENS LÄN</t>
        </is>
      </c>
      <c r="E9827" t="inlineStr">
        <is>
          <t>SKELLEFTEÅ</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53564-2025</t>
        </is>
      </c>
      <c r="B9828" s="1" t="n">
        <v>45960.40697916667</v>
      </c>
      <c r="C9828" s="1" t="n">
        <v>45971</v>
      </c>
      <c r="D9828" t="inlineStr">
        <is>
          <t>VÄSTERBOTTENS LÄN</t>
        </is>
      </c>
      <c r="E9828" t="inlineStr">
        <is>
          <t>NORSJÖ</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32722-2025</t>
        </is>
      </c>
      <c r="B9829" s="1" t="n">
        <v>45839.38622685185</v>
      </c>
      <c r="C9829" s="1" t="n">
        <v>45971</v>
      </c>
      <c r="D9829" t="inlineStr">
        <is>
          <t>VÄSTERBOTTENS LÄN</t>
        </is>
      </c>
      <c r="E9829" t="inlineStr">
        <is>
          <t>LYCKSELE</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10109-2025</t>
        </is>
      </c>
      <c r="B9830" s="1" t="n">
        <v>45719</v>
      </c>
      <c r="C9830" s="1" t="n">
        <v>45971</v>
      </c>
      <c r="D9830" t="inlineStr">
        <is>
          <t>VÄSTERBOTTENS LÄN</t>
        </is>
      </c>
      <c r="E9830" t="inlineStr">
        <is>
          <t>ÅSELE</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33213-2025</t>
        </is>
      </c>
      <c r="B9831" s="1" t="n">
        <v>45840.62851851852</v>
      </c>
      <c r="C9831" s="1" t="n">
        <v>45971</v>
      </c>
      <c r="D9831" t="inlineStr">
        <is>
          <t>VÄSTERBOTTENS LÄN</t>
        </is>
      </c>
      <c r="E9831" t="inlineStr">
        <is>
          <t>NORDMALING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33227-2025</t>
        </is>
      </c>
      <c r="B9832" s="1" t="n">
        <v>45840.63763888889</v>
      </c>
      <c r="C9832" s="1" t="n">
        <v>45971</v>
      </c>
      <c r="D9832" t="inlineStr">
        <is>
          <t>VÄSTERBOTTENS LÄN</t>
        </is>
      </c>
      <c r="E9832" t="inlineStr">
        <is>
          <t>NORDMALING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33267-2025</t>
        </is>
      </c>
      <c r="B9833" s="1" t="n">
        <v>45840.67862268518</v>
      </c>
      <c r="C9833" s="1" t="n">
        <v>45971</v>
      </c>
      <c r="D9833" t="inlineStr">
        <is>
          <t>VÄSTERBOTTENS LÄN</t>
        </is>
      </c>
      <c r="E9833" t="inlineStr">
        <is>
          <t>DOROTEA</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44826-2025</t>
        </is>
      </c>
      <c r="B9834" s="1" t="n">
        <v>45918.38855324074</v>
      </c>
      <c r="C9834" s="1" t="n">
        <v>45971</v>
      </c>
      <c r="D9834" t="inlineStr">
        <is>
          <t>VÄSTERBOTTENS LÄN</t>
        </is>
      </c>
      <c r="E9834" t="inlineStr">
        <is>
          <t>SKELLEFTEÅ</t>
        </is>
      </c>
      <c r="F9834" t="inlineStr">
        <is>
          <t>Holmen skog AB</t>
        </is>
      </c>
      <c r="G9834" t="n">
        <v>11.8</v>
      </c>
      <c r="H9834" t="n">
        <v>0</v>
      </c>
      <c r="I9834" t="n">
        <v>0</v>
      </c>
      <c r="J9834" t="n">
        <v>0</v>
      </c>
      <c r="K9834" t="n">
        <v>0</v>
      </c>
      <c r="L9834" t="n">
        <v>0</v>
      </c>
      <c r="M9834" t="n">
        <v>0</v>
      </c>
      <c r="N9834" t="n">
        <v>0</v>
      </c>
      <c r="O9834" t="n">
        <v>0</v>
      </c>
      <c r="P9834" t="n">
        <v>0</v>
      </c>
      <c r="Q9834" t="n">
        <v>0</v>
      </c>
      <c r="R9834" s="2" t="inlineStr"/>
    </row>
    <row r="9835" ht="15" customHeight="1">
      <c r="A9835" t="inlineStr">
        <is>
          <t>A 32941-2025</t>
        </is>
      </c>
      <c r="B9835" s="1" t="n">
        <v>45839.67783564814</v>
      </c>
      <c r="C9835" s="1" t="n">
        <v>45971</v>
      </c>
      <c r="D9835" t="inlineStr">
        <is>
          <t>VÄSTERBOTTENS LÄN</t>
        </is>
      </c>
      <c r="E9835" t="inlineStr">
        <is>
          <t>LYCKSELE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32955-2025</t>
        </is>
      </c>
      <c r="B9836" s="1" t="n">
        <v>45839</v>
      </c>
      <c r="C9836" s="1" t="n">
        <v>45971</v>
      </c>
      <c r="D9836" t="inlineStr">
        <is>
          <t>VÄSTERBOTTENS LÄN</t>
        </is>
      </c>
      <c r="E9836" t="inlineStr">
        <is>
          <t>SKELLEFTEÅ</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28365-2025</t>
        </is>
      </c>
      <c r="B9837" s="1" t="n">
        <v>45818.83288194444</v>
      </c>
      <c r="C9837" s="1" t="n">
        <v>45971</v>
      </c>
      <c r="D9837" t="inlineStr">
        <is>
          <t>VÄSTERBOTTENS LÄN</t>
        </is>
      </c>
      <c r="E9837" t="inlineStr">
        <is>
          <t>SKELLEFTEÅ</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44911-2025</t>
        </is>
      </c>
      <c r="B9838" s="1" t="n">
        <v>45918.53216435185</v>
      </c>
      <c r="C9838" s="1" t="n">
        <v>45971</v>
      </c>
      <c r="D9838" t="inlineStr">
        <is>
          <t>VÄSTERBOTTENS LÄN</t>
        </is>
      </c>
      <c r="E9838" t="inlineStr">
        <is>
          <t>SKELLEFTEÅ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44922-2025</t>
        </is>
      </c>
      <c r="B9839" s="1" t="n">
        <v>45918.55274305555</v>
      </c>
      <c r="C9839" s="1" t="n">
        <v>45971</v>
      </c>
      <c r="D9839" t="inlineStr">
        <is>
          <t>VÄSTERBOTTENS LÄN</t>
        </is>
      </c>
      <c r="E9839" t="inlineStr">
        <is>
          <t>SKELLEFTEÅ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13364-2025</t>
        </is>
      </c>
      <c r="B9840" s="1" t="n">
        <v>45735</v>
      </c>
      <c r="C9840" s="1" t="n">
        <v>45971</v>
      </c>
      <c r="D9840" t="inlineStr">
        <is>
          <t>VÄSTERBOTTENS LÄN</t>
        </is>
      </c>
      <c r="E9840" t="inlineStr">
        <is>
          <t>DOROTEA</t>
        </is>
      </c>
      <c r="F9840" t="inlineStr">
        <is>
          <t>SCA</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2608-2024</t>
        </is>
      </c>
      <c r="B9841" s="1" t="n">
        <v>45313.76722222222</v>
      </c>
      <c r="C9841" s="1" t="n">
        <v>45971</v>
      </c>
      <c r="D9841" t="inlineStr">
        <is>
          <t>VÄSTERBOTTENS LÄN</t>
        </is>
      </c>
      <c r="E9841" t="inlineStr">
        <is>
          <t>ÅSELE</t>
        </is>
      </c>
      <c r="F9841" t="inlineStr">
        <is>
          <t>Övriga Aktiebolag</t>
        </is>
      </c>
      <c r="G9841" t="n">
        <v>20.6</v>
      </c>
      <c r="H9841" t="n">
        <v>0</v>
      </c>
      <c r="I9841" t="n">
        <v>0</v>
      </c>
      <c r="J9841" t="n">
        <v>0</v>
      </c>
      <c r="K9841" t="n">
        <v>0</v>
      </c>
      <c r="L9841" t="n">
        <v>0</v>
      </c>
      <c r="M9841" t="n">
        <v>0</v>
      </c>
      <c r="N9841" t="n">
        <v>0</v>
      </c>
      <c r="O9841" t="n">
        <v>0</v>
      </c>
      <c r="P9841" t="n">
        <v>0</v>
      </c>
      <c r="Q9841" t="n">
        <v>0</v>
      </c>
      <c r="R9841" s="2" t="inlineStr"/>
    </row>
    <row r="9842" ht="15" customHeight="1">
      <c r="A9842" t="inlineStr">
        <is>
          <t>A 32891-2025</t>
        </is>
      </c>
      <c r="B9842" s="1" t="n">
        <v>45839.60825231481</v>
      </c>
      <c r="C9842" s="1" t="n">
        <v>45971</v>
      </c>
      <c r="D9842" t="inlineStr">
        <is>
          <t>VÄSTERBOTTENS LÄN</t>
        </is>
      </c>
      <c r="E9842" t="inlineStr">
        <is>
          <t>ÅSELE</t>
        </is>
      </c>
      <c r="F9842" t="inlineStr">
        <is>
          <t>Holmen skog AB</t>
        </is>
      </c>
      <c r="G9842" t="n">
        <v>18.8</v>
      </c>
      <c r="H9842" t="n">
        <v>0</v>
      </c>
      <c r="I9842" t="n">
        <v>0</v>
      </c>
      <c r="J9842" t="n">
        <v>0</v>
      </c>
      <c r="K9842" t="n">
        <v>0</v>
      </c>
      <c r="L9842" t="n">
        <v>0</v>
      </c>
      <c r="M9842" t="n">
        <v>0</v>
      </c>
      <c r="N9842" t="n">
        <v>0</v>
      </c>
      <c r="O9842" t="n">
        <v>0</v>
      </c>
      <c r="P9842" t="n">
        <v>0</v>
      </c>
      <c r="Q9842" t="n">
        <v>0</v>
      </c>
      <c r="R9842" s="2" t="inlineStr"/>
    </row>
    <row r="9843" ht="15" customHeight="1">
      <c r="A9843" t="inlineStr">
        <is>
          <t>A 59080-2022</t>
        </is>
      </c>
      <c r="B9843" s="1" t="n">
        <v>44904</v>
      </c>
      <c r="C9843" s="1" t="n">
        <v>45971</v>
      </c>
      <c r="D9843" t="inlineStr">
        <is>
          <t>VÄSTERBOTTENS LÄN</t>
        </is>
      </c>
      <c r="E9843" t="inlineStr">
        <is>
          <t>UMEÅ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14461-2025</t>
        </is>
      </c>
      <c r="B9844" s="1" t="n">
        <v>45741.56851851852</v>
      </c>
      <c r="C9844" s="1" t="n">
        <v>45971</v>
      </c>
      <c r="D9844" t="inlineStr">
        <is>
          <t>VÄSTERBOTTENS LÄN</t>
        </is>
      </c>
      <c r="E9844" t="inlineStr">
        <is>
          <t>MALÅ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53775-2025</t>
        </is>
      </c>
      <c r="B9845" s="1" t="n">
        <v>45960.68865740741</v>
      </c>
      <c r="C9845" s="1" t="n">
        <v>45971</v>
      </c>
      <c r="D9845" t="inlineStr">
        <is>
          <t>VÄSTERBOTTENS LÄN</t>
        </is>
      </c>
      <c r="E9845" t="inlineStr">
        <is>
          <t>SKELLEFTEÅ</t>
        </is>
      </c>
      <c r="G9845" t="n">
        <v>15.2</v>
      </c>
      <c r="H9845" t="n">
        <v>0</v>
      </c>
      <c r="I9845" t="n">
        <v>0</v>
      </c>
      <c r="J9845" t="n">
        <v>0</v>
      </c>
      <c r="K9845" t="n">
        <v>0</v>
      </c>
      <c r="L9845" t="n">
        <v>0</v>
      </c>
      <c r="M9845" t="n">
        <v>0</v>
      </c>
      <c r="N9845" t="n">
        <v>0</v>
      </c>
      <c r="O9845" t="n">
        <v>0</v>
      </c>
      <c r="P9845" t="n">
        <v>0</v>
      </c>
      <c r="Q9845" t="n">
        <v>0</v>
      </c>
      <c r="R9845" s="2" t="inlineStr"/>
    </row>
    <row r="9846" ht="15" customHeight="1">
      <c r="A9846" t="inlineStr">
        <is>
          <t>A 25446-2024</t>
        </is>
      </c>
      <c r="B9846" s="1" t="n">
        <v>45463</v>
      </c>
      <c r="C9846" s="1" t="n">
        <v>45971</v>
      </c>
      <c r="D9846" t="inlineStr">
        <is>
          <t>VÄSTERBOTTENS LÄN</t>
        </is>
      </c>
      <c r="E9846" t="inlineStr">
        <is>
          <t>ROBERTSFORS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33242-2025</t>
        </is>
      </c>
      <c r="B9847" s="1" t="n">
        <v>45840.65033564815</v>
      </c>
      <c r="C9847" s="1" t="n">
        <v>45971</v>
      </c>
      <c r="D9847" t="inlineStr">
        <is>
          <t>VÄSTERBOTTENS LÄN</t>
        </is>
      </c>
      <c r="E9847" t="inlineStr">
        <is>
          <t>NORSJÖ</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32439-2025</t>
        </is>
      </c>
      <c r="B9848" s="1" t="n">
        <v>45838.3827662037</v>
      </c>
      <c r="C9848" s="1" t="n">
        <v>45971</v>
      </c>
      <c r="D9848" t="inlineStr">
        <is>
          <t>VÄSTERBOTTENS LÄN</t>
        </is>
      </c>
      <c r="E9848" t="inlineStr">
        <is>
          <t>NORSJÖ</t>
        </is>
      </c>
      <c r="F9848" t="inlineStr">
        <is>
          <t>Holmen skog AB</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32801-2025</t>
        </is>
      </c>
      <c r="B9849" s="1" t="n">
        <v>45839.49627314815</v>
      </c>
      <c r="C9849" s="1" t="n">
        <v>45971</v>
      </c>
      <c r="D9849" t="inlineStr">
        <is>
          <t>VÄSTERBOTTENS LÄN</t>
        </is>
      </c>
      <c r="E9849" t="inlineStr">
        <is>
          <t>ROBERTSFORS</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14418-2025</t>
        </is>
      </c>
      <c r="B9850" s="1" t="n">
        <v>45741</v>
      </c>
      <c r="C9850" s="1" t="n">
        <v>45971</v>
      </c>
      <c r="D9850" t="inlineStr">
        <is>
          <t>VÄSTERBOTTENS LÄN</t>
        </is>
      </c>
      <c r="E9850" t="inlineStr">
        <is>
          <t>ROBERTSFORS</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33091-2025</t>
        </is>
      </c>
      <c r="B9851" s="1" t="n">
        <v>45840.46914351852</v>
      </c>
      <c r="C9851" s="1" t="n">
        <v>45971</v>
      </c>
      <c r="D9851" t="inlineStr">
        <is>
          <t>VÄSTERBOTTENS LÄN</t>
        </is>
      </c>
      <c r="E9851" t="inlineStr">
        <is>
          <t>DOROTEA</t>
        </is>
      </c>
      <c r="F9851" t="inlineStr">
        <is>
          <t>SCA</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44784-2025</t>
        </is>
      </c>
      <c r="B9852" s="1" t="n">
        <v>45917.92033564814</v>
      </c>
      <c r="C9852" s="1" t="n">
        <v>45971</v>
      </c>
      <c r="D9852" t="inlineStr">
        <is>
          <t>VÄSTERBOTTENS LÄN</t>
        </is>
      </c>
      <c r="E9852" t="inlineStr">
        <is>
          <t>DOROTEA</t>
        </is>
      </c>
      <c r="F9852" t="inlineStr">
        <is>
          <t>SCA</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33104-2025</t>
        </is>
      </c>
      <c r="B9853" s="1" t="n">
        <v>45840.48296296296</v>
      </c>
      <c r="C9853" s="1" t="n">
        <v>45971</v>
      </c>
      <c r="D9853" t="inlineStr">
        <is>
          <t>VÄSTERBOTTENS LÄN</t>
        </is>
      </c>
      <c r="E9853" t="inlineStr">
        <is>
          <t>SKELLEFTEÅ</t>
        </is>
      </c>
      <c r="F9853" t="inlineStr">
        <is>
          <t>Holmen skog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32945-2025</t>
        </is>
      </c>
      <c r="B9854" s="1" t="n">
        <v>45839.68309027778</v>
      </c>
      <c r="C9854" s="1" t="n">
        <v>45971</v>
      </c>
      <c r="D9854" t="inlineStr">
        <is>
          <t>VÄSTERBOTTENS LÄN</t>
        </is>
      </c>
      <c r="E9854" t="inlineStr">
        <is>
          <t>ÅSELE</t>
        </is>
      </c>
      <c r="F9854" t="inlineStr">
        <is>
          <t>Holmen skog AB</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59648-2023</t>
        </is>
      </c>
      <c r="B9855" s="1" t="n">
        <v>45253</v>
      </c>
      <c r="C9855" s="1" t="n">
        <v>45971</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33067-2025</t>
        </is>
      </c>
      <c r="B9856" s="1" t="n">
        <v>45840.44748842593</v>
      </c>
      <c r="C9856" s="1" t="n">
        <v>45971</v>
      </c>
      <c r="D9856" t="inlineStr">
        <is>
          <t>VÄSTERBOTTENS LÄN</t>
        </is>
      </c>
      <c r="E9856" t="inlineStr">
        <is>
          <t>LYCKSELE</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26626-2024</t>
        </is>
      </c>
      <c r="B9857" s="1" t="n">
        <v>45469.78458333333</v>
      </c>
      <c r="C9857" s="1" t="n">
        <v>45971</v>
      </c>
      <c r="D9857" t="inlineStr">
        <is>
          <t>VÄSTERBOTTENS LÄN</t>
        </is>
      </c>
      <c r="E9857" t="inlineStr">
        <is>
          <t>SKELLEFTEÅ</t>
        </is>
      </c>
      <c r="F9857" t="inlineStr">
        <is>
          <t>Sveaskog</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58012-2023</t>
        </is>
      </c>
      <c r="B9858" s="1" t="n">
        <v>45244</v>
      </c>
      <c r="C9858" s="1" t="n">
        <v>45971</v>
      </c>
      <c r="D9858" t="inlineStr">
        <is>
          <t>VÄSTERBOTTENS LÄN</t>
        </is>
      </c>
      <c r="E9858" t="inlineStr">
        <is>
          <t>SKELLEFTEÅ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30053-2025</t>
        </is>
      </c>
      <c r="B9859" s="1" t="n">
        <v>45826.60013888889</v>
      </c>
      <c r="C9859" s="1" t="n">
        <v>45971</v>
      </c>
      <c r="D9859" t="inlineStr">
        <is>
          <t>VÄSTERBOTTENS LÄN</t>
        </is>
      </c>
      <c r="E9859" t="inlineStr">
        <is>
          <t>UMEÅ</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55456-2022</t>
        </is>
      </c>
      <c r="B9860" s="1" t="n">
        <v>44887</v>
      </c>
      <c r="C9860" s="1" t="n">
        <v>45971</v>
      </c>
      <c r="D9860" t="inlineStr">
        <is>
          <t>VÄSTERBOTTENS LÄN</t>
        </is>
      </c>
      <c r="E9860" t="inlineStr">
        <is>
          <t>LYCKSELE</t>
        </is>
      </c>
      <c r="F9860" t="inlineStr">
        <is>
          <t>Holmen skog AB</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33220-2025</t>
        </is>
      </c>
      <c r="B9861" s="1" t="n">
        <v>45840.63465277778</v>
      </c>
      <c r="C9861" s="1" t="n">
        <v>45971</v>
      </c>
      <c r="D9861" t="inlineStr">
        <is>
          <t>VÄSTERBOTTENS LÄN</t>
        </is>
      </c>
      <c r="E9861" t="inlineStr">
        <is>
          <t>NORDMALING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64281-2023</t>
        </is>
      </c>
      <c r="B9862" s="1" t="n">
        <v>45279</v>
      </c>
      <c r="C9862" s="1" t="n">
        <v>45971</v>
      </c>
      <c r="D9862" t="inlineStr">
        <is>
          <t>VÄSTERBOTTENS LÄN</t>
        </is>
      </c>
      <c r="E9862" t="inlineStr">
        <is>
          <t>LYCKSELE</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32976-2025</t>
        </is>
      </c>
      <c r="B9863" s="1" t="n">
        <v>45839.79112268519</v>
      </c>
      <c r="C9863" s="1" t="n">
        <v>45971</v>
      </c>
      <c r="D9863" t="inlineStr">
        <is>
          <t>VÄSTERBOTTENS LÄN</t>
        </is>
      </c>
      <c r="E9863" t="inlineStr">
        <is>
          <t>ÅSELE</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33093-2025</t>
        </is>
      </c>
      <c r="B9864" s="1" t="n">
        <v>45840.47180555556</v>
      </c>
      <c r="C9864" s="1" t="n">
        <v>45971</v>
      </c>
      <c r="D9864" t="inlineStr">
        <is>
          <t>VÄSTERBOTTENS LÄN</t>
        </is>
      </c>
      <c r="E9864" t="inlineStr">
        <is>
          <t>SKELLEFTEÅ</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35119-2022</t>
        </is>
      </c>
      <c r="B9865" s="1" t="n">
        <v>44797</v>
      </c>
      <c r="C9865" s="1" t="n">
        <v>45971</v>
      </c>
      <c r="D9865" t="inlineStr">
        <is>
          <t>VÄSTERBOTTENS LÄN</t>
        </is>
      </c>
      <c r="E9865" t="inlineStr">
        <is>
          <t>SKELLEFTEÅ</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11314-2025</t>
        </is>
      </c>
      <c r="B9866" s="1" t="n">
        <v>45726.45561342593</v>
      </c>
      <c r="C9866" s="1" t="n">
        <v>45971</v>
      </c>
      <c r="D9866" t="inlineStr">
        <is>
          <t>VÄSTERBOTTENS LÄN</t>
        </is>
      </c>
      <c r="E9866" t="inlineStr">
        <is>
          <t>SKELLEFTEÅ</t>
        </is>
      </c>
      <c r="G9866" t="n">
        <v>8.800000000000001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33303-2025</t>
        </is>
      </c>
      <c r="B9867" s="1" t="n">
        <v>45841.29267361111</v>
      </c>
      <c r="C9867" s="1" t="n">
        <v>45971</v>
      </c>
      <c r="D9867" t="inlineStr">
        <is>
          <t>VÄSTERBOTTENS LÄN</t>
        </is>
      </c>
      <c r="E9867" t="inlineStr">
        <is>
          <t>SKELLEFTEÅ</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33305-2025</t>
        </is>
      </c>
      <c r="B9868" s="1" t="n">
        <v>45841.30456018518</v>
      </c>
      <c r="C9868" s="1" t="n">
        <v>45971</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33966-2025</t>
        </is>
      </c>
      <c r="B9869" s="1" t="n">
        <v>45842.75030092592</v>
      </c>
      <c r="C9869" s="1" t="n">
        <v>45971</v>
      </c>
      <c r="D9869" t="inlineStr">
        <is>
          <t>VÄSTERBOTTENS LÄN</t>
        </is>
      </c>
      <c r="E9869" t="inlineStr">
        <is>
          <t>LYCKSELE</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4568-2024</t>
        </is>
      </c>
      <c r="B9870" s="1" t="n">
        <v>45327</v>
      </c>
      <c r="C9870" s="1" t="n">
        <v>45971</v>
      </c>
      <c r="D9870" t="inlineStr">
        <is>
          <t>VÄSTERBOTTENS LÄN</t>
        </is>
      </c>
      <c r="E9870" t="inlineStr">
        <is>
          <t>VINDELN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33711-2025</t>
        </is>
      </c>
      <c r="B9871" s="1" t="n">
        <v>45841.83383101852</v>
      </c>
      <c r="C9871" s="1" t="n">
        <v>45971</v>
      </c>
      <c r="D9871" t="inlineStr">
        <is>
          <t>VÄSTERBOTTENS LÄN</t>
        </is>
      </c>
      <c r="E9871" t="inlineStr">
        <is>
          <t>ÅSELE</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51872-2025</t>
        </is>
      </c>
      <c r="B9872" s="1" t="n">
        <v>45952</v>
      </c>
      <c r="C9872" s="1" t="n">
        <v>45971</v>
      </c>
      <c r="D9872" t="inlineStr">
        <is>
          <t>VÄSTERBOTTENS LÄN</t>
        </is>
      </c>
      <c r="E9872" t="inlineStr">
        <is>
          <t>VINDELN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33943-2025</t>
        </is>
      </c>
      <c r="B9873" s="1" t="n">
        <v>45842.64652777778</v>
      </c>
      <c r="C9873" s="1" t="n">
        <v>45971</v>
      </c>
      <c r="D9873" t="inlineStr">
        <is>
          <t>VÄSTERBOTTENS LÄN</t>
        </is>
      </c>
      <c r="E9873" t="inlineStr">
        <is>
          <t>NORSJÖ</t>
        </is>
      </c>
      <c r="F9873" t="inlineStr">
        <is>
          <t>Holmen skog AB</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33860-2025</t>
        </is>
      </c>
      <c r="B9874" s="1" t="n">
        <v>45842.52545138889</v>
      </c>
      <c r="C9874" s="1" t="n">
        <v>45971</v>
      </c>
      <c r="D9874" t="inlineStr">
        <is>
          <t>VÄSTERBOTTENS LÄN</t>
        </is>
      </c>
      <c r="E9874" t="inlineStr">
        <is>
          <t>VINDELN</t>
        </is>
      </c>
      <c r="F9874" t="inlineStr">
        <is>
          <t>Sveaskog</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8954-2023</t>
        </is>
      </c>
      <c r="B9875" s="1" t="n">
        <v>44974</v>
      </c>
      <c r="C9875" s="1" t="n">
        <v>45971</v>
      </c>
      <c r="D9875" t="inlineStr">
        <is>
          <t>VÄSTERBOTTENS LÄN</t>
        </is>
      </c>
      <c r="E9875" t="inlineStr">
        <is>
          <t>VINDELN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33657-2025</t>
        </is>
      </c>
      <c r="B9876" s="1" t="n">
        <v>45841.66048611111</v>
      </c>
      <c r="C9876" s="1" t="n">
        <v>45971</v>
      </c>
      <c r="D9876" t="inlineStr">
        <is>
          <t>VÄSTERBOTTENS LÄN</t>
        </is>
      </c>
      <c r="E9876" t="inlineStr">
        <is>
          <t>VINDELN</t>
        </is>
      </c>
      <c r="F9876" t="inlineStr">
        <is>
          <t>Holmen skog AB</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8978-2025</t>
        </is>
      </c>
      <c r="B9877" s="1" t="n">
        <v>45713</v>
      </c>
      <c r="C9877" s="1" t="n">
        <v>45971</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33319-2025</t>
        </is>
      </c>
      <c r="B9878" s="1" t="n">
        <v>45841</v>
      </c>
      <c r="C9878" s="1" t="n">
        <v>45971</v>
      </c>
      <c r="D9878" t="inlineStr">
        <is>
          <t>VÄSTERBOTTENS LÄN</t>
        </is>
      </c>
      <c r="E9878" t="inlineStr">
        <is>
          <t>VILHELMINA</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33320-2025</t>
        </is>
      </c>
      <c r="B9879" s="1" t="n">
        <v>45841.34461805555</v>
      </c>
      <c r="C9879" s="1" t="n">
        <v>45971</v>
      </c>
      <c r="D9879" t="inlineStr">
        <is>
          <t>VÄSTERBOTTENS LÄN</t>
        </is>
      </c>
      <c r="E9879" t="inlineStr">
        <is>
          <t>VILHELMINA</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62284-2023</t>
        </is>
      </c>
      <c r="B9880" s="1" t="n">
        <v>45267</v>
      </c>
      <c r="C9880" s="1" t="n">
        <v>45971</v>
      </c>
      <c r="D9880" t="inlineStr">
        <is>
          <t>VÄSTERBOTTENS LÄN</t>
        </is>
      </c>
      <c r="E9880" t="inlineStr">
        <is>
          <t>MALÅ</t>
        </is>
      </c>
      <c r="F9880" t="inlineStr">
        <is>
          <t>Sveaskog</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46072-2022</t>
        </is>
      </c>
      <c r="B9881" s="1" t="n">
        <v>44844</v>
      </c>
      <c r="C9881" s="1" t="n">
        <v>45971</v>
      </c>
      <c r="D9881" t="inlineStr">
        <is>
          <t>VÄSTERBOTTENS LÄN</t>
        </is>
      </c>
      <c r="E9881" t="inlineStr">
        <is>
          <t>STORUMAN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46080-2022</t>
        </is>
      </c>
      <c r="B9882" s="1" t="n">
        <v>44845</v>
      </c>
      <c r="C9882" s="1" t="n">
        <v>45971</v>
      </c>
      <c r="D9882" t="inlineStr">
        <is>
          <t>VÄSTERBOTTENS LÄN</t>
        </is>
      </c>
      <c r="E9882" t="inlineStr">
        <is>
          <t>STORUMAN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33368-2025</t>
        </is>
      </c>
      <c r="B9883" s="1" t="n">
        <v>45841.38987268518</v>
      </c>
      <c r="C9883" s="1" t="n">
        <v>45971</v>
      </c>
      <c r="D9883" t="inlineStr">
        <is>
          <t>VÄSTERBOTTENS LÄN</t>
        </is>
      </c>
      <c r="E9883" t="inlineStr">
        <is>
          <t>ROBERTSFORS</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44895-2025</t>
        </is>
      </c>
      <c r="B9884" s="1" t="n">
        <v>45918.50277777778</v>
      </c>
      <c r="C9884" s="1" t="n">
        <v>45971</v>
      </c>
      <c r="D9884" t="inlineStr">
        <is>
          <t>VÄSTERBOTTENS LÄN</t>
        </is>
      </c>
      <c r="E9884" t="inlineStr">
        <is>
          <t>VÄNNÄS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53010-2025</t>
        </is>
      </c>
      <c r="B9885" s="1" t="n">
        <v>45957</v>
      </c>
      <c r="C9885" s="1" t="n">
        <v>45971</v>
      </c>
      <c r="D9885" t="inlineStr">
        <is>
          <t>VÄSTERBOTTENS LÄN</t>
        </is>
      </c>
      <c r="E9885" t="inlineStr">
        <is>
          <t>NORSJÖ</t>
        </is>
      </c>
      <c r="G9885" t="n">
        <v>41.8</v>
      </c>
      <c r="H9885" t="n">
        <v>0</v>
      </c>
      <c r="I9885" t="n">
        <v>0</v>
      </c>
      <c r="J9885" t="n">
        <v>0</v>
      </c>
      <c r="K9885" t="n">
        <v>0</v>
      </c>
      <c r="L9885" t="n">
        <v>0</v>
      </c>
      <c r="M9885" t="n">
        <v>0</v>
      </c>
      <c r="N9885" t="n">
        <v>0</v>
      </c>
      <c r="O9885" t="n">
        <v>0</v>
      </c>
      <c r="P9885" t="n">
        <v>0</v>
      </c>
      <c r="Q9885" t="n">
        <v>0</v>
      </c>
      <c r="R9885" s="2" t="inlineStr"/>
    </row>
    <row r="9886" ht="15" customHeight="1">
      <c r="A9886" t="inlineStr">
        <is>
          <t>A 33527-2025</t>
        </is>
      </c>
      <c r="B9886" s="1" t="n">
        <v>45841.54920138889</v>
      </c>
      <c r="C9886" s="1" t="n">
        <v>45971</v>
      </c>
      <c r="D9886" t="inlineStr">
        <is>
          <t>VÄSTERBOTTENS LÄN</t>
        </is>
      </c>
      <c r="E9886" t="inlineStr">
        <is>
          <t>LYCKSELE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7837-2023</t>
        </is>
      </c>
      <c r="B9887" s="1" t="n">
        <v>44973.48649305556</v>
      </c>
      <c r="C9887" s="1" t="n">
        <v>45971</v>
      </c>
      <c r="D9887" t="inlineStr">
        <is>
          <t>VÄSTERBOTTENS LÄN</t>
        </is>
      </c>
      <c r="E9887" t="inlineStr">
        <is>
          <t>LYCKSELE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61874-2023</t>
        </is>
      </c>
      <c r="B9888" s="1" t="n">
        <v>45266</v>
      </c>
      <c r="C9888" s="1" t="n">
        <v>45971</v>
      </c>
      <c r="D9888" t="inlineStr">
        <is>
          <t>VÄSTERBOTTENS LÄN</t>
        </is>
      </c>
      <c r="E9888" t="inlineStr">
        <is>
          <t>ÅSELE</t>
        </is>
      </c>
      <c r="F9888" t="inlineStr">
        <is>
          <t>Sveaskog</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61876-2023</t>
        </is>
      </c>
      <c r="B9889" s="1" t="n">
        <v>45266</v>
      </c>
      <c r="C9889" s="1" t="n">
        <v>45971</v>
      </c>
      <c r="D9889" t="inlineStr">
        <is>
          <t>VÄSTERBOTTENS LÄN</t>
        </is>
      </c>
      <c r="E9889" t="inlineStr">
        <is>
          <t>ÅSELE</t>
        </is>
      </c>
      <c r="F9889" t="inlineStr">
        <is>
          <t>Sveaskog</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33579-2025</t>
        </is>
      </c>
      <c r="B9890" s="1" t="n">
        <v>45841.59310185185</v>
      </c>
      <c r="C9890" s="1" t="n">
        <v>45971</v>
      </c>
      <c r="D9890" t="inlineStr">
        <is>
          <t>VÄSTERBOTTENS LÄN</t>
        </is>
      </c>
      <c r="E9890" t="inlineStr">
        <is>
          <t>SKELLEFTEÅ</t>
        </is>
      </c>
      <c r="F9890" t="inlineStr">
        <is>
          <t>Holmen skog AB</t>
        </is>
      </c>
      <c r="G9890" t="n">
        <v>10.7</v>
      </c>
      <c r="H9890" t="n">
        <v>0</v>
      </c>
      <c r="I9890" t="n">
        <v>0</v>
      </c>
      <c r="J9890" t="n">
        <v>0</v>
      </c>
      <c r="K9890" t="n">
        <v>0</v>
      </c>
      <c r="L9890" t="n">
        <v>0</v>
      </c>
      <c r="M9890" t="n">
        <v>0</v>
      </c>
      <c r="N9890" t="n">
        <v>0</v>
      </c>
      <c r="O9890" t="n">
        <v>0</v>
      </c>
      <c r="P9890" t="n">
        <v>0</v>
      </c>
      <c r="Q9890" t="n">
        <v>0</v>
      </c>
      <c r="R9890" s="2" t="inlineStr"/>
    </row>
    <row r="9891" ht="15" customHeight="1">
      <c r="A9891" t="inlineStr">
        <is>
          <t>A 33599-2025</t>
        </is>
      </c>
      <c r="B9891" s="1" t="n">
        <v>45841.60773148148</v>
      </c>
      <c r="C9891" s="1" t="n">
        <v>45971</v>
      </c>
      <c r="D9891" t="inlineStr">
        <is>
          <t>VÄSTERBOTTENS LÄN</t>
        </is>
      </c>
      <c r="E9891" t="inlineStr">
        <is>
          <t>NORDMALING</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33346-2025</t>
        </is>
      </c>
      <c r="B9892" s="1" t="n">
        <v>45841.36670138889</v>
      </c>
      <c r="C9892" s="1" t="n">
        <v>45971</v>
      </c>
      <c r="D9892" t="inlineStr">
        <is>
          <t>VÄSTERBOTTENS LÄN</t>
        </is>
      </c>
      <c r="E9892" t="inlineStr">
        <is>
          <t>LYCKSELE</t>
        </is>
      </c>
      <c r="F9892" t="inlineStr">
        <is>
          <t>Sveaskog</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33301-2025</t>
        </is>
      </c>
      <c r="B9893" s="1" t="n">
        <v>45841.28633101852</v>
      </c>
      <c r="C9893" s="1" t="n">
        <v>45971</v>
      </c>
      <c r="D9893" t="inlineStr">
        <is>
          <t>VÄSTERBOTTENS LÄN</t>
        </is>
      </c>
      <c r="E9893" t="inlineStr">
        <is>
          <t>ROBERTSFORS</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33304-2025</t>
        </is>
      </c>
      <c r="B9894" s="1" t="n">
        <v>45841.29636574074</v>
      </c>
      <c r="C9894" s="1" t="n">
        <v>45971</v>
      </c>
      <c r="D9894" t="inlineStr">
        <is>
          <t>VÄSTERBOTTENS LÄN</t>
        </is>
      </c>
      <c r="E9894" t="inlineStr">
        <is>
          <t>SKELLEFTEÅ</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33892-2025</t>
        </is>
      </c>
      <c r="B9895" s="1" t="n">
        <v>45842.5753125</v>
      </c>
      <c r="C9895" s="1" t="n">
        <v>45971</v>
      </c>
      <c r="D9895" t="inlineStr">
        <is>
          <t>VÄSTERBOTTENS LÄN</t>
        </is>
      </c>
      <c r="E9895" t="inlineStr">
        <is>
          <t>SKELLEFTEÅ</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39615-2024</t>
        </is>
      </c>
      <c r="B9896" s="1" t="n">
        <v>45552</v>
      </c>
      <c r="C9896" s="1" t="n">
        <v>45971</v>
      </c>
      <c r="D9896" t="inlineStr">
        <is>
          <t>VÄSTERBOTTENS LÄN</t>
        </is>
      </c>
      <c r="E9896" t="inlineStr">
        <is>
          <t>UMEÅ</t>
        </is>
      </c>
      <c r="F9896" t="inlineStr">
        <is>
          <t>Holmen skog AB</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53776-2025</t>
        </is>
      </c>
      <c r="B9897" s="1" t="n">
        <v>45960.69628472222</v>
      </c>
      <c r="C9897" s="1" t="n">
        <v>45971</v>
      </c>
      <c r="D9897" t="inlineStr">
        <is>
          <t>VÄSTERBOTTENS LÄN</t>
        </is>
      </c>
      <c r="E9897" t="inlineStr">
        <is>
          <t>NORDMALING</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33878-2025</t>
        </is>
      </c>
      <c r="B9898" s="1" t="n">
        <v>45842.55579861111</v>
      </c>
      <c r="C9898" s="1" t="n">
        <v>45971</v>
      </c>
      <c r="D9898" t="inlineStr">
        <is>
          <t>VÄSTERBOTTENS LÄN</t>
        </is>
      </c>
      <c r="E9898" t="inlineStr">
        <is>
          <t>VINDELN</t>
        </is>
      </c>
      <c r="F9898" t="inlineStr">
        <is>
          <t>Sveaskog</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33881-2025</t>
        </is>
      </c>
      <c r="B9899" s="1" t="n">
        <v>45842.5657175926</v>
      </c>
      <c r="C9899" s="1" t="n">
        <v>45971</v>
      </c>
      <c r="D9899" t="inlineStr">
        <is>
          <t>VÄSTERBOTTENS LÄN</t>
        </is>
      </c>
      <c r="E9899" t="inlineStr">
        <is>
          <t>STORUMAN</t>
        </is>
      </c>
      <c r="F9899" t="inlineStr">
        <is>
          <t>Sveaskog</t>
        </is>
      </c>
      <c r="G9899" t="n">
        <v>12.9</v>
      </c>
      <c r="H9899" t="n">
        <v>0</v>
      </c>
      <c r="I9899" t="n">
        <v>0</v>
      </c>
      <c r="J9899" t="n">
        <v>0</v>
      </c>
      <c r="K9899" t="n">
        <v>0</v>
      </c>
      <c r="L9899" t="n">
        <v>0</v>
      </c>
      <c r="M9899" t="n">
        <v>0</v>
      </c>
      <c r="N9899" t="n">
        <v>0</v>
      </c>
      <c r="O9899" t="n">
        <v>0</v>
      </c>
      <c r="P9899" t="n">
        <v>0</v>
      </c>
      <c r="Q9899" t="n">
        <v>0</v>
      </c>
      <c r="R9899" s="2" t="inlineStr"/>
    </row>
    <row r="9900" ht="15" customHeight="1">
      <c r="A9900" t="inlineStr">
        <is>
          <t>A 33901-2025</t>
        </is>
      </c>
      <c r="B9900" s="1" t="n">
        <v>45842.59473379629</v>
      </c>
      <c r="C9900" s="1" t="n">
        <v>45971</v>
      </c>
      <c r="D9900" t="inlineStr">
        <is>
          <t>VÄSTERBOTTENS LÄN</t>
        </is>
      </c>
      <c r="E9900" t="inlineStr">
        <is>
          <t>NORSJÖ</t>
        </is>
      </c>
      <c r="F9900" t="inlineStr">
        <is>
          <t>Sveaskog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33894-2025</t>
        </is>
      </c>
      <c r="B9901" s="1" t="n">
        <v>45842.58432870371</v>
      </c>
      <c r="C9901" s="1" t="n">
        <v>45971</v>
      </c>
      <c r="D9901" t="inlineStr">
        <is>
          <t>VÄSTERBOTTENS LÄN</t>
        </is>
      </c>
      <c r="E9901" t="inlineStr">
        <is>
          <t>NORSJÖ</t>
        </is>
      </c>
      <c r="F9901" t="inlineStr">
        <is>
          <t>Holmen skog AB</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45008-2025</t>
        </is>
      </c>
      <c r="B9902" s="1" t="n">
        <v>45918.66846064815</v>
      </c>
      <c r="C9902" s="1" t="n">
        <v>45971</v>
      </c>
      <c r="D9902" t="inlineStr">
        <is>
          <t>VÄSTERBOTTENS LÄN</t>
        </is>
      </c>
      <c r="E9902" t="inlineStr">
        <is>
          <t>SORSELE</t>
        </is>
      </c>
      <c r="F9902" t="inlineStr">
        <is>
          <t>Sveaskog</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44094-2025</t>
        </is>
      </c>
      <c r="B9903" s="1" t="n">
        <v>45915</v>
      </c>
      <c r="C9903" s="1" t="n">
        <v>45971</v>
      </c>
      <c r="D9903" t="inlineStr">
        <is>
          <t>VÄSTERBOTTENS LÄN</t>
        </is>
      </c>
      <c r="E9903" t="inlineStr">
        <is>
          <t>LYCKSELE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33787-2025</t>
        </is>
      </c>
      <c r="B9904" s="1" t="n">
        <v>45842.41072916667</v>
      </c>
      <c r="C9904" s="1" t="n">
        <v>45971</v>
      </c>
      <c r="D9904" t="inlineStr">
        <is>
          <t>VÄSTERBOTTENS LÄN</t>
        </is>
      </c>
      <c r="E9904" t="inlineStr">
        <is>
          <t>NORSJÖ</t>
        </is>
      </c>
      <c r="F9904" t="inlineStr">
        <is>
          <t>Holmen skog AB</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33467-2025</t>
        </is>
      </c>
      <c r="B9905" s="1" t="n">
        <v>45841.48503472222</v>
      </c>
      <c r="C9905" s="1" t="n">
        <v>45971</v>
      </c>
      <c r="D9905" t="inlineStr">
        <is>
          <t>VÄSTERBOTTENS LÄN</t>
        </is>
      </c>
      <c r="E9905" t="inlineStr">
        <is>
          <t>LYCKSELE</t>
        </is>
      </c>
      <c r="F9905" t="inlineStr">
        <is>
          <t>Holmen skog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44547-2025</t>
        </is>
      </c>
      <c r="B9906" s="1" t="n">
        <v>45917.3320949074</v>
      </c>
      <c r="C9906" s="1" t="n">
        <v>45971</v>
      </c>
      <c r="D9906" t="inlineStr">
        <is>
          <t>VÄSTERBOTTENS LÄN</t>
        </is>
      </c>
      <c r="E9906" t="inlineStr">
        <is>
          <t>LYCKSELE</t>
        </is>
      </c>
      <c r="F9906" t="inlineStr">
        <is>
          <t>Sveaskog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33615-2025</t>
        </is>
      </c>
      <c r="B9907" s="1" t="n">
        <v>45841.621875</v>
      </c>
      <c r="C9907" s="1" t="n">
        <v>45971</v>
      </c>
      <c r="D9907" t="inlineStr">
        <is>
          <t>VÄSTERBOTTENS LÄN</t>
        </is>
      </c>
      <c r="E9907" t="inlineStr">
        <is>
          <t>NORSJÖ</t>
        </is>
      </c>
      <c r="F9907" t="inlineStr">
        <is>
          <t>Holmen skog AB</t>
        </is>
      </c>
      <c r="G9907" t="n">
        <v>9.5</v>
      </c>
      <c r="H9907" t="n">
        <v>0</v>
      </c>
      <c r="I9907" t="n">
        <v>0</v>
      </c>
      <c r="J9907" t="n">
        <v>0</v>
      </c>
      <c r="K9907" t="n">
        <v>0</v>
      </c>
      <c r="L9907" t="n">
        <v>0</v>
      </c>
      <c r="M9907" t="n">
        <v>0</v>
      </c>
      <c r="N9907" t="n">
        <v>0</v>
      </c>
      <c r="O9907" t="n">
        <v>0</v>
      </c>
      <c r="P9907" t="n">
        <v>0</v>
      </c>
      <c r="Q9907" t="n">
        <v>0</v>
      </c>
      <c r="R9907" s="2" t="inlineStr"/>
    </row>
    <row r="9908" ht="15" customHeight="1">
      <c r="A9908" t="inlineStr">
        <is>
          <t>A 33413-2025</t>
        </is>
      </c>
      <c r="B9908" s="1" t="n">
        <v>45841.43574074074</v>
      </c>
      <c r="C9908" s="1" t="n">
        <v>45971</v>
      </c>
      <c r="D9908" t="inlineStr">
        <is>
          <t>VÄSTERBOTTENS LÄN</t>
        </is>
      </c>
      <c r="E9908" t="inlineStr">
        <is>
          <t>VINDELN</t>
        </is>
      </c>
      <c r="F9908" t="inlineStr">
        <is>
          <t>Holmen skog AB</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44714-2025</t>
        </is>
      </c>
      <c r="B9909" s="1" t="n">
        <v>45917.62650462963</v>
      </c>
      <c r="C9909" s="1" t="n">
        <v>45971</v>
      </c>
      <c r="D9909" t="inlineStr">
        <is>
          <t>VÄSTERBOTTENS LÄN</t>
        </is>
      </c>
      <c r="E9909" t="inlineStr">
        <is>
          <t>SKELLEFTEÅ</t>
        </is>
      </c>
      <c r="F9909" t="inlineStr">
        <is>
          <t>Sveaskog</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33788-2025</t>
        </is>
      </c>
      <c r="B9910" s="1" t="n">
        <v>45842</v>
      </c>
      <c r="C9910" s="1" t="n">
        <v>45971</v>
      </c>
      <c r="D9910" t="inlineStr">
        <is>
          <t>VÄSTERBOTTENS LÄN</t>
        </is>
      </c>
      <c r="E9910" t="inlineStr">
        <is>
          <t>ÅSELE</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33893-2025</t>
        </is>
      </c>
      <c r="B9911" s="1" t="n">
        <v>45842.57553240741</v>
      </c>
      <c r="C9911" s="1" t="n">
        <v>45971</v>
      </c>
      <c r="D9911" t="inlineStr">
        <is>
          <t>VÄSTERBOTTENS LÄN</t>
        </is>
      </c>
      <c r="E9911" t="inlineStr">
        <is>
          <t>NORSJÖ</t>
        </is>
      </c>
      <c r="F9911" t="inlineStr">
        <is>
          <t>Holmen skog AB</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33785-2025</t>
        </is>
      </c>
      <c r="B9912" s="1" t="n">
        <v>45842.40923611111</v>
      </c>
      <c r="C9912" s="1" t="n">
        <v>45971</v>
      </c>
      <c r="D9912" t="inlineStr">
        <is>
          <t>VÄSTERBOTTENS LÄN</t>
        </is>
      </c>
      <c r="E9912" t="inlineStr">
        <is>
          <t>SKELLEFTEÅ</t>
        </is>
      </c>
      <c r="F9912" t="inlineStr">
        <is>
          <t>Holmen skog AB</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33800-2025</t>
        </is>
      </c>
      <c r="B9913" s="1" t="n">
        <v>45842.44159722222</v>
      </c>
      <c r="C9913" s="1" t="n">
        <v>45971</v>
      </c>
      <c r="D9913" t="inlineStr">
        <is>
          <t>VÄSTERBOTTENS LÄN</t>
        </is>
      </c>
      <c r="E9913" t="inlineStr">
        <is>
          <t>SKELLEFTEÅ</t>
        </is>
      </c>
      <c r="F9913" t="inlineStr">
        <is>
          <t>Holmen skog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33381-2025</t>
        </is>
      </c>
      <c r="B9914" s="1" t="n">
        <v>45841.40428240741</v>
      </c>
      <c r="C9914" s="1" t="n">
        <v>45971</v>
      </c>
      <c r="D9914" t="inlineStr">
        <is>
          <t>VÄSTERBOTTENS LÄN</t>
        </is>
      </c>
      <c r="E9914" t="inlineStr">
        <is>
          <t>LYCKSELE</t>
        </is>
      </c>
      <c r="F9914" t="inlineStr">
        <is>
          <t>Holmen skog AB</t>
        </is>
      </c>
      <c r="G9914" t="n">
        <v>11.6</v>
      </c>
      <c r="H9914" t="n">
        <v>0</v>
      </c>
      <c r="I9914" t="n">
        <v>0</v>
      </c>
      <c r="J9914" t="n">
        <v>0</v>
      </c>
      <c r="K9914" t="n">
        <v>0</v>
      </c>
      <c r="L9914" t="n">
        <v>0</v>
      </c>
      <c r="M9914" t="n">
        <v>0</v>
      </c>
      <c r="N9914" t="n">
        <v>0</v>
      </c>
      <c r="O9914" t="n">
        <v>0</v>
      </c>
      <c r="P9914" t="n">
        <v>0</v>
      </c>
      <c r="Q9914" t="n">
        <v>0</v>
      </c>
      <c r="R9914" s="2" t="inlineStr"/>
    </row>
    <row r="9915" ht="15" customHeight="1">
      <c r="A9915" t="inlineStr">
        <is>
          <t>A 33431-2025</t>
        </is>
      </c>
      <c r="B9915" s="1" t="n">
        <v>45841.44836805556</v>
      </c>
      <c r="C9915" s="1" t="n">
        <v>45971</v>
      </c>
      <c r="D9915" t="inlineStr">
        <is>
          <t>VÄSTERBOTTENS LÄN</t>
        </is>
      </c>
      <c r="E9915" t="inlineStr">
        <is>
          <t>LYCKSELE</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44729-2025</t>
        </is>
      </c>
      <c r="B9916" s="1" t="n">
        <v>45917.64934027778</v>
      </c>
      <c r="C9916" s="1" t="n">
        <v>45971</v>
      </c>
      <c r="D9916" t="inlineStr">
        <is>
          <t>VÄSTERBOTTENS LÄN</t>
        </is>
      </c>
      <c r="E9916" t="inlineStr">
        <is>
          <t>SKELLEFTEÅ</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44739-2025</t>
        </is>
      </c>
      <c r="B9917" s="1" t="n">
        <v>45917.66063657407</v>
      </c>
      <c r="C9917" s="1" t="n">
        <v>45971</v>
      </c>
      <c r="D9917" t="inlineStr">
        <is>
          <t>VÄSTERBOTTENS LÄN</t>
        </is>
      </c>
      <c r="E9917" t="inlineStr">
        <is>
          <t>SKELLEFTEÅ</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33415-2025</t>
        </is>
      </c>
      <c r="B9918" s="1" t="n">
        <v>45841.4374537037</v>
      </c>
      <c r="C9918" s="1" t="n">
        <v>45971</v>
      </c>
      <c r="D9918" t="inlineStr">
        <is>
          <t>VÄSTERBOTTENS LÄN</t>
        </is>
      </c>
      <c r="E9918" t="inlineStr">
        <is>
          <t>LYCKSELE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53336-2025</t>
        </is>
      </c>
      <c r="B9919" s="1" t="n">
        <v>45959.39545138889</v>
      </c>
      <c r="C9919" s="1" t="n">
        <v>45971</v>
      </c>
      <c r="D9919" t="inlineStr">
        <is>
          <t>VÄSTERBOTTENS LÄN</t>
        </is>
      </c>
      <c r="E9919" t="inlineStr">
        <is>
          <t>UMEÅ</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33457-2025</t>
        </is>
      </c>
      <c r="B9920" s="1" t="n">
        <v>45841.47648148148</v>
      </c>
      <c r="C9920" s="1" t="n">
        <v>45971</v>
      </c>
      <c r="D9920" t="inlineStr">
        <is>
          <t>VÄSTERBOTTENS LÄN</t>
        </is>
      </c>
      <c r="E9920" t="inlineStr">
        <is>
          <t>VINDELN</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53515-2025</t>
        </is>
      </c>
      <c r="B9921" s="1" t="n">
        <v>45959</v>
      </c>
      <c r="C9921" s="1" t="n">
        <v>45971</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44681-2025</t>
        </is>
      </c>
      <c r="B9922" s="1" t="n">
        <v>45917.57884259259</v>
      </c>
      <c r="C9922" s="1" t="n">
        <v>45971</v>
      </c>
      <c r="D9922" t="inlineStr">
        <is>
          <t>VÄSTERBOTTENS LÄN</t>
        </is>
      </c>
      <c r="E9922" t="inlineStr">
        <is>
          <t>STORUMAN</t>
        </is>
      </c>
      <c r="F9922" t="inlineStr">
        <is>
          <t>Holmen skog AB</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53451-2025</t>
        </is>
      </c>
      <c r="B9923" s="1" t="n">
        <v>45959.656875</v>
      </c>
      <c r="C9923" s="1" t="n">
        <v>45971</v>
      </c>
      <c r="D9923" t="inlineStr">
        <is>
          <t>VÄSTERBOTTENS LÄN</t>
        </is>
      </c>
      <c r="E9923" t="inlineStr">
        <is>
          <t>LYCKSELE</t>
        </is>
      </c>
      <c r="F9923" t="inlineStr">
        <is>
          <t>SCA</t>
        </is>
      </c>
      <c r="G9923" t="n">
        <v>12.1</v>
      </c>
      <c r="H9923" t="n">
        <v>0</v>
      </c>
      <c r="I9923" t="n">
        <v>0</v>
      </c>
      <c r="J9923" t="n">
        <v>0</v>
      </c>
      <c r="K9923" t="n">
        <v>0</v>
      </c>
      <c r="L9923" t="n">
        <v>0</v>
      </c>
      <c r="M9923" t="n">
        <v>0</v>
      </c>
      <c r="N9923" t="n">
        <v>0</v>
      </c>
      <c r="O9923" t="n">
        <v>0</v>
      </c>
      <c r="P9923" t="n">
        <v>0</v>
      </c>
      <c r="Q9923" t="n">
        <v>0</v>
      </c>
      <c r="R9923" s="2" t="inlineStr"/>
    </row>
    <row r="9924" ht="15" customHeight="1">
      <c r="A9924" t="inlineStr">
        <is>
          <t>A 33920-2025</t>
        </is>
      </c>
      <c r="B9924" s="1" t="n">
        <v>45842.61521990741</v>
      </c>
      <c r="C9924" s="1" t="n">
        <v>45971</v>
      </c>
      <c r="D9924" t="inlineStr">
        <is>
          <t>VÄSTERBOTTENS LÄN</t>
        </is>
      </c>
      <c r="E9924" t="inlineStr">
        <is>
          <t>NORSJÖ</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33938-2025</t>
        </is>
      </c>
      <c r="B9925" s="1" t="n">
        <v>45842.63664351852</v>
      </c>
      <c r="C9925" s="1" t="n">
        <v>45971</v>
      </c>
      <c r="D9925" t="inlineStr">
        <is>
          <t>VÄSTERBOTTENS LÄN</t>
        </is>
      </c>
      <c r="E9925" t="inlineStr">
        <is>
          <t>NORDMALING</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19778-2025</t>
        </is>
      </c>
      <c r="B9926" s="1" t="n">
        <v>45771.42734953704</v>
      </c>
      <c r="C9926" s="1" t="n">
        <v>45971</v>
      </c>
      <c r="D9926" t="inlineStr">
        <is>
          <t>VÄSTERBOTTENS LÄN</t>
        </is>
      </c>
      <c r="E9926" t="inlineStr">
        <is>
          <t>SKELLEFTEÅ</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33795-2025</t>
        </is>
      </c>
      <c r="B9927" s="1" t="n">
        <v>45842.43515046296</v>
      </c>
      <c r="C9927" s="1" t="n">
        <v>45971</v>
      </c>
      <c r="D9927" t="inlineStr">
        <is>
          <t>VÄSTERBOTTENS LÄN</t>
        </is>
      </c>
      <c r="E9927" t="inlineStr">
        <is>
          <t>UMEÅ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33810-2025</t>
        </is>
      </c>
      <c r="B9928" s="1" t="n">
        <v>45842.45144675926</v>
      </c>
      <c r="C9928" s="1" t="n">
        <v>45971</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33375-2025</t>
        </is>
      </c>
      <c r="B9929" s="1" t="n">
        <v>45841.39737268518</v>
      </c>
      <c r="C9929" s="1" t="n">
        <v>45971</v>
      </c>
      <c r="D9929" t="inlineStr">
        <is>
          <t>VÄSTERBOTTENS LÄN</t>
        </is>
      </c>
      <c r="E9929" t="inlineStr">
        <is>
          <t>ROBERTSFORS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33545-2025</t>
        </is>
      </c>
      <c r="B9930" s="1" t="n">
        <v>45841.56859953704</v>
      </c>
      <c r="C9930" s="1" t="n">
        <v>45971</v>
      </c>
      <c r="D9930" t="inlineStr">
        <is>
          <t>VÄSTERBOTTENS LÄN</t>
        </is>
      </c>
      <c r="E9930" t="inlineStr">
        <is>
          <t>VINDELN</t>
        </is>
      </c>
      <c r="F9930" t="inlineStr">
        <is>
          <t>Holmen skog AB</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44187-2023</t>
        </is>
      </c>
      <c r="B9931" s="1" t="n">
        <v>45183</v>
      </c>
      <c r="C9931" s="1" t="n">
        <v>45971</v>
      </c>
      <c r="D9931" t="inlineStr">
        <is>
          <t>VÄSTERBOTTENS LÄN</t>
        </is>
      </c>
      <c r="E9931" t="inlineStr">
        <is>
          <t>BJURHOLM</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45689-2022</t>
        </is>
      </c>
      <c r="B9932" s="1" t="n">
        <v>44845.95304398148</v>
      </c>
      <c r="C9932" s="1" t="n">
        <v>45971</v>
      </c>
      <c r="D9932" t="inlineStr">
        <is>
          <t>VÄSTERBOTTENS LÄN</t>
        </is>
      </c>
      <c r="E9932" t="inlineStr">
        <is>
          <t>ÅSELE</t>
        </is>
      </c>
      <c r="F9932" t="inlineStr">
        <is>
          <t>SCA</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52634-2025</t>
        </is>
      </c>
      <c r="B9933" s="1" t="n">
        <v>45953</v>
      </c>
      <c r="C9933" s="1" t="n">
        <v>45971</v>
      </c>
      <c r="D9933" t="inlineStr">
        <is>
          <t>VÄSTERBOTTENS LÄN</t>
        </is>
      </c>
      <c r="E9933" t="inlineStr">
        <is>
          <t>SKELLEFTEÅ</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39042-2023</t>
        </is>
      </c>
      <c r="B9934" s="1" t="n">
        <v>45163.92680555556</v>
      </c>
      <c r="C9934" s="1" t="n">
        <v>45971</v>
      </c>
      <c r="D9934" t="inlineStr">
        <is>
          <t>VÄSTERBOTTENS LÄN</t>
        </is>
      </c>
      <c r="E9934" t="inlineStr">
        <is>
          <t>NORSJÖ</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17561-2025</t>
        </is>
      </c>
      <c r="B9935" s="1" t="n">
        <v>45757.63712962963</v>
      </c>
      <c r="C9935" s="1" t="n">
        <v>45971</v>
      </c>
      <c r="D9935" t="inlineStr">
        <is>
          <t>VÄSTERBOTTENS LÄN</t>
        </is>
      </c>
      <c r="E9935" t="inlineStr">
        <is>
          <t>SKELLEFTEÅ</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33641-2025</t>
        </is>
      </c>
      <c r="B9936" s="1" t="n">
        <v>45841.65045138889</v>
      </c>
      <c r="C9936" s="1" t="n">
        <v>45971</v>
      </c>
      <c r="D9936" t="inlineStr">
        <is>
          <t>VÄSTERBOTTENS LÄN</t>
        </is>
      </c>
      <c r="E9936" t="inlineStr">
        <is>
          <t>VILHELMINA</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33453-2025</t>
        </is>
      </c>
      <c r="B9937" s="1" t="n">
        <v>45841.46954861111</v>
      </c>
      <c r="C9937" s="1" t="n">
        <v>45971</v>
      </c>
      <c r="D9937" t="inlineStr">
        <is>
          <t>VÄSTERBOTTENS LÄN</t>
        </is>
      </c>
      <c r="E9937" t="inlineStr">
        <is>
          <t>LYCKSELE</t>
        </is>
      </c>
      <c r="F9937" t="inlineStr">
        <is>
          <t>SCA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21035-2022</t>
        </is>
      </c>
      <c r="B9938" s="1" t="n">
        <v>44704</v>
      </c>
      <c r="C9938" s="1" t="n">
        <v>45971</v>
      </c>
      <c r="D9938" t="inlineStr">
        <is>
          <t>VÄSTERBOTTENS LÄN</t>
        </is>
      </c>
      <c r="E9938" t="inlineStr">
        <is>
          <t>SKELLEFTEÅ</t>
        </is>
      </c>
      <c r="G9938" t="n">
        <v>26.9</v>
      </c>
      <c r="H9938" t="n">
        <v>0</v>
      </c>
      <c r="I9938" t="n">
        <v>0</v>
      </c>
      <c r="J9938" t="n">
        <v>0</v>
      </c>
      <c r="K9938" t="n">
        <v>0</v>
      </c>
      <c r="L9938" t="n">
        <v>0</v>
      </c>
      <c r="M9938" t="n">
        <v>0</v>
      </c>
      <c r="N9938" t="n">
        <v>0</v>
      </c>
      <c r="O9938" t="n">
        <v>0</v>
      </c>
      <c r="P9938" t="n">
        <v>0</v>
      </c>
      <c r="Q9938" t="n">
        <v>0</v>
      </c>
      <c r="R9938" s="2" t="inlineStr"/>
    </row>
    <row r="9939" ht="15" customHeight="1">
      <c r="A9939" t="inlineStr">
        <is>
          <t>A 8993-2024</t>
        </is>
      </c>
      <c r="B9939" s="1" t="n">
        <v>45357.55085648148</v>
      </c>
      <c r="C9939" s="1" t="n">
        <v>45971</v>
      </c>
      <c r="D9939" t="inlineStr">
        <is>
          <t>VÄSTERBOTTENS LÄN</t>
        </is>
      </c>
      <c r="E9939" t="inlineStr">
        <is>
          <t>VÄNNÄS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9688-2024</t>
        </is>
      </c>
      <c r="B9940" s="1" t="n">
        <v>45362</v>
      </c>
      <c r="C9940" s="1" t="n">
        <v>45971</v>
      </c>
      <c r="D9940" t="inlineStr">
        <is>
          <t>VÄSTERBOTTENS LÄN</t>
        </is>
      </c>
      <c r="E9940" t="inlineStr">
        <is>
          <t>BJURHOLM</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33871-2025</t>
        </is>
      </c>
      <c r="B9941" s="1" t="n">
        <v>45842.54415509259</v>
      </c>
      <c r="C9941" s="1" t="n">
        <v>45971</v>
      </c>
      <c r="D9941" t="inlineStr">
        <is>
          <t>VÄSTERBOTTENS LÄN</t>
        </is>
      </c>
      <c r="E9941" t="inlineStr">
        <is>
          <t>VINDELN</t>
        </is>
      </c>
      <c r="F9941" t="inlineStr">
        <is>
          <t>Sveaskog</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33918-2025</t>
        </is>
      </c>
      <c r="B9942" s="1" t="n">
        <v>45842.61505787037</v>
      </c>
      <c r="C9942" s="1" t="n">
        <v>45971</v>
      </c>
      <c r="D9942" t="inlineStr">
        <is>
          <t>VÄSTERBOTTENS LÄN</t>
        </is>
      </c>
      <c r="E9942" t="inlineStr">
        <is>
          <t>SKELLEFTEÅ</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40794-2025</t>
        </is>
      </c>
      <c r="B9943" s="1" t="n">
        <v>45897</v>
      </c>
      <c r="C9943" s="1" t="n">
        <v>45971</v>
      </c>
      <c r="D9943" t="inlineStr">
        <is>
          <t>VÄSTERBOTTENS LÄN</t>
        </is>
      </c>
      <c r="E9943" t="inlineStr">
        <is>
          <t>SKELLEFTEÅ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33710-2025</t>
        </is>
      </c>
      <c r="B9944" s="1" t="n">
        <v>45841.83299768518</v>
      </c>
      <c r="C9944" s="1" t="n">
        <v>45971</v>
      </c>
      <c r="D9944" t="inlineStr">
        <is>
          <t>VÄSTERBOTTENS LÄN</t>
        </is>
      </c>
      <c r="E9944" t="inlineStr">
        <is>
          <t>ÅSELE</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33736-2025</t>
        </is>
      </c>
      <c r="B9945" s="1" t="n">
        <v>45842.33180555556</v>
      </c>
      <c r="C9945" s="1" t="n">
        <v>45971</v>
      </c>
      <c r="D9945" t="inlineStr">
        <is>
          <t>VÄSTERBOTTENS LÄN</t>
        </is>
      </c>
      <c r="E9945" t="inlineStr">
        <is>
          <t>SKELLEFTEÅ</t>
        </is>
      </c>
      <c r="F9945" t="inlineStr">
        <is>
          <t>Holmen skog AB</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33737-2025</t>
        </is>
      </c>
      <c r="B9946" s="1" t="n">
        <v>45842.33768518519</v>
      </c>
      <c r="C9946" s="1" t="n">
        <v>45971</v>
      </c>
      <c r="D9946" t="inlineStr">
        <is>
          <t>VÄSTERBOTTENS LÄN</t>
        </is>
      </c>
      <c r="E9946" t="inlineStr">
        <is>
          <t>SKELLEFTEÅ</t>
        </is>
      </c>
      <c r="F9946" t="inlineStr">
        <is>
          <t>Holmen skog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2100-2024</t>
        </is>
      </c>
      <c r="B9947" s="1" t="n">
        <v>45309.44717592592</v>
      </c>
      <c r="C9947" s="1" t="n">
        <v>45971</v>
      </c>
      <c r="D9947" t="inlineStr">
        <is>
          <t>VÄSTERBOTTENS LÄN</t>
        </is>
      </c>
      <c r="E9947" t="inlineStr">
        <is>
          <t>VINDELN</t>
        </is>
      </c>
      <c r="F9947" t="inlineStr">
        <is>
          <t>Sveaskog</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59022-2024</t>
        </is>
      </c>
      <c r="B9948" s="1" t="n">
        <v>45636</v>
      </c>
      <c r="C9948" s="1" t="n">
        <v>45971</v>
      </c>
      <c r="D9948" t="inlineStr">
        <is>
          <t>VÄSTERBOTTENS LÄN</t>
        </is>
      </c>
      <c r="E9948" t="inlineStr">
        <is>
          <t>VILHELMINA</t>
        </is>
      </c>
      <c r="F9948" t="inlineStr">
        <is>
          <t>Allmännings- och besparingsskogar</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33805-2025</t>
        </is>
      </c>
      <c r="B9949" s="1" t="n">
        <v>45842.44846064815</v>
      </c>
      <c r="C9949" s="1" t="n">
        <v>45971</v>
      </c>
      <c r="D9949" t="inlineStr">
        <is>
          <t>VÄSTERBOTTENS LÄN</t>
        </is>
      </c>
      <c r="E9949" t="inlineStr">
        <is>
          <t>DOROTEA</t>
        </is>
      </c>
      <c r="F9949" t="inlineStr">
        <is>
          <t>SCA</t>
        </is>
      </c>
      <c r="G9949" t="n">
        <v>20.5</v>
      </c>
      <c r="H9949" t="n">
        <v>0</v>
      </c>
      <c r="I9949" t="n">
        <v>0</v>
      </c>
      <c r="J9949" t="n">
        <v>0</v>
      </c>
      <c r="K9949" t="n">
        <v>0</v>
      </c>
      <c r="L9949" t="n">
        <v>0</v>
      </c>
      <c r="M9949" t="n">
        <v>0</v>
      </c>
      <c r="N9949" t="n">
        <v>0</v>
      </c>
      <c r="O9949" t="n">
        <v>0</v>
      </c>
      <c r="P9949" t="n">
        <v>0</v>
      </c>
      <c r="Q9949" t="n">
        <v>0</v>
      </c>
      <c r="R9949" s="2" t="inlineStr"/>
    </row>
    <row r="9950" ht="15" customHeight="1">
      <c r="A9950" t="inlineStr">
        <is>
          <t>A 6075-2024</t>
        </is>
      </c>
      <c r="B9950" s="1" t="n">
        <v>45336.93761574074</v>
      </c>
      <c r="C9950" s="1" t="n">
        <v>45971</v>
      </c>
      <c r="D9950" t="inlineStr">
        <is>
          <t>VÄSTERBOTTENS LÄN</t>
        </is>
      </c>
      <c r="E9950" t="inlineStr">
        <is>
          <t>NORSJÖ</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19726-2025</t>
        </is>
      </c>
      <c r="B9951" s="1" t="n">
        <v>45771.36527777778</v>
      </c>
      <c r="C9951" s="1" t="n">
        <v>45971</v>
      </c>
      <c r="D9951" t="inlineStr">
        <is>
          <t>VÄSTERBOTTENS LÄN</t>
        </is>
      </c>
      <c r="E9951" t="inlineStr">
        <is>
          <t>DOROTEA</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30470-2022</t>
        </is>
      </c>
      <c r="B9952" s="1" t="n">
        <v>44761</v>
      </c>
      <c r="C9952" s="1" t="n">
        <v>45971</v>
      </c>
      <c r="D9952" t="inlineStr">
        <is>
          <t>VÄSTERBOTTENS LÄN</t>
        </is>
      </c>
      <c r="E9952" t="inlineStr">
        <is>
          <t>LYCKSELE</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19734-2025</t>
        </is>
      </c>
      <c r="B9953" s="1" t="n">
        <v>45771.36695601852</v>
      </c>
      <c r="C9953" s="1" t="n">
        <v>45971</v>
      </c>
      <c r="D9953" t="inlineStr">
        <is>
          <t>VÄSTERBOTTENS LÄN</t>
        </is>
      </c>
      <c r="E9953" t="inlineStr">
        <is>
          <t>VÄNNÄS</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33423-2025</t>
        </is>
      </c>
      <c r="B9954" s="1" t="n">
        <v>45841.44326388889</v>
      </c>
      <c r="C9954" s="1" t="n">
        <v>45971</v>
      </c>
      <c r="D9954" t="inlineStr">
        <is>
          <t>VÄSTERBOTTENS LÄN</t>
        </is>
      </c>
      <c r="E9954" t="inlineStr">
        <is>
          <t>LYCKSELE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3465-2024</t>
        </is>
      </c>
      <c r="B9955" s="1" t="n">
        <v>45320.40229166667</v>
      </c>
      <c r="C9955" s="1" t="n">
        <v>45971</v>
      </c>
      <c r="D9955" t="inlineStr">
        <is>
          <t>VÄSTERBOTTENS LÄN</t>
        </is>
      </c>
      <c r="E9955" t="inlineStr">
        <is>
          <t>SKELLEFTEÅ</t>
        </is>
      </c>
      <c r="G9955" t="n">
        <v>17.4</v>
      </c>
      <c r="H9955" t="n">
        <v>0</v>
      </c>
      <c r="I9955" t="n">
        <v>0</v>
      </c>
      <c r="J9955" t="n">
        <v>0</v>
      </c>
      <c r="K9955" t="n">
        <v>0</v>
      </c>
      <c r="L9955" t="n">
        <v>0</v>
      </c>
      <c r="M9955" t="n">
        <v>0</v>
      </c>
      <c r="N9955" t="n">
        <v>0</v>
      </c>
      <c r="O9955" t="n">
        <v>0</v>
      </c>
      <c r="P9955" t="n">
        <v>0</v>
      </c>
      <c r="Q9955" t="n">
        <v>0</v>
      </c>
      <c r="R9955" s="2" t="inlineStr"/>
    </row>
    <row r="9956" ht="15" customHeight="1">
      <c r="A9956" t="inlineStr">
        <is>
          <t>A 33389-2025</t>
        </is>
      </c>
      <c r="B9956" s="1" t="n">
        <v>45841.40692129629</v>
      </c>
      <c r="C9956" s="1" t="n">
        <v>45971</v>
      </c>
      <c r="D9956" t="inlineStr">
        <is>
          <t>VÄSTERBOTTENS LÄN</t>
        </is>
      </c>
      <c r="E9956" t="inlineStr">
        <is>
          <t>NORSJÖ</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53470-2025</t>
        </is>
      </c>
      <c r="B9957" s="1" t="n">
        <v>45959.7108912037</v>
      </c>
      <c r="C9957" s="1" t="n">
        <v>45971</v>
      </c>
      <c r="D9957" t="inlineStr">
        <is>
          <t>VÄSTERBOTTENS LÄN</t>
        </is>
      </c>
      <c r="E9957" t="inlineStr">
        <is>
          <t>LYCKSELE</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34457-2025</t>
        </is>
      </c>
      <c r="B9958" s="1" t="n">
        <v>45846</v>
      </c>
      <c r="C9958" s="1" t="n">
        <v>45971</v>
      </c>
      <c r="D9958" t="inlineStr">
        <is>
          <t>VÄSTERBOTTENS LÄN</t>
        </is>
      </c>
      <c r="E9958" t="inlineStr">
        <is>
          <t>NORSJÖ</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34503-2025</t>
        </is>
      </c>
      <c r="B9959" s="1" t="n">
        <v>45846</v>
      </c>
      <c r="C9959" s="1" t="n">
        <v>45971</v>
      </c>
      <c r="D9959" t="inlineStr">
        <is>
          <t>VÄSTERBOTTENS LÄN</t>
        </is>
      </c>
      <c r="E9959" t="inlineStr">
        <is>
          <t>DOROTEA</t>
        </is>
      </c>
      <c r="G9959" t="n">
        <v>14.7</v>
      </c>
      <c r="H9959" t="n">
        <v>0</v>
      </c>
      <c r="I9959" t="n">
        <v>0</v>
      </c>
      <c r="J9959" t="n">
        <v>0</v>
      </c>
      <c r="K9959" t="n">
        <v>0</v>
      </c>
      <c r="L9959" t="n">
        <v>0</v>
      </c>
      <c r="M9959" t="n">
        <v>0</v>
      </c>
      <c r="N9959" t="n">
        <v>0</v>
      </c>
      <c r="O9959" t="n">
        <v>0</v>
      </c>
      <c r="P9959" t="n">
        <v>0</v>
      </c>
      <c r="Q9959" t="n">
        <v>0</v>
      </c>
      <c r="R9959" s="2" t="inlineStr"/>
    </row>
    <row r="9960" ht="15" customHeight="1">
      <c r="A9960" t="inlineStr">
        <is>
          <t>A 34601-2025</t>
        </is>
      </c>
      <c r="B9960" s="1" t="n">
        <v>45846</v>
      </c>
      <c r="C9960" s="1" t="n">
        <v>45971</v>
      </c>
      <c r="D9960" t="inlineStr">
        <is>
          <t>VÄSTERBOTTENS LÄN</t>
        </is>
      </c>
      <c r="E9960" t="inlineStr">
        <is>
          <t>NORDMALING</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38987-2023</t>
        </is>
      </c>
      <c r="B9961" s="1" t="n">
        <v>45163</v>
      </c>
      <c r="C9961" s="1" t="n">
        <v>45971</v>
      </c>
      <c r="D9961" t="inlineStr">
        <is>
          <t>VÄSTERBOTTENS LÄN</t>
        </is>
      </c>
      <c r="E9961" t="inlineStr">
        <is>
          <t>VINDELN</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54712-2024</t>
        </is>
      </c>
      <c r="B9962" s="1" t="n">
        <v>45617</v>
      </c>
      <c r="C9962" s="1" t="n">
        <v>45971</v>
      </c>
      <c r="D9962" t="inlineStr">
        <is>
          <t>VÄSTERBOTTENS LÄN</t>
        </is>
      </c>
      <c r="E9962" t="inlineStr">
        <is>
          <t>NORSJÖ</t>
        </is>
      </c>
      <c r="G9962" t="n">
        <v>16.6</v>
      </c>
      <c r="H9962" t="n">
        <v>0</v>
      </c>
      <c r="I9962" t="n">
        <v>0</v>
      </c>
      <c r="J9962" t="n">
        <v>0</v>
      </c>
      <c r="K9962" t="n">
        <v>0</v>
      </c>
      <c r="L9962" t="n">
        <v>0</v>
      </c>
      <c r="M9962" t="n">
        <v>0</v>
      </c>
      <c r="N9962" t="n">
        <v>0</v>
      </c>
      <c r="O9962" t="n">
        <v>0</v>
      </c>
      <c r="P9962" t="n">
        <v>0</v>
      </c>
      <c r="Q9962" t="n">
        <v>0</v>
      </c>
      <c r="R9962" s="2" t="inlineStr"/>
    </row>
    <row r="9963" ht="15" customHeight="1">
      <c r="A9963" t="inlineStr">
        <is>
          <t>A 50725-2023</t>
        </is>
      </c>
      <c r="B9963" s="1" t="n">
        <v>45217</v>
      </c>
      <c r="C9963" s="1" t="n">
        <v>45971</v>
      </c>
      <c r="D9963" t="inlineStr">
        <is>
          <t>VÄSTERBOTTENS LÄN</t>
        </is>
      </c>
      <c r="E9963" t="inlineStr">
        <is>
          <t>UMEÅ</t>
        </is>
      </c>
      <c r="F9963" t="inlineStr">
        <is>
          <t>Sveaskog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50726-2023</t>
        </is>
      </c>
      <c r="B9964" s="1" t="n">
        <v>45217</v>
      </c>
      <c r="C9964" s="1" t="n">
        <v>45971</v>
      </c>
      <c r="D9964" t="inlineStr">
        <is>
          <t>VÄSTERBOTTENS LÄN</t>
        </is>
      </c>
      <c r="E9964" t="inlineStr">
        <is>
          <t>UMEÅ</t>
        </is>
      </c>
      <c r="F9964" t="inlineStr">
        <is>
          <t>Sveaskog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53353-2025</t>
        </is>
      </c>
      <c r="B9965" s="1" t="n">
        <v>45959.44858796296</v>
      </c>
      <c r="C9965" s="1" t="n">
        <v>45971</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53375-2025</t>
        </is>
      </c>
      <c r="B9966" s="1" t="n">
        <v>45959.52104166667</v>
      </c>
      <c r="C9966" s="1" t="n">
        <v>45971</v>
      </c>
      <c r="D9966" t="inlineStr">
        <is>
          <t>VÄSTERBOTTENS LÄN</t>
        </is>
      </c>
      <c r="E9966" t="inlineStr">
        <is>
          <t>SKELLEFTEÅ</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34437-2025</t>
        </is>
      </c>
      <c r="B9967" s="1" t="n">
        <v>45846.68461805556</v>
      </c>
      <c r="C9967" s="1" t="n">
        <v>45971</v>
      </c>
      <c r="D9967" t="inlineStr">
        <is>
          <t>VÄSTERBOTTENS LÄN</t>
        </is>
      </c>
      <c r="E9967" t="inlineStr">
        <is>
          <t>SKELLEFTEÅ</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53409-2025</t>
        </is>
      </c>
      <c r="B9968" s="1" t="n">
        <v>45959.57366898148</v>
      </c>
      <c r="C9968" s="1" t="n">
        <v>45971</v>
      </c>
      <c r="D9968" t="inlineStr">
        <is>
          <t>VÄSTERBOTTENS LÄN</t>
        </is>
      </c>
      <c r="E9968" t="inlineStr">
        <is>
          <t>DOROTEA</t>
        </is>
      </c>
      <c r="F9968" t="inlineStr">
        <is>
          <t>SCA</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48859-2025</t>
        </is>
      </c>
      <c r="B9969" s="1" t="n">
        <v>45937</v>
      </c>
      <c r="C9969" s="1" t="n">
        <v>45971</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53117-2025</t>
        </is>
      </c>
      <c r="B9970" s="1" t="n">
        <v>45958</v>
      </c>
      <c r="C9970" s="1" t="n">
        <v>45971</v>
      </c>
      <c r="D9970" t="inlineStr">
        <is>
          <t>VÄSTERBOTTENS LÄN</t>
        </is>
      </c>
      <c r="E9970" t="inlineStr">
        <is>
          <t>BJURHOLM</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34362-2025</t>
        </is>
      </c>
      <c r="B9971" s="1" t="n">
        <v>45846.48827546297</v>
      </c>
      <c r="C9971" s="1" t="n">
        <v>45971</v>
      </c>
      <c r="D9971" t="inlineStr">
        <is>
          <t>VÄSTERBOTTENS LÄN</t>
        </is>
      </c>
      <c r="E9971" t="inlineStr">
        <is>
          <t>SKELLEFTEÅ</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912-2023</t>
        </is>
      </c>
      <c r="B9972" s="1" t="n">
        <v>44931.92638888889</v>
      </c>
      <c r="C9972" s="1" t="n">
        <v>45971</v>
      </c>
      <c r="D9972" t="inlineStr">
        <is>
          <t>VÄSTERBOTTENS LÄN</t>
        </is>
      </c>
      <c r="E9972" t="inlineStr">
        <is>
          <t>DOROTEA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10843-2024</t>
        </is>
      </c>
      <c r="B9973" s="1" t="n">
        <v>45369</v>
      </c>
      <c r="C9973" s="1" t="n">
        <v>45971</v>
      </c>
      <c r="D9973" t="inlineStr">
        <is>
          <t>VÄSTERBOTTENS LÄN</t>
        </is>
      </c>
      <c r="E9973" t="inlineStr">
        <is>
          <t>MALÅ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34295-2025</t>
        </is>
      </c>
      <c r="B9974" s="1" t="n">
        <v>45846.34438657408</v>
      </c>
      <c r="C9974" s="1" t="n">
        <v>45971</v>
      </c>
      <c r="D9974" t="inlineStr">
        <is>
          <t>VÄSTERBOTTENS LÄN</t>
        </is>
      </c>
      <c r="E9974" t="inlineStr">
        <is>
          <t>ÅSELE</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36816-2022</t>
        </is>
      </c>
      <c r="B9975" s="1" t="n">
        <v>44805.5507175926</v>
      </c>
      <c r="C9975" s="1" t="n">
        <v>45971</v>
      </c>
      <c r="D9975" t="inlineStr">
        <is>
          <t>VÄSTERBOTTENS LÄN</t>
        </is>
      </c>
      <c r="E9975" t="inlineStr">
        <is>
          <t>UMEÅ</t>
        </is>
      </c>
      <c r="F9975" t="inlineStr">
        <is>
          <t>Holmen skog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34564-2025</t>
        </is>
      </c>
      <c r="B9976" s="1" t="n">
        <v>45846</v>
      </c>
      <c r="C9976" s="1" t="n">
        <v>45971</v>
      </c>
      <c r="D9976" t="inlineStr">
        <is>
          <t>VÄSTERBOTTENS LÄN</t>
        </is>
      </c>
      <c r="E9976" t="inlineStr">
        <is>
          <t>NORSJÖ</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53767-2025</t>
        </is>
      </c>
      <c r="B9977" s="1" t="n">
        <v>45960.67798611111</v>
      </c>
      <c r="C9977" s="1" t="n">
        <v>45971</v>
      </c>
      <c r="D9977" t="inlineStr">
        <is>
          <t>VÄSTERBOTTENS LÄN</t>
        </is>
      </c>
      <c r="E9977" t="inlineStr">
        <is>
          <t>SKELLEFTEÅ</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33994-2025</t>
        </is>
      </c>
      <c r="B9978" s="1" t="n">
        <v>45843.66199074074</v>
      </c>
      <c r="C9978" s="1" t="n">
        <v>45971</v>
      </c>
      <c r="D9978" t="inlineStr">
        <is>
          <t>VÄSTERBOTTENS LÄN</t>
        </is>
      </c>
      <c r="E9978" t="inlineStr">
        <is>
          <t>SKELLEFTEÅ</t>
        </is>
      </c>
      <c r="G9978" t="n">
        <v>13.2</v>
      </c>
      <c r="H9978" t="n">
        <v>0</v>
      </c>
      <c r="I9978" t="n">
        <v>0</v>
      </c>
      <c r="J9978" t="n">
        <v>0</v>
      </c>
      <c r="K9978" t="n">
        <v>0</v>
      </c>
      <c r="L9978" t="n">
        <v>0</v>
      </c>
      <c r="M9978" t="n">
        <v>0</v>
      </c>
      <c r="N9978" t="n">
        <v>0</v>
      </c>
      <c r="O9978" t="n">
        <v>0</v>
      </c>
      <c r="P9978" t="n">
        <v>0</v>
      </c>
      <c r="Q9978" t="n">
        <v>0</v>
      </c>
      <c r="R9978" s="2" t="inlineStr"/>
    </row>
    <row r="9979" ht="15" customHeight="1">
      <c r="A9979" t="inlineStr">
        <is>
          <t>A 34290-2025</t>
        </is>
      </c>
      <c r="B9979" s="1" t="n">
        <v>45846.33505787037</v>
      </c>
      <c r="C9979" s="1" t="n">
        <v>45971</v>
      </c>
      <c r="D9979" t="inlineStr">
        <is>
          <t>VÄSTERBOTTENS LÄN</t>
        </is>
      </c>
      <c r="E9979" t="inlineStr">
        <is>
          <t>UMEÅ</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31736-2024</t>
        </is>
      </c>
      <c r="B9980" s="1" t="n">
        <v>45509.37478009259</v>
      </c>
      <c r="C9980" s="1" t="n">
        <v>45971</v>
      </c>
      <c r="D9980" t="inlineStr">
        <is>
          <t>VÄSTERBOTTENS LÄN</t>
        </is>
      </c>
      <c r="E9980" t="inlineStr">
        <is>
          <t>ROBERTSFORS</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34279-2025</t>
        </is>
      </c>
      <c r="B9981" s="1" t="n">
        <v>45846.26190972222</v>
      </c>
      <c r="C9981" s="1" t="n">
        <v>45971</v>
      </c>
      <c r="D9981" t="inlineStr">
        <is>
          <t>VÄSTERBOTTENS LÄN</t>
        </is>
      </c>
      <c r="E9981" t="inlineStr">
        <is>
          <t>DOROTEA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34315-2025</t>
        </is>
      </c>
      <c r="B9982" s="1" t="n">
        <v>45846.4034837963</v>
      </c>
      <c r="C9982" s="1" t="n">
        <v>45971</v>
      </c>
      <c r="D9982" t="inlineStr">
        <is>
          <t>VÄSTERBOTTENS LÄN</t>
        </is>
      </c>
      <c r="E9982" t="inlineStr">
        <is>
          <t>SKELLEFTEÅ</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34347-2025</t>
        </is>
      </c>
      <c r="B9983" s="1" t="n">
        <v>45846.4693287037</v>
      </c>
      <c r="C9983" s="1" t="n">
        <v>45971</v>
      </c>
      <c r="D9983" t="inlineStr">
        <is>
          <t>VÄSTERBOTTENS LÄN</t>
        </is>
      </c>
      <c r="E9983" t="inlineStr">
        <is>
          <t>BJURHOLM</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59609-2023</t>
        </is>
      </c>
      <c r="B9984" s="1" t="n">
        <v>45254.6369675926</v>
      </c>
      <c r="C9984" s="1" t="n">
        <v>45971</v>
      </c>
      <c r="D9984" t="inlineStr">
        <is>
          <t>VÄSTERBOTTENS LÄN</t>
        </is>
      </c>
      <c r="E9984" t="inlineStr">
        <is>
          <t>VINDELN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53500-2025</t>
        </is>
      </c>
      <c r="B9985" s="1" t="n">
        <v>45960.33998842593</v>
      </c>
      <c r="C9985" s="1" t="n">
        <v>45971</v>
      </c>
      <c r="D9985" t="inlineStr">
        <is>
          <t>VÄSTERBOTTENS LÄN</t>
        </is>
      </c>
      <c r="E9985" t="inlineStr">
        <is>
          <t>NORSJÖ</t>
        </is>
      </c>
      <c r="F9985" t="inlineStr">
        <is>
          <t>Sveaskog</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53512-2025</t>
        </is>
      </c>
      <c r="B9986" s="1" t="n">
        <v>45960.34540509259</v>
      </c>
      <c r="C9986" s="1" t="n">
        <v>45971</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53348-2025</t>
        </is>
      </c>
      <c r="B9987" s="1" t="n">
        <v>45959.43510416667</v>
      </c>
      <c r="C9987" s="1" t="n">
        <v>45971</v>
      </c>
      <c r="D9987" t="inlineStr">
        <is>
          <t>VÄSTERBOTTENS LÄN</t>
        </is>
      </c>
      <c r="E9987" t="inlineStr">
        <is>
          <t>SORSELE</t>
        </is>
      </c>
      <c r="F9987" t="inlineStr">
        <is>
          <t>Sveaskog</t>
        </is>
      </c>
      <c r="G9987" t="n">
        <v>20.6</v>
      </c>
      <c r="H9987" t="n">
        <v>0</v>
      </c>
      <c r="I9987" t="n">
        <v>0</v>
      </c>
      <c r="J9987" t="n">
        <v>0</v>
      </c>
      <c r="K9987" t="n">
        <v>0</v>
      </c>
      <c r="L9987" t="n">
        <v>0</v>
      </c>
      <c r="M9987" t="n">
        <v>0</v>
      </c>
      <c r="N9987" t="n">
        <v>0</v>
      </c>
      <c r="O9987" t="n">
        <v>0</v>
      </c>
      <c r="P9987" t="n">
        <v>0</v>
      </c>
      <c r="Q9987" t="n">
        <v>0</v>
      </c>
      <c r="R9987" s="2" t="inlineStr"/>
    </row>
    <row r="9988" ht="15" customHeight="1">
      <c r="A9988" t="inlineStr">
        <is>
          <t>A 34413-2025</t>
        </is>
      </c>
      <c r="B9988" s="1" t="n">
        <v>45845</v>
      </c>
      <c r="C9988" s="1" t="n">
        <v>45971</v>
      </c>
      <c r="D9988" t="inlineStr">
        <is>
          <t>VÄSTERBOTTENS LÄN</t>
        </is>
      </c>
      <c r="E9988" t="inlineStr">
        <is>
          <t>VILHELMINA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33982-2025</t>
        </is>
      </c>
      <c r="B9989" s="1" t="n">
        <v>45843.36505787037</v>
      </c>
      <c r="C9989" s="1" t="n">
        <v>45971</v>
      </c>
      <c r="D9989" t="inlineStr">
        <is>
          <t>VÄSTERBOTTENS LÄN</t>
        </is>
      </c>
      <c r="E9989" t="inlineStr">
        <is>
          <t>DOROTEA</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44774-2025</t>
        </is>
      </c>
      <c r="B9990" s="1" t="n">
        <v>45917.83175925926</v>
      </c>
      <c r="C9990" s="1" t="n">
        <v>45971</v>
      </c>
      <c r="D9990" t="inlineStr">
        <is>
          <t>VÄSTERBOTTENS LÄN</t>
        </is>
      </c>
      <c r="E9990" t="inlineStr">
        <is>
          <t>NORDMALING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35266-2024</t>
        </is>
      </c>
      <c r="B9991" s="1" t="n">
        <v>45530</v>
      </c>
      <c r="C9991" s="1" t="n">
        <v>45971</v>
      </c>
      <c r="D9991" t="inlineStr">
        <is>
          <t>VÄSTERBOTTENS LÄN</t>
        </is>
      </c>
      <c r="E9991" t="inlineStr">
        <is>
          <t>LYCKSELE</t>
        </is>
      </c>
      <c r="F9991" t="inlineStr">
        <is>
          <t>Holmen skog AB</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35273-2024</t>
        </is>
      </c>
      <c r="B9992" s="1" t="n">
        <v>45530</v>
      </c>
      <c r="C9992" s="1" t="n">
        <v>45971</v>
      </c>
      <c r="D9992" t="inlineStr">
        <is>
          <t>VÄSTERBOTTENS LÄN</t>
        </is>
      </c>
      <c r="E9992" t="inlineStr">
        <is>
          <t>LYCKSELE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34336-2025</t>
        </is>
      </c>
      <c r="B9993" s="1" t="n">
        <v>45846.45319444445</v>
      </c>
      <c r="C9993" s="1" t="n">
        <v>45971</v>
      </c>
      <c r="D9993" t="inlineStr">
        <is>
          <t>VÄSTERBOTTENS LÄN</t>
        </is>
      </c>
      <c r="E9993" t="inlineStr">
        <is>
          <t>BJURHOLM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34273-2025</t>
        </is>
      </c>
      <c r="B9994" s="1" t="n">
        <v>45845.85751157408</v>
      </c>
      <c r="C9994" s="1" t="n">
        <v>45971</v>
      </c>
      <c r="D9994" t="inlineStr">
        <is>
          <t>VÄSTERBOTTENS LÄN</t>
        </is>
      </c>
      <c r="E9994" t="inlineStr">
        <is>
          <t>SKELLEFTEÅ</t>
        </is>
      </c>
      <c r="G9994" t="n">
        <v>28.4</v>
      </c>
      <c r="H9994" t="n">
        <v>0</v>
      </c>
      <c r="I9994" t="n">
        <v>0</v>
      </c>
      <c r="J9994" t="n">
        <v>0</v>
      </c>
      <c r="K9994" t="n">
        <v>0</v>
      </c>
      <c r="L9994" t="n">
        <v>0</v>
      </c>
      <c r="M9994" t="n">
        <v>0</v>
      </c>
      <c r="N9994" t="n">
        <v>0</v>
      </c>
      <c r="O9994" t="n">
        <v>0</v>
      </c>
      <c r="P9994" t="n">
        <v>0</v>
      </c>
      <c r="Q9994" t="n">
        <v>0</v>
      </c>
      <c r="R9994" s="2" t="inlineStr"/>
    </row>
    <row r="9995" ht="15" customHeight="1">
      <c r="A9995" t="inlineStr">
        <is>
          <t>A 991-2024</t>
        </is>
      </c>
      <c r="B9995" s="1" t="n">
        <v>45301</v>
      </c>
      <c r="C9995" s="1" t="n">
        <v>45971</v>
      </c>
      <c r="D9995" t="inlineStr">
        <is>
          <t>VÄSTERBOTTENS LÄN</t>
        </is>
      </c>
      <c r="E9995" t="inlineStr">
        <is>
          <t>ROBERTSFORS</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19616-2025</t>
        </is>
      </c>
      <c r="B9996" s="1" t="n">
        <v>45770.61537037037</v>
      </c>
      <c r="C9996" s="1" t="n">
        <v>45971</v>
      </c>
      <c r="D9996" t="inlineStr">
        <is>
          <t>VÄSTERBOTTENS LÄN</t>
        </is>
      </c>
      <c r="E9996" t="inlineStr">
        <is>
          <t>DOROTEA</t>
        </is>
      </c>
      <c r="F9996" t="inlineStr">
        <is>
          <t>SCA</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8215-2023</t>
        </is>
      </c>
      <c r="B9997" s="1" t="n">
        <v>44971</v>
      </c>
      <c r="C9997" s="1" t="n">
        <v>45971</v>
      </c>
      <c r="D9997" t="inlineStr">
        <is>
          <t>VÄSTERBOTTENS LÄN</t>
        </is>
      </c>
      <c r="E9997" t="inlineStr">
        <is>
          <t>VILHELMINA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53354-2025</t>
        </is>
      </c>
      <c r="B9998" s="1" t="n">
        <v>45959.44861111111</v>
      </c>
      <c r="C9998" s="1" t="n">
        <v>45971</v>
      </c>
      <c r="D9998" t="inlineStr">
        <is>
          <t>VÄSTERBOTTENS LÄN</t>
        </is>
      </c>
      <c r="E9998" t="inlineStr">
        <is>
          <t>VINDELN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53358-2025</t>
        </is>
      </c>
      <c r="B9999" s="1" t="n">
        <v>45959.46972222222</v>
      </c>
      <c r="C9999" s="1" t="n">
        <v>45971</v>
      </c>
      <c r="D9999" t="inlineStr">
        <is>
          <t>VÄSTERBOTTENS LÄN</t>
        </is>
      </c>
      <c r="E9999" t="inlineStr">
        <is>
          <t>VINDELN</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1802-2024</t>
        </is>
      </c>
      <c r="B10000" s="1" t="n">
        <v>45307</v>
      </c>
      <c r="C10000" s="1" t="n">
        <v>45971</v>
      </c>
      <c r="D10000" t="inlineStr">
        <is>
          <t>VÄSTERBOTTENS LÄN</t>
        </is>
      </c>
      <c r="E10000" t="inlineStr">
        <is>
          <t>VINDELN</t>
        </is>
      </c>
      <c r="F10000" t="inlineStr">
        <is>
          <t>Sveaskog</t>
        </is>
      </c>
      <c r="G10000" t="n">
        <v>35.5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33992-2025</t>
        </is>
      </c>
      <c r="B10001" s="1" t="n">
        <v>45843.61037037037</v>
      </c>
      <c r="C10001" s="1" t="n">
        <v>45971</v>
      </c>
      <c r="D10001" t="inlineStr">
        <is>
          <t>VÄSTERBOTTENS LÄN</t>
        </is>
      </c>
      <c r="E10001" t="inlineStr">
        <is>
          <t>LYCKSELE</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48754-2021</t>
        </is>
      </c>
      <c r="B10002" s="1" t="n">
        <v>44452</v>
      </c>
      <c r="C10002" s="1" t="n">
        <v>45971</v>
      </c>
      <c r="D10002" t="inlineStr">
        <is>
          <t>VÄSTERBOTTENS LÄN</t>
        </is>
      </c>
      <c r="E10002" t="inlineStr">
        <is>
          <t>VILHELMINA</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48756-2021</t>
        </is>
      </c>
      <c r="B10003" s="1" t="n">
        <v>44452</v>
      </c>
      <c r="C10003" s="1" t="n">
        <v>45971</v>
      </c>
      <c r="D10003" t="inlineStr">
        <is>
          <t>VÄSTERBOTTENS LÄN</t>
        </is>
      </c>
      <c r="E10003" t="inlineStr">
        <is>
          <t>VILHELMINA</t>
        </is>
      </c>
      <c r="G10003" t="n">
        <v>13.3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34405-2025</t>
        </is>
      </c>
      <c r="B10004" s="1" t="n">
        <v>45846.6277662037</v>
      </c>
      <c r="C10004" s="1" t="n">
        <v>45971</v>
      </c>
      <c r="D10004" t="inlineStr">
        <is>
          <t>VÄSTERBOTTENS LÄN</t>
        </is>
      </c>
      <c r="E10004" t="inlineStr">
        <is>
          <t>SKELLEFTEÅ</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6998-2024</t>
        </is>
      </c>
      <c r="B10005" s="1" t="n">
        <v>45343</v>
      </c>
      <c r="C10005" s="1" t="n">
        <v>45971</v>
      </c>
      <c r="D10005" t="inlineStr">
        <is>
          <t>VÄSTERBOTTENS LÄN</t>
        </is>
      </c>
      <c r="E10005" t="inlineStr">
        <is>
          <t>UMEÅ</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10074-2025</t>
        </is>
      </c>
      <c r="B10006" s="1" t="n">
        <v>45719</v>
      </c>
      <c r="C10006" s="1" t="n">
        <v>45971</v>
      </c>
      <c r="D10006" t="inlineStr">
        <is>
          <t>VÄSTERBOTTENS LÄN</t>
        </is>
      </c>
      <c r="E10006" t="inlineStr">
        <is>
          <t>SKELLEFTEÅ</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19119-2025</t>
        </is>
      </c>
      <c r="B10007" s="1" t="n">
        <v>45768.82230324074</v>
      </c>
      <c r="C10007" s="1" t="n">
        <v>45971</v>
      </c>
      <c r="D10007" t="inlineStr">
        <is>
          <t>VÄSTERBOTTENS LÄN</t>
        </is>
      </c>
      <c r="E10007" t="inlineStr">
        <is>
          <t>SKELLEFTEÅ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45541-2025</t>
        </is>
      </c>
      <c r="B10008" s="1" t="n">
        <v>45922.61495370371</v>
      </c>
      <c r="C10008" s="1" t="n">
        <v>45971</v>
      </c>
      <c r="D10008" t="inlineStr">
        <is>
          <t>VÄSTERBOTTENS LÄN</t>
        </is>
      </c>
      <c r="E10008" t="inlineStr">
        <is>
          <t>NORSJÖ</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27307-2022</t>
        </is>
      </c>
      <c r="B10009" s="1" t="n">
        <v>44742.3241550926</v>
      </c>
      <c r="C10009" s="1" t="n">
        <v>45971</v>
      </c>
      <c r="D10009" t="inlineStr">
        <is>
          <t>VÄSTERBOTTENS LÄN</t>
        </is>
      </c>
      <c r="E10009" t="inlineStr">
        <is>
          <t>UMEÅ</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18975-2023</t>
        </is>
      </c>
      <c r="B10010" s="1" t="n">
        <v>45044</v>
      </c>
      <c r="C10010" s="1" t="n">
        <v>45971</v>
      </c>
      <c r="D10010" t="inlineStr">
        <is>
          <t>VÄSTERBOTTENS LÄN</t>
        </is>
      </c>
      <c r="E10010" t="inlineStr">
        <is>
          <t>SKELLEFTEÅ</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28367-2022</t>
        </is>
      </c>
      <c r="B10011" s="1" t="n">
        <v>44747</v>
      </c>
      <c r="C10011" s="1" t="n">
        <v>45971</v>
      </c>
      <c r="D10011" t="inlineStr">
        <is>
          <t>VÄSTERBOTTENS LÄN</t>
        </is>
      </c>
      <c r="E10011" t="inlineStr">
        <is>
          <t>VÄNNÄS</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17060-2025</t>
        </is>
      </c>
      <c r="B10012" s="1" t="n">
        <v>45755.60756944444</v>
      </c>
      <c r="C10012" s="1" t="n">
        <v>45971</v>
      </c>
      <c r="D10012" t="inlineStr">
        <is>
          <t>VÄSTERBOTTENS LÄN</t>
        </is>
      </c>
      <c r="E10012" t="inlineStr">
        <is>
          <t>BJURHOLM</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17073-2025</t>
        </is>
      </c>
      <c r="B10013" s="1" t="n">
        <v>45754</v>
      </c>
      <c r="C10013" s="1" t="n">
        <v>45971</v>
      </c>
      <c r="D10013" t="inlineStr">
        <is>
          <t>VÄSTERBOTTENS LÄN</t>
        </is>
      </c>
      <c r="E10013" t="inlineStr">
        <is>
          <t>VÄNNÄS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17081-2025</t>
        </is>
      </c>
      <c r="B10014" s="1" t="n">
        <v>45755</v>
      </c>
      <c r="C10014" s="1" t="n">
        <v>45971</v>
      </c>
      <c r="D10014" t="inlineStr">
        <is>
          <t>VÄSTERBOTTENS LÄN</t>
        </is>
      </c>
      <c r="E10014" t="inlineStr">
        <is>
          <t>UMEÅ</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34446-2025</t>
        </is>
      </c>
      <c r="B10015" s="1" t="n">
        <v>45845</v>
      </c>
      <c r="C10015" s="1" t="n">
        <v>45971</v>
      </c>
      <c r="D10015" t="inlineStr">
        <is>
          <t>VÄSTERBOTTENS LÄN</t>
        </is>
      </c>
      <c r="E10015" t="inlineStr">
        <is>
          <t>BJURHOLM</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34056-2025</t>
        </is>
      </c>
      <c r="B10016" s="1" t="n">
        <v>45845.41228009259</v>
      </c>
      <c r="C10016" s="1" t="n">
        <v>45971</v>
      </c>
      <c r="D10016" t="inlineStr">
        <is>
          <t>VÄSTERBOTTENS LÄN</t>
        </is>
      </c>
      <c r="E10016" t="inlineStr">
        <is>
          <t>SKELLEFTEÅ</t>
        </is>
      </c>
      <c r="F10016" t="inlineStr">
        <is>
          <t>Holmen skog AB</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14013-2025</t>
        </is>
      </c>
      <c r="B10017" s="1" t="n">
        <v>45740.31539351852</v>
      </c>
      <c r="C10017" s="1" t="n">
        <v>45971</v>
      </c>
      <c r="D10017" t="inlineStr">
        <is>
          <t>VÄSTERBOTTENS LÄN</t>
        </is>
      </c>
      <c r="E10017" t="inlineStr">
        <is>
          <t>SKELLEFTEÅ</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34082-2025</t>
        </is>
      </c>
      <c r="B10018" s="1" t="n">
        <v>45845.46190972222</v>
      </c>
      <c r="C10018" s="1" t="n">
        <v>45971</v>
      </c>
      <c r="D10018" t="inlineStr">
        <is>
          <t>VÄSTERBOTTENS LÄN</t>
        </is>
      </c>
      <c r="E10018" t="inlineStr">
        <is>
          <t>SKELLEFTEÅ</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34110-2025</t>
        </is>
      </c>
      <c r="B10019" s="1" t="n">
        <v>45845.49877314815</v>
      </c>
      <c r="C10019" s="1" t="n">
        <v>45971</v>
      </c>
      <c r="D10019" t="inlineStr">
        <is>
          <t>VÄSTERBOTTENS LÄN</t>
        </is>
      </c>
      <c r="E10019" t="inlineStr">
        <is>
          <t>LYCKSELE</t>
        </is>
      </c>
      <c r="F10019" t="inlineStr">
        <is>
          <t>Holmen skog AB</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5252-2024</t>
        </is>
      </c>
      <c r="B10020" s="1" t="n">
        <v>45330.93219907407</v>
      </c>
      <c r="C10020" s="1" t="n">
        <v>45971</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34027-2025</t>
        </is>
      </c>
      <c r="B10021" s="1" t="n">
        <v>45845.35981481482</v>
      </c>
      <c r="C10021" s="1" t="n">
        <v>45971</v>
      </c>
      <c r="D10021" t="inlineStr">
        <is>
          <t>VÄSTERBOTTENS LÄN</t>
        </is>
      </c>
      <c r="E10021" t="inlineStr">
        <is>
          <t>SKELLEFTEÅ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28347-2022</t>
        </is>
      </c>
      <c r="B10022" s="1" t="n">
        <v>44747.45532407407</v>
      </c>
      <c r="C10022" s="1" t="n">
        <v>45971</v>
      </c>
      <c r="D10022" t="inlineStr">
        <is>
          <t>VÄSTERBOTTENS LÄN</t>
        </is>
      </c>
      <c r="E10022" t="inlineStr">
        <is>
          <t>VÄNNÄS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11651-2025</t>
        </is>
      </c>
      <c r="B10023" s="1" t="n">
        <v>45727.4807175926</v>
      </c>
      <c r="C10023" s="1" t="n">
        <v>45971</v>
      </c>
      <c r="D10023" t="inlineStr">
        <is>
          <t>VÄSTERBOTTENS LÄN</t>
        </is>
      </c>
      <c r="E10023" t="inlineStr">
        <is>
          <t>NORDMALING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33715-2024</t>
        </is>
      </c>
      <c r="B10024" s="1" t="n">
        <v>45520.53451388889</v>
      </c>
      <c r="C10024" s="1" t="n">
        <v>45971</v>
      </c>
      <c r="D10024" t="inlineStr">
        <is>
          <t>VÄSTERBOTTENS LÄN</t>
        </is>
      </c>
      <c r="E10024" t="inlineStr">
        <is>
          <t>LYCKSELE</t>
        </is>
      </c>
      <c r="F10024" t="inlineStr">
        <is>
          <t>Sveaskog</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31737-2024</t>
        </is>
      </c>
      <c r="B10025" s="1" t="n">
        <v>45509.37478009259</v>
      </c>
      <c r="C10025" s="1" t="n">
        <v>45971</v>
      </c>
      <c r="D10025" t="inlineStr">
        <is>
          <t>VÄSTERBOTTENS LÄN</t>
        </is>
      </c>
      <c r="E10025" t="inlineStr">
        <is>
          <t>ROBERTSFORS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58350-2023</t>
        </is>
      </c>
      <c r="B10026" s="1" t="n">
        <v>45250.62596064815</v>
      </c>
      <c r="C10026" s="1" t="n">
        <v>45971</v>
      </c>
      <c r="D10026" t="inlineStr">
        <is>
          <t>VÄSTERBOTTENS LÄN</t>
        </is>
      </c>
      <c r="E10026" t="inlineStr">
        <is>
          <t>VINDELN</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19706-2025</t>
        </is>
      </c>
      <c r="B10027" s="1" t="n">
        <v>45771.34158564815</v>
      </c>
      <c r="C10027" s="1" t="n">
        <v>45971</v>
      </c>
      <c r="D10027" t="inlineStr">
        <is>
          <t>VÄSTERBOTTENS LÄN</t>
        </is>
      </c>
      <c r="E10027" t="inlineStr">
        <is>
          <t>VINDELN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53924-2025</t>
        </is>
      </c>
      <c r="B10028" s="1" t="n">
        <v>45961.45703703703</v>
      </c>
      <c r="C10028" s="1" t="n">
        <v>45971</v>
      </c>
      <c r="D10028" t="inlineStr">
        <is>
          <t>VÄSTERBOTTENS LÄN</t>
        </is>
      </c>
      <c r="E10028" t="inlineStr">
        <is>
          <t>VINDELN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45366-2025</t>
        </is>
      </c>
      <c r="B10029" s="1" t="n">
        <v>45922.38587962963</v>
      </c>
      <c r="C10029" s="1" t="n">
        <v>45971</v>
      </c>
      <c r="D10029" t="inlineStr">
        <is>
          <t>VÄSTERBOTTENS LÄN</t>
        </is>
      </c>
      <c r="E10029" t="inlineStr">
        <is>
          <t>SKELLEFTEÅ</t>
        </is>
      </c>
      <c r="G10029" t="n">
        <v>16.3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45394-2025</t>
        </is>
      </c>
      <c r="B10030" s="1" t="n">
        <v>45922.40804398148</v>
      </c>
      <c r="C10030" s="1" t="n">
        <v>45971</v>
      </c>
      <c r="D10030" t="inlineStr">
        <is>
          <t>VÄSTERBOTTENS LÄN</t>
        </is>
      </c>
      <c r="E10030" t="inlineStr">
        <is>
          <t>SKELLEFTEÅ</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34274-2025</t>
        </is>
      </c>
      <c r="B10031" s="1" t="n">
        <v>45845.86229166666</v>
      </c>
      <c r="C10031" s="1" t="n">
        <v>45971</v>
      </c>
      <c r="D10031" t="inlineStr">
        <is>
          <t>VÄSTERBOTTENS LÄN</t>
        </is>
      </c>
      <c r="E10031" t="inlineStr">
        <is>
          <t>SKELLEFTEÅ</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2170-2024</t>
        </is>
      </c>
      <c r="B10032" s="1" t="n">
        <v>45309.62446759259</v>
      </c>
      <c r="C10032" s="1" t="n">
        <v>45971</v>
      </c>
      <c r="D10032" t="inlineStr">
        <is>
          <t>VÄSTERBOTTENS LÄN</t>
        </is>
      </c>
      <c r="E10032" t="inlineStr">
        <is>
          <t>SKELLEFTEÅ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45429-2025</t>
        </is>
      </c>
      <c r="B10033" s="1" t="n">
        <v>45922.45540509259</v>
      </c>
      <c r="C10033" s="1" t="n">
        <v>45971</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53890-2025</t>
        </is>
      </c>
      <c r="B10034" s="1" t="n">
        <v>45961.41300925926</v>
      </c>
      <c r="C10034" s="1" t="n">
        <v>45971</v>
      </c>
      <c r="D10034" t="inlineStr">
        <is>
          <t>VÄSTERBOTTENS LÄN</t>
        </is>
      </c>
      <c r="E10034" t="inlineStr">
        <is>
          <t>VINDELN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8878-2024</t>
        </is>
      </c>
      <c r="B10035" s="1" t="n">
        <v>45357</v>
      </c>
      <c r="C10035" s="1" t="n">
        <v>45971</v>
      </c>
      <c r="D10035" t="inlineStr">
        <is>
          <t>VÄSTERBOTTENS LÄN</t>
        </is>
      </c>
      <c r="E10035" t="inlineStr">
        <is>
          <t>ÅSELE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7979-2022</t>
        </is>
      </c>
      <c r="B10036" s="1" t="n">
        <v>44608</v>
      </c>
      <c r="C10036" s="1" t="n">
        <v>45971</v>
      </c>
      <c r="D10036" t="inlineStr">
        <is>
          <t>VÄSTERBOTTENS LÄN</t>
        </is>
      </c>
      <c r="E10036" t="inlineStr">
        <is>
          <t>NORSJÖ</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24041-2023</t>
        </is>
      </c>
      <c r="B10037" s="1" t="n">
        <v>45078</v>
      </c>
      <c r="C10037" s="1" t="n">
        <v>45971</v>
      </c>
      <c r="D10037" t="inlineStr">
        <is>
          <t>VÄSTERBOTTENS LÄN</t>
        </is>
      </c>
      <c r="E10037" t="inlineStr">
        <is>
          <t>LYCKSELE</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12437-2022</t>
        </is>
      </c>
      <c r="B10038" s="1" t="n">
        <v>44638</v>
      </c>
      <c r="C10038" s="1" t="n">
        <v>45971</v>
      </c>
      <c r="D10038" t="inlineStr">
        <is>
          <t>VÄSTERBOTTENS LÄN</t>
        </is>
      </c>
      <c r="E10038" t="inlineStr">
        <is>
          <t>SORSELE</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34712-2023</t>
        </is>
      </c>
      <c r="B10039" s="1" t="n">
        <v>45139</v>
      </c>
      <c r="C10039" s="1" t="n">
        <v>45971</v>
      </c>
      <c r="D10039" t="inlineStr">
        <is>
          <t>VÄSTERBOTTENS LÄN</t>
        </is>
      </c>
      <c r="E10039" t="inlineStr">
        <is>
          <t>BJURHOLM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20510-2024</t>
        </is>
      </c>
      <c r="B10040" s="1" t="n">
        <v>45435.94324074074</v>
      </c>
      <c r="C10040" s="1" t="n">
        <v>45971</v>
      </c>
      <c r="D10040" t="inlineStr">
        <is>
          <t>VÄSTERBOTTENS LÄN</t>
        </is>
      </c>
      <c r="E10040" t="inlineStr">
        <is>
          <t>VILHELMINA</t>
        </is>
      </c>
      <c r="F10040" t="inlineStr">
        <is>
          <t>SCA</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54288-2025</t>
        </is>
      </c>
      <c r="B10041" s="1" t="n">
        <v>45964.80960648148</v>
      </c>
      <c r="C10041" s="1" t="n">
        <v>45971</v>
      </c>
      <c r="D10041" t="inlineStr">
        <is>
          <t>VÄSTERBOTTENS LÄN</t>
        </is>
      </c>
      <c r="E10041" t="inlineStr">
        <is>
          <t>SKELLEFTEÅ</t>
        </is>
      </c>
      <c r="F10041" t="inlineStr">
        <is>
          <t>Sveaskog</t>
        </is>
      </c>
      <c r="G10041" t="n">
        <v>18.2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80-2024</t>
        </is>
      </c>
      <c r="B10042" s="1" t="n">
        <v>45293</v>
      </c>
      <c r="C10042" s="1" t="n">
        <v>45971</v>
      </c>
      <c r="D10042" t="inlineStr">
        <is>
          <t>VÄSTERBOTTENS LÄN</t>
        </is>
      </c>
      <c r="E10042" t="inlineStr">
        <is>
          <t>BJURHOLM</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20523-2024</t>
        </is>
      </c>
      <c r="B10043" s="1" t="n">
        <v>45435.94553240741</v>
      </c>
      <c r="C10043" s="1" t="n">
        <v>45971</v>
      </c>
      <c r="D10043" t="inlineStr">
        <is>
          <t>VÄSTERBOTTENS LÄN</t>
        </is>
      </c>
      <c r="E10043" t="inlineStr">
        <is>
          <t>VILHELMINA</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34039-2025</t>
        </is>
      </c>
      <c r="B10044" s="1" t="n">
        <v>45845.37259259259</v>
      </c>
      <c r="C10044" s="1" t="n">
        <v>45971</v>
      </c>
      <c r="D10044" t="inlineStr">
        <is>
          <t>VÄSTERBOTTENS LÄN</t>
        </is>
      </c>
      <c r="E10044" t="inlineStr">
        <is>
          <t>UMEÅ</t>
        </is>
      </c>
      <c r="F10044" t="inlineStr">
        <is>
          <t>Holmen skog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34061-2025</t>
        </is>
      </c>
      <c r="B10045" s="1" t="n">
        <v>45845.42341435186</v>
      </c>
      <c r="C10045" s="1" t="n">
        <v>45971</v>
      </c>
      <c r="D10045" t="inlineStr">
        <is>
          <t>VÄSTERBOTTENS LÄN</t>
        </is>
      </c>
      <c r="E10045" t="inlineStr">
        <is>
          <t>UMEÅ</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29619-2024</t>
        </is>
      </c>
      <c r="B10046" s="1" t="n">
        <v>45484.6541087963</v>
      </c>
      <c r="C10046" s="1" t="n">
        <v>45971</v>
      </c>
      <c r="D10046" t="inlineStr">
        <is>
          <t>VÄSTERBOTTENS LÄN</t>
        </is>
      </c>
      <c r="E10046" t="inlineStr">
        <is>
          <t>ÅSELE</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34017-2025</t>
        </is>
      </c>
      <c r="B10047" s="1" t="n">
        <v>45845.33821759259</v>
      </c>
      <c r="C10047" s="1" t="n">
        <v>45971</v>
      </c>
      <c r="D10047" t="inlineStr">
        <is>
          <t>VÄSTERBOTTENS LÄN</t>
        </is>
      </c>
      <c r="E10047" t="inlineStr">
        <is>
          <t>LYCKSELE</t>
        </is>
      </c>
      <c r="F10047" t="inlineStr">
        <is>
          <t>Sveaskog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38953-2023</t>
        </is>
      </c>
      <c r="B10048" s="1" t="n">
        <v>45163.61561342593</v>
      </c>
      <c r="C10048" s="1" t="n">
        <v>45971</v>
      </c>
      <c r="D10048" t="inlineStr">
        <is>
          <t>VÄSTERBOTTENS LÄN</t>
        </is>
      </c>
      <c r="E10048" t="inlineStr">
        <is>
          <t>VINDELN</t>
        </is>
      </c>
      <c r="F10048" t="inlineStr">
        <is>
          <t>Holmen skog AB</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28688-2025</t>
        </is>
      </c>
      <c r="B10049" s="1" t="n">
        <v>45819</v>
      </c>
      <c r="C10049" s="1" t="n">
        <v>45971</v>
      </c>
      <c r="D10049" t="inlineStr">
        <is>
          <t>VÄSTERBOTTENS LÄN</t>
        </is>
      </c>
      <c r="E10049" t="inlineStr">
        <is>
          <t>ROBERTSFORS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32455-2024</t>
        </is>
      </c>
      <c r="B10050" s="1" t="n">
        <v>45512.95870370371</v>
      </c>
      <c r="C10050" s="1" t="n">
        <v>45971</v>
      </c>
      <c r="D10050" t="inlineStr">
        <is>
          <t>VÄSTERBOTTENS LÄN</t>
        </is>
      </c>
      <c r="E10050" t="inlineStr">
        <is>
          <t>VILHELMINA</t>
        </is>
      </c>
      <c r="F10050" t="inlineStr">
        <is>
          <t>SCA</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28987-2022</t>
        </is>
      </c>
      <c r="B10051" s="1" t="n">
        <v>44749</v>
      </c>
      <c r="C10051" s="1" t="n">
        <v>45971</v>
      </c>
      <c r="D10051" t="inlineStr">
        <is>
          <t>VÄSTERBOTTENS LÄN</t>
        </is>
      </c>
      <c r="E10051" t="inlineStr">
        <is>
          <t>VINDELN</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32475-2024</t>
        </is>
      </c>
      <c r="B10052" s="1" t="n">
        <v>45513.33157407407</v>
      </c>
      <c r="C10052" s="1" t="n">
        <v>45971</v>
      </c>
      <c r="D10052" t="inlineStr">
        <is>
          <t>VÄSTERBOTTENS LÄN</t>
        </is>
      </c>
      <c r="E10052" t="inlineStr">
        <is>
          <t>LYCKSELE</t>
        </is>
      </c>
      <c r="F10052" t="inlineStr">
        <is>
          <t>Holmen skog AB</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10176-2024</t>
        </is>
      </c>
      <c r="B10053" s="1" t="n">
        <v>45364</v>
      </c>
      <c r="C10053" s="1" t="n">
        <v>45971</v>
      </c>
      <c r="D10053" t="inlineStr">
        <is>
          <t>VÄSTERBOTTENS LÄN</t>
        </is>
      </c>
      <c r="E10053" t="inlineStr">
        <is>
          <t>ÅSELE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45535-2022</t>
        </is>
      </c>
      <c r="B10054" s="1" t="n">
        <v>44841</v>
      </c>
      <c r="C10054" s="1" t="n">
        <v>45971</v>
      </c>
      <c r="D10054" t="inlineStr">
        <is>
          <t>VÄSTERBOTTENS LÄN</t>
        </is>
      </c>
      <c r="E10054" t="inlineStr">
        <is>
          <t>SORSELE</t>
        </is>
      </c>
      <c r="G10054" t="n">
        <v>82.3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45506-2025</t>
        </is>
      </c>
      <c r="B10055" s="1" t="n">
        <v>45922.57350694444</v>
      </c>
      <c r="C10055" s="1" t="n">
        <v>45971</v>
      </c>
      <c r="D10055" t="inlineStr">
        <is>
          <t>VÄSTERBOTTENS LÄN</t>
        </is>
      </c>
      <c r="E10055" t="inlineStr">
        <is>
          <t>ÅSELE</t>
        </is>
      </c>
      <c r="G10055" t="n">
        <v>17.3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62648-2021</t>
        </is>
      </c>
      <c r="B10056" s="1" t="n">
        <v>44503</v>
      </c>
      <c r="C10056" s="1" t="n">
        <v>45971</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34253-2025</t>
        </is>
      </c>
      <c r="B10057" s="1" t="n">
        <v>45845</v>
      </c>
      <c r="C10057" s="1" t="n">
        <v>45971</v>
      </c>
      <c r="D10057" t="inlineStr">
        <is>
          <t>VÄSTERBOTTENS LÄN</t>
        </is>
      </c>
      <c r="E10057" t="inlineStr">
        <is>
          <t>VILHELMINA</t>
        </is>
      </c>
      <c r="G10057" t="n">
        <v>14.3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58542-2023</t>
        </is>
      </c>
      <c r="B10058" s="1" t="n">
        <v>45246</v>
      </c>
      <c r="C10058" s="1" t="n">
        <v>45971</v>
      </c>
      <c r="D10058" t="inlineStr">
        <is>
          <t>VÄSTERBOTTENS LÄN</t>
        </is>
      </c>
      <c r="E10058" t="inlineStr">
        <is>
          <t>ROBERTSFORS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33991-2025</t>
        </is>
      </c>
      <c r="B10059" s="1" t="n">
        <v>45843.60467592593</v>
      </c>
      <c r="C10059" s="1" t="n">
        <v>45971</v>
      </c>
      <c r="D10059" t="inlineStr">
        <is>
          <t>VÄSTERBOTTENS LÄN</t>
        </is>
      </c>
      <c r="E10059" t="inlineStr">
        <is>
          <t>LYCKSELE</t>
        </is>
      </c>
      <c r="F10059" t="inlineStr">
        <is>
          <t>Sveaskog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57224-2023</t>
        </is>
      </c>
      <c r="B10060" s="1" t="n">
        <v>45239</v>
      </c>
      <c r="C10060" s="1" t="n">
        <v>45971</v>
      </c>
      <c r="D10060" t="inlineStr">
        <is>
          <t>VÄSTERBOTTENS LÄN</t>
        </is>
      </c>
      <c r="E10060" t="inlineStr">
        <is>
          <t>LYCKSELE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53921-2025</t>
        </is>
      </c>
      <c r="B10061" s="1" t="n">
        <v>45961.45025462963</v>
      </c>
      <c r="C10061" s="1" t="n">
        <v>45971</v>
      </c>
      <c r="D10061" t="inlineStr">
        <is>
          <t>VÄSTERBOTTENS LÄN</t>
        </is>
      </c>
      <c r="E10061" t="inlineStr">
        <is>
          <t>VINDELN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34774-2025</t>
        </is>
      </c>
      <c r="B10062" s="1" t="n">
        <v>45848.65680555555</v>
      </c>
      <c r="C10062" s="1" t="n">
        <v>45971</v>
      </c>
      <c r="D10062" t="inlineStr">
        <is>
          <t>VÄSTERBOTTENS LÄN</t>
        </is>
      </c>
      <c r="E10062" t="inlineStr">
        <is>
          <t>UMEÅ</t>
        </is>
      </c>
      <c r="G10062" t="n">
        <v>21.6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34471-2025</t>
        </is>
      </c>
      <c r="B10063" s="1" t="n">
        <v>45847</v>
      </c>
      <c r="C10063" s="1" t="n">
        <v>45971</v>
      </c>
      <c r="D10063" t="inlineStr">
        <is>
          <t>VÄSTERBOTTENS LÄN</t>
        </is>
      </c>
      <c r="E10063" t="inlineStr">
        <is>
          <t>SKELLEFTEÅ</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28713-2022</t>
        </is>
      </c>
      <c r="B10064" s="1" t="n">
        <v>44748</v>
      </c>
      <c r="C10064" s="1" t="n">
        <v>45971</v>
      </c>
      <c r="D10064" t="inlineStr">
        <is>
          <t>VÄSTERBOTTENS LÄN</t>
        </is>
      </c>
      <c r="E10064" t="inlineStr">
        <is>
          <t>STORUMAN</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28717-2022</t>
        </is>
      </c>
      <c r="B10065" s="1" t="n">
        <v>44748.94555555555</v>
      </c>
      <c r="C10065" s="1" t="n">
        <v>45971</v>
      </c>
      <c r="D10065" t="inlineStr">
        <is>
          <t>VÄSTERBOTTENS LÄN</t>
        </is>
      </c>
      <c r="E10065" t="inlineStr">
        <is>
          <t>DOROTEA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54031-2025</t>
        </is>
      </c>
      <c r="B10066" s="1" t="n">
        <v>45962.78836805555</v>
      </c>
      <c r="C10066" s="1" t="n">
        <v>45971</v>
      </c>
      <c r="D10066" t="inlineStr">
        <is>
          <t>VÄSTERBOTTENS LÄN</t>
        </is>
      </c>
      <c r="E10066" t="inlineStr">
        <is>
          <t>DOROTEA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34724-2025</t>
        </is>
      </c>
      <c r="B10067" s="1" t="n">
        <v>45848.55504629629</v>
      </c>
      <c r="C10067" s="1" t="n">
        <v>45971</v>
      </c>
      <c r="D10067" t="inlineStr">
        <is>
          <t>VÄSTERBOTTENS LÄN</t>
        </is>
      </c>
      <c r="E10067" t="inlineStr">
        <is>
          <t>SKELLEFTEÅ</t>
        </is>
      </c>
      <c r="F10067" t="inlineStr">
        <is>
          <t>Holmen skog AB</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67092-2021</t>
        </is>
      </c>
      <c r="B10068" s="1" t="n">
        <v>44522</v>
      </c>
      <c r="C10068" s="1" t="n">
        <v>45971</v>
      </c>
      <c r="D10068" t="inlineStr">
        <is>
          <t>VÄSTERBOTTENS LÄN</t>
        </is>
      </c>
      <c r="E10068" t="inlineStr">
        <is>
          <t>LYCKSELE</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60659-2023</t>
        </is>
      </c>
      <c r="B10069" s="1" t="n">
        <v>45259</v>
      </c>
      <c r="C10069" s="1" t="n">
        <v>45971</v>
      </c>
      <c r="D10069" t="inlineStr">
        <is>
          <t>VÄSTERBOTTENS LÄN</t>
        </is>
      </c>
      <c r="E10069" t="inlineStr">
        <is>
          <t>BJURHOLM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34465-2025</t>
        </is>
      </c>
      <c r="B10070" s="1" t="n">
        <v>45847.34548611111</v>
      </c>
      <c r="C10070" s="1" t="n">
        <v>45971</v>
      </c>
      <c r="D10070" t="inlineStr">
        <is>
          <t>VÄSTERBOTTENS LÄN</t>
        </is>
      </c>
      <c r="E10070" t="inlineStr">
        <is>
          <t>LYCKSELE</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34667-2025</t>
        </is>
      </c>
      <c r="B10071" s="1" t="n">
        <v>45848.38278935185</v>
      </c>
      <c r="C10071" s="1" t="n">
        <v>45971</v>
      </c>
      <c r="D10071" t="inlineStr">
        <is>
          <t>VÄSTERBOTTENS LÄN</t>
        </is>
      </c>
      <c r="E10071" t="inlineStr">
        <is>
          <t>ÅSELE</t>
        </is>
      </c>
      <c r="F10071" t="inlineStr">
        <is>
          <t>Holmen skog AB</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53035-2023</t>
        </is>
      </c>
      <c r="B10072" s="1" t="n">
        <v>45226.96270833333</v>
      </c>
      <c r="C10072" s="1" t="n">
        <v>45971</v>
      </c>
      <c r="D10072" t="inlineStr">
        <is>
          <t>VÄSTERBOTTENS LÄN</t>
        </is>
      </c>
      <c r="E10072" t="inlineStr">
        <is>
          <t>LYCKSELE</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47494-2023</t>
        </is>
      </c>
      <c r="B10073" s="1" t="n">
        <v>45202.9420949074</v>
      </c>
      <c r="C10073" s="1" t="n">
        <v>45971</v>
      </c>
      <c r="D10073" t="inlineStr">
        <is>
          <t>VÄSTERBOTTENS LÄN</t>
        </is>
      </c>
      <c r="E10073" t="inlineStr">
        <is>
          <t>DOROTEA</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1565-2024</t>
        </is>
      </c>
      <c r="B10074" s="1" t="n">
        <v>45306.52886574074</v>
      </c>
      <c r="C10074" s="1" t="n">
        <v>45971</v>
      </c>
      <c r="D10074" t="inlineStr">
        <is>
          <t>VÄSTERBOTTENS LÄN</t>
        </is>
      </c>
      <c r="E10074" t="inlineStr">
        <is>
          <t>NORSJÖ</t>
        </is>
      </c>
      <c r="F10074" t="inlineStr">
        <is>
          <t>Holmen skog AB</t>
        </is>
      </c>
      <c r="G10074" t="n">
        <v>23.6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34787-2025</t>
        </is>
      </c>
      <c r="B10075" s="1" t="n">
        <v>45848.67791666667</v>
      </c>
      <c r="C10075" s="1" t="n">
        <v>45971</v>
      </c>
      <c r="D10075" t="inlineStr">
        <is>
          <t>VÄSTERBOTTENS LÄN</t>
        </is>
      </c>
      <c r="E10075" t="inlineStr">
        <is>
          <t>UMEÅ</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21811-2024</t>
        </is>
      </c>
      <c r="B10076" s="1" t="n">
        <v>45442</v>
      </c>
      <c r="C10076" s="1" t="n">
        <v>45971</v>
      </c>
      <c r="D10076" t="inlineStr">
        <is>
          <t>VÄSTERBOTTENS LÄN</t>
        </is>
      </c>
      <c r="E10076" t="inlineStr">
        <is>
          <t>ROBERTSFORS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34716-2025</t>
        </is>
      </c>
      <c r="B10077" s="1" t="n">
        <v>45848.52747685185</v>
      </c>
      <c r="C10077" s="1" t="n">
        <v>45971</v>
      </c>
      <c r="D10077" t="inlineStr">
        <is>
          <t>VÄSTERBOTTENS LÄN</t>
        </is>
      </c>
      <c r="E10077" t="inlineStr">
        <is>
          <t>SKELLEFTEÅ</t>
        </is>
      </c>
      <c r="G10077" t="n">
        <v>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34301-2025</t>
        </is>
      </c>
      <c r="B10078" s="1" t="n">
        <v>45846.34537037037</v>
      </c>
      <c r="C10078" s="1" t="n">
        <v>45971</v>
      </c>
      <c r="D10078" t="inlineStr">
        <is>
          <t>VÄSTERBOTTENS LÄN</t>
        </is>
      </c>
      <c r="E10078" t="inlineStr">
        <is>
          <t>ÅSELE</t>
        </is>
      </c>
      <c r="F10078" t="inlineStr">
        <is>
          <t>SCA</t>
        </is>
      </c>
      <c r="G10078" t="n">
        <v>27.4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41752-2023</t>
        </is>
      </c>
      <c r="B10079" s="1" t="n">
        <v>45176</v>
      </c>
      <c r="C10079" s="1" t="n">
        <v>45971</v>
      </c>
      <c r="D10079" t="inlineStr">
        <is>
          <t>VÄSTERBOTTENS LÄN</t>
        </is>
      </c>
      <c r="E10079" t="inlineStr">
        <is>
          <t>ROBERTSFORS</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34569-2025</t>
        </is>
      </c>
      <c r="B10080" s="1" t="n">
        <v>45847.58480324074</v>
      </c>
      <c r="C10080" s="1" t="n">
        <v>45971</v>
      </c>
      <c r="D10080" t="inlineStr">
        <is>
          <t>VÄSTERBOTTENS LÄN</t>
        </is>
      </c>
      <c r="E10080" t="inlineStr">
        <is>
          <t>VILHELMINA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65009-2023</t>
        </is>
      </c>
      <c r="B10081" s="1" t="n">
        <v>45287.37836805556</v>
      </c>
      <c r="C10081" s="1" t="n">
        <v>45971</v>
      </c>
      <c r="D10081" t="inlineStr">
        <is>
          <t>VÄSTERBOTTENS LÄN</t>
        </is>
      </c>
      <c r="E10081" t="inlineStr">
        <is>
          <t>SKELLEFTEÅ</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45146-2025</t>
        </is>
      </c>
      <c r="B10082" s="1" t="n">
        <v>45919</v>
      </c>
      <c r="C10082" s="1" t="n">
        <v>45971</v>
      </c>
      <c r="D10082" t="inlineStr">
        <is>
          <t>VÄSTERBOTTENS LÄN</t>
        </is>
      </c>
      <c r="E10082" t="inlineStr">
        <is>
          <t>NORSJÖ</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45149-2025</t>
        </is>
      </c>
      <c r="B10083" s="1" t="n">
        <v>45919.47009259259</v>
      </c>
      <c r="C10083" s="1" t="n">
        <v>45971</v>
      </c>
      <c r="D10083" t="inlineStr">
        <is>
          <t>VÄSTERBOTTENS LÄN</t>
        </is>
      </c>
      <c r="E10083" t="inlineStr">
        <is>
          <t>VINDELN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34657-2025</t>
        </is>
      </c>
      <c r="B10084" s="1" t="n">
        <v>45848.36267361111</v>
      </c>
      <c r="C10084" s="1" t="n">
        <v>45971</v>
      </c>
      <c r="D10084" t="inlineStr">
        <is>
          <t>VÄSTERBOTTENS LÄN</t>
        </is>
      </c>
      <c r="E10084" t="inlineStr">
        <is>
          <t>SKELLEFTEÅ</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34659-2025</t>
        </is>
      </c>
      <c r="B10085" s="1" t="n">
        <v>45848.36859953704</v>
      </c>
      <c r="C10085" s="1" t="n">
        <v>45971</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34661-2025</t>
        </is>
      </c>
      <c r="B10086" s="1" t="n">
        <v>45848.3715625</v>
      </c>
      <c r="C10086" s="1" t="n">
        <v>45971</v>
      </c>
      <c r="D10086" t="inlineStr">
        <is>
          <t>VÄSTERBOTTENS LÄN</t>
        </is>
      </c>
      <c r="E10086" t="inlineStr">
        <is>
          <t>ÅSELE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34672-2025</t>
        </is>
      </c>
      <c r="B10087" s="1" t="n">
        <v>45847</v>
      </c>
      <c r="C10087" s="1" t="n">
        <v>45971</v>
      </c>
      <c r="D10087" t="inlineStr">
        <is>
          <t>VÄSTERBOTTENS LÄN</t>
        </is>
      </c>
      <c r="E10087" t="inlineStr">
        <is>
          <t>SKELLEFTEÅ</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65040-2023</t>
        </is>
      </c>
      <c r="B10088" s="1" t="n">
        <v>45282</v>
      </c>
      <c r="C10088" s="1" t="n">
        <v>45971</v>
      </c>
      <c r="D10088" t="inlineStr">
        <is>
          <t>VÄSTERBOTTENS LÄN</t>
        </is>
      </c>
      <c r="E10088" t="inlineStr">
        <is>
          <t>ÅSELE</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34678-2025</t>
        </is>
      </c>
      <c r="B10089" s="1" t="n">
        <v>45848.42638888889</v>
      </c>
      <c r="C10089" s="1" t="n">
        <v>45971</v>
      </c>
      <c r="D10089" t="inlineStr">
        <is>
          <t>VÄSTERBOTTENS LÄN</t>
        </is>
      </c>
      <c r="E10089" t="inlineStr">
        <is>
          <t>SKELLEFTEÅ</t>
        </is>
      </c>
      <c r="F10089" t="inlineStr">
        <is>
          <t>Holmen skog AB</t>
        </is>
      </c>
      <c r="G10089" t="n">
        <v>12.6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17736-2025</t>
        </is>
      </c>
      <c r="B10090" s="1" t="n">
        <v>45758.46924768519</v>
      </c>
      <c r="C10090" s="1" t="n">
        <v>45971</v>
      </c>
      <c r="D10090" t="inlineStr">
        <is>
          <t>VÄSTERBOTTENS LÄN</t>
        </is>
      </c>
      <c r="E10090" t="inlineStr">
        <is>
          <t>LYCKSELE</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57848-2022</t>
        </is>
      </c>
      <c r="B10091" s="1" t="n">
        <v>44898.00032407408</v>
      </c>
      <c r="C10091" s="1" t="n">
        <v>45971</v>
      </c>
      <c r="D10091" t="inlineStr">
        <is>
          <t>VÄSTERBOTTENS LÄN</t>
        </is>
      </c>
      <c r="E10091" t="inlineStr">
        <is>
          <t>SKELLEFTEÅ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34542-2025</t>
        </is>
      </c>
      <c r="B10092" s="1" t="n">
        <v>45847.53211805555</v>
      </c>
      <c r="C10092" s="1" t="n">
        <v>45971</v>
      </c>
      <c r="D10092" t="inlineStr">
        <is>
          <t>VÄSTERBOTTENS LÄN</t>
        </is>
      </c>
      <c r="E10092" t="inlineStr">
        <is>
          <t>VILHELMINA</t>
        </is>
      </c>
      <c r="F10092" t="inlineStr">
        <is>
          <t>SCA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34681-2025</t>
        </is>
      </c>
      <c r="B10093" s="1" t="n">
        <v>45848.42844907408</v>
      </c>
      <c r="C10093" s="1" t="n">
        <v>45971</v>
      </c>
      <c r="D10093" t="inlineStr">
        <is>
          <t>VÄSTERBOTTENS LÄN</t>
        </is>
      </c>
      <c r="E10093" t="inlineStr">
        <is>
          <t>DOROTEA</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34791-2025</t>
        </is>
      </c>
      <c r="B10094" s="1" t="n">
        <v>45848</v>
      </c>
      <c r="C10094" s="1" t="n">
        <v>45971</v>
      </c>
      <c r="D10094" t="inlineStr">
        <is>
          <t>VÄSTERBOTTENS LÄN</t>
        </is>
      </c>
      <c r="E10094" t="inlineStr">
        <is>
          <t>SKELLEFTEÅ</t>
        </is>
      </c>
      <c r="G10094" t="n">
        <v>15.9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34755-2025</t>
        </is>
      </c>
      <c r="B10095" s="1" t="n">
        <v>45848.62711805556</v>
      </c>
      <c r="C10095" s="1" t="n">
        <v>45971</v>
      </c>
      <c r="D10095" t="inlineStr">
        <is>
          <t>VÄSTERBOTTENS LÄN</t>
        </is>
      </c>
      <c r="E10095" t="inlineStr">
        <is>
          <t>ROBERTSFORS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34536-2025</t>
        </is>
      </c>
      <c r="B10096" s="1" t="n">
        <v>45847.5141087963</v>
      </c>
      <c r="C10096" s="1" t="n">
        <v>45971</v>
      </c>
      <c r="D10096" t="inlineStr">
        <is>
          <t>VÄSTERBOTTENS LÄN</t>
        </is>
      </c>
      <c r="E10096" t="inlineStr">
        <is>
          <t>SKELLEFTEÅ</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54287-2025</t>
        </is>
      </c>
      <c r="B10097" s="1" t="n">
        <v>45964.80555555555</v>
      </c>
      <c r="C10097" s="1" t="n">
        <v>45971</v>
      </c>
      <c r="D10097" t="inlineStr">
        <is>
          <t>VÄSTERBOTTENS LÄN</t>
        </is>
      </c>
      <c r="E10097" t="inlineStr">
        <is>
          <t>SKELLEFTEÅ</t>
        </is>
      </c>
      <c r="F10097" t="inlineStr">
        <is>
          <t>Sveaskog</t>
        </is>
      </c>
      <c r="G10097" t="n">
        <v>15.9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34682-2025</t>
        </is>
      </c>
      <c r="B10098" s="1" t="n">
        <v>45848.42857638889</v>
      </c>
      <c r="C10098" s="1" t="n">
        <v>45971</v>
      </c>
      <c r="D10098" t="inlineStr">
        <is>
          <t>VÄSTERBOTTENS LÄN</t>
        </is>
      </c>
      <c r="E10098" t="inlineStr">
        <is>
          <t>DOROTEA</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34504-2025</t>
        </is>
      </c>
      <c r="B10099" s="1" t="n">
        <v>45847.43788194445</v>
      </c>
      <c r="C10099" s="1" t="n">
        <v>45971</v>
      </c>
      <c r="D10099" t="inlineStr">
        <is>
          <t>VÄSTERBOTTENS LÄN</t>
        </is>
      </c>
      <c r="E10099" t="inlineStr">
        <is>
          <t>LYCKSELE</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34563-2025</t>
        </is>
      </c>
      <c r="B10100" s="1" t="n">
        <v>45847.57950231482</v>
      </c>
      <c r="C10100" s="1" t="n">
        <v>45971</v>
      </c>
      <c r="D10100" t="inlineStr">
        <is>
          <t>VÄSTERBOTTENS LÄN</t>
        </is>
      </c>
      <c r="E10100" t="inlineStr">
        <is>
          <t>VILHELMINA</t>
        </is>
      </c>
      <c r="G10100" t="n">
        <v>20.6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34604-2025</t>
        </is>
      </c>
      <c r="B10101" s="1" t="n">
        <v>45847.6568287037</v>
      </c>
      <c r="C10101" s="1" t="n">
        <v>45971</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16202-2025</t>
        </is>
      </c>
      <c r="B10102" s="1" t="n">
        <v>45750.61587962963</v>
      </c>
      <c r="C10102" s="1" t="n">
        <v>45971</v>
      </c>
      <c r="D10102" t="inlineStr">
        <is>
          <t>VÄSTERBOTTENS LÄN</t>
        </is>
      </c>
      <c r="E10102" t="inlineStr">
        <is>
          <t>SKELLEFTEÅ</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16219-2025</t>
        </is>
      </c>
      <c r="B10103" s="1" t="n">
        <v>45750</v>
      </c>
      <c r="C10103" s="1" t="n">
        <v>45971</v>
      </c>
      <c r="D10103" t="inlineStr">
        <is>
          <t>VÄSTERBOTTENS LÄN</t>
        </is>
      </c>
      <c r="E10103" t="inlineStr">
        <is>
          <t>SKELLEFTEÅ</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23169-2024</t>
        </is>
      </c>
      <c r="B10104" s="1" t="n">
        <v>45450</v>
      </c>
      <c r="C10104" s="1" t="n">
        <v>45971</v>
      </c>
      <c r="D10104" t="inlineStr">
        <is>
          <t>VÄSTERBOTTENS LÄN</t>
        </is>
      </c>
      <c r="E10104" t="inlineStr">
        <is>
          <t>SKELLEFTEÅ</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23171-2024</t>
        </is>
      </c>
      <c r="B10105" s="1" t="n">
        <v>45450</v>
      </c>
      <c r="C10105" s="1" t="n">
        <v>45971</v>
      </c>
      <c r="D10105" t="inlineStr">
        <is>
          <t>VÄSTERBOTTENS LÄN</t>
        </is>
      </c>
      <c r="E10105" t="inlineStr">
        <is>
          <t>NORSJÖ</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23183-2024</t>
        </is>
      </c>
      <c r="B10106" s="1" t="n">
        <v>45450.94471064815</v>
      </c>
      <c r="C10106" s="1" t="n">
        <v>45971</v>
      </c>
      <c r="D10106" t="inlineStr">
        <is>
          <t>VÄSTERBOTTENS LÄN</t>
        </is>
      </c>
      <c r="E10106" t="inlineStr">
        <is>
          <t>BJURHOLM</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32214-2022</t>
        </is>
      </c>
      <c r="B10107" s="1" t="n">
        <v>44781</v>
      </c>
      <c r="C10107" s="1" t="n">
        <v>45971</v>
      </c>
      <c r="D10107" t="inlineStr">
        <is>
          <t>VÄSTERBOTTENS LÄN</t>
        </is>
      </c>
      <c r="E10107" t="inlineStr">
        <is>
          <t>ÅSELE</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23206-2024</t>
        </is>
      </c>
      <c r="B10108" s="1" t="n">
        <v>45451</v>
      </c>
      <c r="C10108" s="1" t="n">
        <v>45971</v>
      </c>
      <c r="D10108" t="inlineStr">
        <is>
          <t>VÄSTERBOTTENS LÄN</t>
        </is>
      </c>
      <c r="E10108" t="inlineStr">
        <is>
          <t>BJURHOLM</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34489-2025</t>
        </is>
      </c>
      <c r="B10109" s="1" t="n">
        <v>45847.40707175926</v>
      </c>
      <c r="C10109" s="1" t="n">
        <v>45971</v>
      </c>
      <c r="D10109" t="inlineStr">
        <is>
          <t>VÄSTERBOTTENS LÄN</t>
        </is>
      </c>
      <c r="E10109" t="inlineStr">
        <is>
          <t>DOROTEA</t>
        </is>
      </c>
      <c r="F10109" t="inlineStr">
        <is>
          <t>SCA</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1220-2024</t>
        </is>
      </c>
      <c r="B10110" s="1" t="n">
        <v>45302</v>
      </c>
      <c r="C10110" s="1" t="n">
        <v>45971</v>
      </c>
      <c r="D10110" t="inlineStr">
        <is>
          <t>VÄSTERBOTTENS LÄN</t>
        </is>
      </c>
      <c r="E10110" t="inlineStr">
        <is>
          <t>STORUMAN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12109-2024</t>
        </is>
      </c>
      <c r="B10111" s="1" t="n">
        <v>45376</v>
      </c>
      <c r="C10111" s="1" t="n">
        <v>45971</v>
      </c>
      <c r="D10111" t="inlineStr">
        <is>
          <t>VÄSTERBOTTENS LÄN</t>
        </is>
      </c>
      <c r="E10111" t="inlineStr">
        <is>
          <t>SORSELE</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34488-2025</t>
        </is>
      </c>
      <c r="B10112" s="1" t="n">
        <v>45847.40681712963</v>
      </c>
      <c r="C10112" s="1" t="n">
        <v>45971</v>
      </c>
      <c r="D10112" t="inlineStr">
        <is>
          <t>VÄSTERBOTTENS LÄN</t>
        </is>
      </c>
      <c r="E10112" t="inlineStr">
        <is>
          <t>DOROTEA</t>
        </is>
      </c>
      <c r="F10112" t="inlineStr">
        <is>
          <t>SCA</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34519-2025</t>
        </is>
      </c>
      <c r="B10113" s="1" t="n">
        <v>45847.46929398148</v>
      </c>
      <c r="C10113" s="1" t="n">
        <v>45971</v>
      </c>
      <c r="D10113" t="inlineStr">
        <is>
          <t>VÄSTERBOTTENS LÄN</t>
        </is>
      </c>
      <c r="E10113" t="inlineStr">
        <is>
          <t>VINDELN</t>
        </is>
      </c>
      <c r="F10113" t="inlineStr">
        <is>
          <t>SCA</t>
        </is>
      </c>
      <c r="G10113" t="n">
        <v>13.6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56640-2023</t>
        </is>
      </c>
      <c r="B10114" s="1" t="n">
        <v>45243.72438657407</v>
      </c>
      <c r="C10114" s="1" t="n">
        <v>45971</v>
      </c>
      <c r="D10114" t="inlineStr">
        <is>
          <t>VÄSTERBOTTENS LÄN</t>
        </is>
      </c>
      <c r="E10114" t="inlineStr">
        <is>
          <t>VINDELN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2909-2023</t>
        </is>
      </c>
      <c r="B10115" s="1" t="n">
        <v>44945</v>
      </c>
      <c r="C10115" s="1" t="n">
        <v>45971</v>
      </c>
      <c r="D10115" t="inlineStr">
        <is>
          <t>VÄSTERBOTTENS LÄN</t>
        </is>
      </c>
      <c r="E10115" t="inlineStr">
        <is>
          <t>NORSJÖ</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58247-2022</t>
        </is>
      </c>
      <c r="B10116" s="1" t="n">
        <v>44893</v>
      </c>
      <c r="C10116" s="1" t="n">
        <v>45971</v>
      </c>
      <c r="D10116" t="inlineStr">
        <is>
          <t>VÄSTERBOTTENS LÄN</t>
        </is>
      </c>
      <c r="E10116" t="inlineStr">
        <is>
          <t>SORSELE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58250-2022</t>
        </is>
      </c>
      <c r="B10117" s="1" t="n">
        <v>44894</v>
      </c>
      <c r="C10117" s="1" t="n">
        <v>45971</v>
      </c>
      <c r="D10117" t="inlineStr">
        <is>
          <t>VÄSTERBOTTENS LÄN</t>
        </is>
      </c>
      <c r="E10117" t="inlineStr">
        <is>
          <t>SKELLEFTEÅ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4022-2024</t>
        </is>
      </c>
      <c r="B10118" s="1" t="n">
        <v>45323</v>
      </c>
      <c r="C10118" s="1" t="n">
        <v>45971</v>
      </c>
      <c r="D10118" t="inlineStr">
        <is>
          <t>VÄSTERBOTTENS LÄN</t>
        </is>
      </c>
      <c r="E10118" t="inlineStr">
        <is>
          <t>SKELLEFTEÅ</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34740-2025</t>
        </is>
      </c>
      <c r="B10119" s="1" t="n">
        <v>45848.60824074074</v>
      </c>
      <c r="C10119" s="1" t="n">
        <v>45971</v>
      </c>
      <c r="D10119" t="inlineStr">
        <is>
          <t>VÄSTERBOTTENS LÄN</t>
        </is>
      </c>
      <c r="E10119" t="inlineStr">
        <is>
          <t>ROBERTSFORS</t>
        </is>
      </c>
      <c r="F10119" t="inlineStr">
        <is>
          <t>Holmen skog AB</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53969-2025</t>
        </is>
      </c>
      <c r="B10120" s="1" t="n">
        <v>45961.5503587963</v>
      </c>
      <c r="C10120" s="1" t="n">
        <v>45971</v>
      </c>
      <c r="D10120" t="inlineStr">
        <is>
          <t>VÄSTERBOTTENS LÄN</t>
        </is>
      </c>
      <c r="E10120" t="inlineStr">
        <is>
          <t>NORDMALING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45183-2025</t>
        </is>
      </c>
      <c r="B10121" s="1" t="n">
        <v>45919.53484953703</v>
      </c>
      <c r="C10121" s="1" t="n">
        <v>45971</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35937-2025</t>
        </is>
      </c>
      <c r="B10122" s="1" t="n">
        <v>45862</v>
      </c>
      <c r="C10122" s="1" t="n">
        <v>45971</v>
      </c>
      <c r="D10122" t="inlineStr">
        <is>
          <t>VÄSTERBOTTENS LÄN</t>
        </is>
      </c>
      <c r="E10122" t="inlineStr">
        <is>
          <t>DOROTEA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34918-2025</t>
        </is>
      </c>
      <c r="B10123" s="1" t="n">
        <v>45849.54935185185</v>
      </c>
      <c r="C10123" s="1" t="n">
        <v>45971</v>
      </c>
      <c r="D10123" t="inlineStr">
        <is>
          <t>VÄSTERBOTTENS LÄN</t>
        </is>
      </c>
      <c r="E10123" t="inlineStr">
        <is>
          <t>LYCKSELE</t>
        </is>
      </c>
      <c r="F10123" t="inlineStr">
        <is>
          <t>Sveaskog</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34940-2025</t>
        </is>
      </c>
      <c r="B10124" s="1" t="n">
        <v>45849.58274305556</v>
      </c>
      <c r="C10124" s="1" t="n">
        <v>45971</v>
      </c>
      <c r="D10124" t="inlineStr">
        <is>
          <t>VÄSTERBOTTENS LÄN</t>
        </is>
      </c>
      <c r="E10124" t="inlineStr">
        <is>
          <t>LYCKSELE</t>
        </is>
      </c>
      <c r="F10124" t="inlineStr">
        <is>
          <t>Sveaskog</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34961-2025</t>
        </is>
      </c>
      <c r="B10125" s="1" t="n">
        <v>45849.62559027778</v>
      </c>
      <c r="C10125" s="1" t="n">
        <v>45971</v>
      </c>
      <c r="D10125" t="inlineStr">
        <is>
          <t>VÄSTERBOTTENS LÄN</t>
        </is>
      </c>
      <c r="E10125" t="inlineStr">
        <is>
          <t>LYCKSELE</t>
        </is>
      </c>
      <c r="F10125" t="inlineStr">
        <is>
          <t>Sveaskog</t>
        </is>
      </c>
      <c r="G10125" t="n">
        <v>10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2370-2024</t>
        </is>
      </c>
      <c r="B10126" s="1" t="n">
        <v>45310</v>
      </c>
      <c r="C10126" s="1" t="n">
        <v>45971</v>
      </c>
      <c r="D10126" t="inlineStr">
        <is>
          <t>VÄSTERBOTTENS LÄN</t>
        </is>
      </c>
      <c r="E10126" t="inlineStr">
        <is>
          <t>NORSJÖ</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22904-2024</t>
        </is>
      </c>
      <c r="B10127" s="1" t="n">
        <v>45448.70927083334</v>
      </c>
      <c r="C10127" s="1" t="n">
        <v>45971</v>
      </c>
      <c r="D10127" t="inlineStr">
        <is>
          <t>VÄSTERBOTTENS LÄN</t>
        </is>
      </c>
      <c r="E10127" t="inlineStr">
        <is>
          <t>VINDELN</t>
        </is>
      </c>
      <c r="F10127" t="inlineStr">
        <is>
          <t>Holmen skog AB</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35970-2024</t>
        </is>
      </c>
      <c r="B10128" s="1" t="n">
        <v>45533.48732638889</v>
      </c>
      <c r="C10128" s="1" t="n">
        <v>45971</v>
      </c>
      <c r="D10128" t="inlineStr">
        <is>
          <t>VÄSTERBOTTENS LÄN</t>
        </is>
      </c>
      <c r="E10128" t="inlineStr">
        <is>
          <t>LYCKSELE</t>
        </is>
      </c>
      <c r="F10128" t="inlineStr">
        <is>
          <t>Sveaskog</t>
        </is>
      </c>
      <c r="G10128" t="n">
        <v>12.6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34909-2025</t>
        </is>
      </c>
      <c r="B10129" s="1" t="n">
        <v>45849.53079861111</v>
      </c>
      <c r="C10129" s="1" t="n">
        <v>45971</v>
      </c>
      <c r="D10129" t="inlineStr">
        <is>
          <t>VÄSTERBOTTENS LÄN</t>
        </is>
      </c>
      <c r="E10129" t="inlineStr">
        <is>
          <t>NORSJÖ</t>
        </is>
      </c>
      <c r="F10129" t="inlineStr">
        <is>
          <t>Holmen skog AB</t>
        </is>
      </c>
      <c r="G10129" t="n">
        <v>21.2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34955-2025</t>
        </is>
      </c>
      <c r="B10130" s="1" t="n">
        <v>45849.60534722222</v>
      </c>
      <c r="C10130" s="1" t="n">
        <v>45971</v>
      </c>
      <c r="D10130" t="inlineStr">
        <is>
          <t>VÄSTERBOTTENS LÄN</t>
        </is>
      </c>
      <c r="E10130" t="inlineStr">
        <is>
          <t>LYCKSELE</t>
        </is>
      </c>
      <c r="F10130" t="inlineStr">
        <is>
          <t>Sveaskog</t>
        </is>
      </c>
      <c r="G10130" t="n">
        <v>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53831-2025</t>
        </is>
      </c>
      <c r="B10131" s="1" t="n">
        <v>45961.34489583333</v>
      </c>
      <c r="C10131" s="1" t="n">
        <v>45971</v>
      </c>
      <c r="D10131" t="inlineStr">
        <is>
          <t>VÄSTERBOTTENS LÄN</t>
        </is>
      </c>
      <c r="E10131" t="inlineStr">
        <is>
          <t>VINDELN</t>
        </is>
      </c>
      <c r="G10131" t="n">
        <v>14.8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25387-2024</t>
        </is>
      </c>
      <c r="B10132" s="1" t="n">
        <v>45462.96380787037</v>
      </c>
      <c r="C10132" s="1" t="n">
        <v>45971</v>
      </c>
      <c r="D10132" t="inlineStr">
        <is>
          <t>VÄSTERBOTTENS LÄN</t>
        </is>
      </c>
      <c r="E10132" t="inlineStr">
        <is>
          <t>VINDELN</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62259-2022</t>
        </is>
      </c>
      <c r="B10133" s="1" t="n">
        <v>44922.94351851852</v>
      </c>
      <c r="C10133" s="1" t="n">
        <v>45971</v>
      </c>
      <c r="D10133" t="inlineStr">
        <is>
          <t>VÄSTERBOTTENS LÄN</t>
        </is>
      </c>
      <c r="E10133" t="inlineStr">
        <is>
          <t>ÅSELE</t>
        </is>
      </c>
      <c r="F10133" t="inlineStr">
        <is>
          <t>SCA</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34849-2025</t>
        </is>
      </c>
      <c r="B10134" s="1" t="n">
        <v>45849</v>
      </c>
      <c r="C10134" s="1" t="n">
        <v>45971</v>
      </c>
      <c r="D10134" t="inlineStr">
        <is>
          <t>VÄSTERBOTTENS LÄN</t>
        </is>
      </c>
      <c r="E10134" t="inlineStr">
        <is>
          <t>LYCKSELE</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34852-2025</t>
        </is>
      </c>
      <c r="B10135" s="1" t="n">
        <v>45849.42777777778</v>
      </c>
      <c r="C10135" s="1" t="n">
        <v>45971</v>
      </c>
      <c r="D10135" t="inlineStr">
        <is>
          <t>VÄSTERBOTTENS LÄN</t>
        </is>
      </c>
      <c r="E10135" t="inlineStr">
        <is>
          <t>ÅSELE</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34857-2025</t>
        </is>
      </c>
      <c r="B10136" s="1" t="n">
        <v>45849.4284837963</v>
      </c>
      <c r="C10136" s="1" t="n">
        <v>45971</v>
      </c>
      <c r="D10136" t="inlineStr">
        <is>
          <t>VÄSTERBOTTENS LÄN</t>
        </is>
      </c>
      <c r="E10136" t="inlineStr">
        <is>
          <t>DOROTEA</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31197-2024</t>
        </is>
      </c>
      <c r="B10137" s="1" t="n">
        <v>45503.51806712963</v>
      </c>
      <c r="C10137" s="1" t="n">
        <v>45971</v>
      </c>
      <c r="D10137" t="inlineStr">
        <is>
          <t>VÄSTERBOTTENS LÄN</t>
        </is>
      </c>
      <c r="E10137" t="inlineStr">
        <is>
          <t>SKELLEFTEÅ</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8095-2023</t>
        </is>
      </c>
      <c r="B10138" s="1" t="n">
        <v>44974.38841435185</v>
      </c>
      <c r="C10138" s="1" t="n">
        <v>45971</v>
      </c>
      <c r="D10138" t="inlineStr">
        <is>
          <t>VÄSTERBOTTENS LÄN</t>
        </is>
      </c>
      <c r="E10138" t="inlineStr">
        <is>
          <t>DOROTEA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14956-2023</t>
        </is>
      </c>
      <c r="B10139" s="1" t="n">
        <v>45014</v>
      </c>
      <c r="C10139" s="1" t="n">
        <v>45971</v>
      </c>
      <c r="D10139" t="inlineStr">
        <is>
          <t>VÄSTERBOTTENS LÄN</t>
        </is>
      </c>
      <c r="E10139" t="inlineStr">
        <is>
          <t>STORUMAN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35090-2025</t>
        </is>
      </c>
      <c r="B10140" s="1" t="n">
        <v>45852.52563657407</v>
      </c>
      <c r="C10140" s="1" t="n">
        <v>45971</v>
      </c>
      <c r="D10140" t="inlineStr">
        <is>
          <t>VÄSTERBOTTENS LÄN</t>
        </is>
      </c>
      <c r="E10140" t="inlineStr">
        <is>
          <t>SKELLEFTEÅ</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53919-2025</t>
        </is>
      </c>
      <c r="B10141" s="1" t="n">
        <v>45961.44899305556</v>
      </c>
      <c r="C10141" s="1" t="n">
        <v>45971</v>
      </c>
      <c r="D10141" t="inlineStr">
        <is>
          <t>VÄSTERBOTTENS LÄN</t>
        </is>
      </c>
      <c r="E10141" t="inlineStr">
        <is>
          <t>VINDELN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34863-2025</t>
        </is>
      </c>
      <c r="B10142" s="1" t="n">
        <v>45849</v>
      </c>
      <c r="C10142" s="1" t="n">
        <v>45971</v>
      </c>
      <c r="D10142" t="inlineStr">
        <is>
          <t>VÄSTERBOTTENS LÄN</t>
        </is>
      </c>
      <c r="E10142" t="inlineStr">
        <is>
          <t>LYCKSELE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34883-2025</t>
        </is>
      </c>
      <c r="B10143" s="1" t="n">
        <v>45849.46943287037</v>
      </c>
      <c r="C10143" s="1" t="n">
        <v>45971</v>
      </c>
      <c r="D10143" t="inlineStr">
        <is>
          <t>VÄSTERBOTTENS LÄN</t>
        </is>
      </c>
      <c r="E10143" t="inlineStr">
        <is>
          <t>ÅSELE</t>
        </is>
      </c>
      <c r="F10143" t="inlineStr">
        <is>
          <t>SCA</t>
        </is>
      </c>
      <c r="G10143" t="n">
        <v>13.3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34915-2025</t>
        </is>
      </c>
      <c r="B10144" s="1" t="n">
        <v>45849.54143518519</v>
      </c>
      <c r="C10144" s="1" t="n">
        <v>45971</v>
      </c>
      <c r="D10144" t="inlineStr">
        <is>
          <t>VÄSTERBOTTENS LÄN</t>
        </is>
      </c>
      <c r="E10144" t="inlineStr">
        <is>
          <t>LYCKSELE</t>
        </is>
      </c>
      <c r="F10144" t="inlineStr">
        <is>
          <t>Sveaskog</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62586-2022</t>
        </is>
      </c>
      <c r="B10145" s="1" t="n">
        <v>44924.94077546296</v>
      </c>
      <c r="C10145" s="1" t="n">
        <v>45971</v>
      </c>
      <c r="D10145" t="inlineStr">
        <is>
          <t>VÄSTERBOTTENS LÄN</t>
        </is>
      </c>
      <c r="E10145" t="inlineStr">
        <is>
          <t>LYCKSELE</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36208-2022</t>
        </is>
      </c>
      <c r="B10146" s="1" t="n">
        <v>44803</v>
      </c>
      <c r="C10146" s="1" t="n">
        <v>45971</v>
      </c>
      <c r="D10146" t="inlineStr">
        <is>
          <t>VÄSTERBOTTENS LÄN</t>
        </is>
      </c>
      <c r="E10146" t="inlineStr">
        <is>
          <t>SKELLEFTEÅ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35072-2025</t>
        </is>
      </c>
      <c r="B10147" s="1" t="n">
        <v>45852.47277777778</v>
      </c>
      <c r="C10147" s="1" t="n">
        <v>45971</v>
      </c>
      <c r="D10147" t="inlineStr">
        <is>
          <t>VÄSTERBOTTENS LÄN</t>
        </is>
      </c>
      <c r="E10147" t="inlineStr">
        <is>
          <t>STORUMAN</t>
        </is>
      </c>
      <c r="F10147" t="inlineStr">
        <is>
          <t>Holmen skog AB</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52621-2022</t>
        </is>
      </c>
      <c r="B10148" s="1" t="n">
        <v>44869</v>
      </c>
      <c r="C10148" s="1" t="n">
        <v>45971</v>
      </c>
      <c r="D10148" t="inlineStr">
        <is>
          <t>VÄSTERBOTTENS LÄN</t>
        </is>
      </c>
      <c r="E10148" t="inlineStr">
        <is>
          <t>SORSELE</t>
        </is>
      </c>
      <c r="F10148" t="inlineStr">
        <is>
          <t>Allmännings- och besparingsskogar</t>
        </is>
      </c>
      <c r="G10148" t="n">
        <v>17.3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45267-2025</t>
        </is>
      </c>
      <c r="B10149" s="1" t="n">
        <v>45919.66621527778</v>
      </c>
      <c r="C10149" s="1" t="n">
        <v>45971</v>
      </c>
      <c r="D10149" t="inlineStr">
        <is>
          <t>VÄSTERBOTTENS LÄN</t>
        </is>
      </c>
      <c r="E10149" t="inlineStr">
        <is>
          <t>ROBERTSFORS</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18688-2025</t>
        </is>
      </c>
      <c r="B10150" s="1" t="n">
        <v>45763.61390046297</v>
      </c>
      <c r="C10150" s="1" t="n">
        <v>45971</v>
      </c>
      <c r="D10150" t="inlineStr">
        <is>
          <t>VÄSTERBOTTENS LÄN</t>
        </is>
      </c>
      <c r="E10150" t="inlineStr">
        <is>
          <t>LYCKSELE</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18693-2025</t>
        </is>
      </c>
      <c r="B10151" s="1" t="n">
        <v>45763</v>
      </c>
      <c r="C10151" s="1" t="n">
        <v>45971</v>
      </c>
      <c r="D10151" t="inlineStr">
        <is>
          <t>VÄSTERBOTTENS LÄN</t>
        </is>
      </c>
      <c r="E10151" t="inlineStr">
        <is>
          <t>ÅSELE</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34843-2025</t>
        </is>
      </c>
      <c r="B10152" s="1" t="n">
        <v>45849.40900462963</v>
      </c>
      <c r="C10152" s="1" t="n">
        <v>45971</v>
      </c>
      <c r="D10152" t="inlineStr">
        <is>
          <t>VÄSTERBOTTENS LÄN</t>
        </is>
      </c>
      <c r="E10152" t="inlineStr">
        <is>
          <t>ÅSELE</t>
        </is>
      </c>
      <c r="F10152" t="inlineStr">
        <is>
          <t>Sveaskog</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14671-2023</t>
        </is>
      </c>
      <c r="B10153" s="1" t="n">
        <v>45013</v>
      </c>
      <c r="C10153" s="1" t="n">
        <v>45971</v>
      </c>
      <c r="D10153" t="inlineStr">
        <is>
          <t>VÄSTERBOTTENS LÄN</t>
        </is>
      </c>
      <c r="E10153" t="inlineStr">
        <is>
          <t>ROBERTSFORS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34896-2025</t>
        </is>
      </c>
      <c r="B10154" s="1" t="n">
        <v>45849.49472222223</v>
      </c>
      <c r="C10154" s="1" t="n">
        <v>45971</v>
      </c>
      <c r="D10154" t="inlineStr">
        <is>
          <t>VÄSTERBOTTENS LÄN</t>
        </is>
      </c>
      <c r="E10154" t="inlineStr">
        <is>
          <t>LYCKSELE</t>
        </is>
      </c>
      <c r="F10154" t="inlineStr">
        <is>
          <t>Sveaskog</t>
        </is>
      </c>
      <c r="G10154" t="n">
        <v>19.6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34900-2025</t>
        </is>
      </c>
      <c r="B10155" s="1" t="n">
        <v>45849.5046875</v>
      </c>
      <c r="C10155" s="1" t="n">
        <v>45971</v>
      </c>
      <c r="D10155" t="inlineStr">
        <is>
          <t>VÄSTERBOTTENS LÄN</t>
        </is>
      </c>
      <c r="E10155" t="inlineStr">
        <is>
          <t>ÅSELE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34905-2025</t>
        </is>
      </c>
      <c r="B10156" s="1" t="n">
        <v>45849.51625</v>
      </c>
      <c r="C10156" s="1" t="n">
        <v>45971</v>
      </c>
      <c r="D10156" t="inlineStr">
        <is>
          <t>VÄSTERBOTTENS LÄN</t>
        </is>
      </c>
      <c r="E10156" t="inlineStr">
        <is>
          <t>LYCKSELE</t>
        </is>
      </c>
      <c r="F10156" t="inlineStr">
        <is>
          <t>Sveaskog</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17885-2023</t>
        </is>
      </c>
      <c r="B10157" s="1" t="n">
        <v>45037</v>
      </c>
      <c r="C10157" s="1" t="n">
        <v>45971</v>
      </c>
      <c r="D10157" t="inlineStr">
        <is>
          <t>VÄSTERBOTTENS LÄN</t>
        </is>
      </c>
      <c r="E10157" t="inlineStr">
        <is>
          <t>ÅSELE</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39198-2022</t>
        </is>
      </c>
      <c r="B10158" s="1" t="n">
        <v>44816</v>
      </c>
      <c r="C10158" s="1" t="n">
        <v>45971</v>
      </c>
      <c r="D10158" t="inlineStr">
        <is>
          <t>VÄSTERBOTTENS LÄN</t>
        </is>
      </c>
      <c r="E10158" t="inlineStr">
        <is>
          <t>NORDMALING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34856-2025</t>
        </is>
      </c>
      <c r="B10159" s="1" t="n">
        <v>45849.42844907408</v>
      </c>
      <c r="C10159" s="1" t="n">
        <v>45971</v>
      </c>
      <c r="D10159" t="inlineStr">
        <is>
          <t>VÄSTERBOTTENS LÄN</t>
        </is>
      </c>
      <c r="E10159" t="inlineStr">
        <is>
          <t>DOROTEA</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53861-2025</t>
        </is>
      </c>
      <c r="B10160" s="1" t="n">
        <v>45961.37951388889</v>
      </c>
      <c r="C10160" s="1" t="n">
        <v>45971</v>
      </c>
      <c r="D10160" t="inlineStr">
        <is>
          <t>VÄSTERBOTTENS LÄN</t>
        </is>
      </c>
      <c r="E10160" t="inlineStr">
        <is>
          <t>VINDELN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34904-2025</t>
        </is>
      </c>
      <c r="B10161" s="1" t="n">
        <v>45849.51297453704</v>
      </c>
      <c r="C10161" s="1" t="n">
        <v>45971</v>
      </c>
      <c r="D10161" t="inlineStr">
        <is>
          <t>VÄSTERBOTTENS LÄN</t>
        </is>
      </c>
      <c r="E10161" t="inlineStr">
        <is>
          <t>ÅSELE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34924-2025</t>
        </is>
      </c>
      <c r="B10162" s="1" t="n">
        <v>45849.55733796296</v>
      </c>
      <c r="C10162" s="1" t="n">
        <v>45971</v>
      </c>
      <c r="D10162" t="inlineStr">
        <is>
          <t>VÄSTERBOTTENS LÄN</t>
        </is>
      </c>
      <c r="E10162" t="inlineStr">
        <is>
          <t>LYCKSELE</t>
        </is>
      </c>
      <c r="F10162" t="inlineStr">
        <is>
          <t>Sveaskog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57769-2023</t>
        </is>
      </c>
      <c r="B10163" s="1" t="n">
        <v>45246.9253587963</v>
      </c>
      <c r="C10163" s="1" t="n">
        <v>45971</v>
      </c>
      <c r="D10163" t="inlineStr">
        <is>
          <t>VÄSTERBOTTENS LÄN</t>
        </is>
      </c>
      <c r="E10163" t="inlineStr">
        <is>
          <t>STORUMAN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50706-2022</t>
        </is>
      </c>
      <c r="B10164" s="1" t="n">
        <v>44867</v>
      </c>
      <c r="C10164" s="1" t="n">
        <v>45971</v>
      </c>
      <c r="D10164" t="inlineStr">
        <is>
          <t>VÄSTERBOTTENS LÄN</t>
        </is>
      </c>
      <c r="E10164" t="inlineStr">
        <is>
          <t>NORSJÖ</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34888-2025</t>
        </is>
      </c>
      <c r="B10165" s="1" t="n">
        <v>45849.47910879629</v>
      </c>
      <c r="C10165" s="1" t="n">
        <v>45971</v>
      </c>
      <c r="D10165" t="inlineStr">
        <is>
          <t>VÄSTERBOTTENS LÄN</t>
        </is>
      </c>
      <c r="E10165" t="inlineStr">
        <is>
          <t>SORSELE</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34946-2025</t>
        </is>
      </c>
      <c r="B10166" s="1" t="n">
        <v>45849.59119212963</v>
      </c>
      <c r="C10166" s="1" t="n">
        <v>45971</v>
      </c>
      <c r="D10166" t="inlineStr">
        <is>
          <t>VÄSTERBOTTENS LÄN</t>
        </is>
      </c>
      <c r="E10166" t="inlineStr">
        <is>
          <t>LYCKSELE</t>
        </is>
      </c>
      <c r="F10166" t="inlineStr">
        <is>
          <t>Sveaskog</t>
        </is>
      </c>
      <c r="G10166" t="n">
        <v>15.2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35082-2025</t>
        </is>
      </c>
      <c r="B10167" s="1" t="n">
        <v>45852.49337962963</v>
      </c>
      <c r="C10167" s="1" t="n">
        <v>45971</v>
      </c>
      <c r="D10167" t="inlineStr">
        <is>
          <t>VÄSTERBOTTENS LÄN</t>
        </is>
      </c>
      <c r="E10167" t="inlineStr">
        <is>
          <t>STORUMAN</t>
        </is>
      </c>
      <c r="F10167" t="inlineStr">
        <is>
          <t>Holmen skog AB</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53826-2025</t>
        </is>
      </c>
      <c r="B10168" s="1" t="n">
        <v>45961.34436342592</v>
      </c>
      <c r="C10168" s="1" t="n">
        <v>45971</v>
      </c>
      <c r="D10168" t="inlineStr">
        <is>
          <t>VÄSTERBOTTENS LÄN</t>
        </is>
      </c>
      <c r="E10168" t="inlineStr">
        <is>
          <t>NORDMALING</t>
        </is>
      </c>
      <c r="F10168" t="inlineStr">
        <is>
          <t>SCA</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45257-2025</t>
        </is>
      </c>
      <c r="B10169" s="1" t="n">
        <v>45919.62422453704</v>
      </c>
      <c r="C10169" s="1" t="n">
        <v>45971</v>
      </c>
      <c r="D10169" t="inlineStr">
        <is>
          <t>VÄSTERBOTTENS LÄN</t>
        </is>
      </c>
      <c r="E10169" t="inlineStr">
        <is>
          <t>ÅSELE</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50084-2021</t>
        </is>
      </c>
      <c r="B10170" s="1" t="n">
        <v>44456.59263888889</v>
      </c>
      <c r="C10170" s="1" t="n">
        <v>45971</v>
      </c>
      <c r="D10170" t="inlineStr">
        <is>
          <t>VÄSTERBOTTENS LÄN</t>
        </is>
      </c>
      <c r="E10170" t="inlineStr">
        <is>
          <t>UMEÅ</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58613-2022</t>
        </is>
      </c>
      <c r="B10171" s="1" t="n">
        <v>44902.58502314815</v>
      </c>
      <c r="C10171" s="1" t="n">
        <v>45971</v>
      </c>
      <c r="D10171" t="inlineStr">
        <is>
          <t>VÄSTERBOTTENS LÄN</t>
        </is>
      </c>
      <c r="E10171" t="inlineStr">
        <is>
          <t>NORDMALING</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25636-2024</t>
        </is>
      </c>
      <c r="B10172" s="1" t="n">
        <v>45463</v>
      </c>
      <c r="C10172" s="1" t="n">
        <v>45971</v>
      </c>
      <c r="D10172" t="inlineStr">
        <is>
          <t>VÄSTERBOTTENS LÄN</t>
        </is>
      </c>
      <c r="E10172" t="inlineStr">
        <is>
          <t>ÅSELE</t>
        </is>
      </c>
      <c r="F10172" t="inlineStr">
        <is>
          <t>Sveaskog</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35093-2025</t>
        </is>
      </c>
      <c r="B10173" s="1" t="n">
        <v>45852.53199074074</v>
      </c>
      <c r="C10173" s="1" t="n">
        <v>45971</v>
      </c>
      <c r="D10173" t="inlineStr">
        <is>
          <t>VÄSTERBOTTENS LÄN</t>
        </is>
      </c>
      <c r="E10173" t="inlineStr">
        <is>
          <t>DOROTEA</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45255-2025</t>
        </is>
      </c>
      <c r="B10174" s="1" t="n">
        <v>45919.61527777778</v>
      </c>
      <c r="C10174" s="1" t="n">
        <v>45971</v>
      </c>
      <c r="D10174" t="inlineStr">
        <is>
          <t>VÄSTERBOTTENS LÄN</t>
        </is>
      </c>
      <c r="E10174" t="inlineStr">
        <is>
          <t>STORUMAN</t>
        </is>
      </c>
      <c r="F10174" t="inlineStr">
        <is>
          <t>Sveaskog</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34954-2025</t>
        </is>
      </c>
      <c r="B10175" s="1" t="n">
        <v>45849.60525462963</v>
      </c>
      <c r="C10175" s="1" t="n">
        <v>45971</v>
      </c>
      <c r="D10175" t="inlineStr">
        <is>
          <t>VÄSTERBOTTENS LÄN</t>
        </is>
      </c>
      <c r="E10175" t="inlineStr">
        <is>
          <t>LYCKSELE</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3366-2024</t>
        </is>
      </c>
      <c r="B10176" s="1" t="n">
        <v>45317</v>
      </c>
      <c r="C10176" s="1" t="n">
        <v>45971</v>
      </c>
      <c r="D10176" t="inlineStr">
        <is>
          <t>VÄSTERBOTTENS LÄN</t>
        </is>
      </c>
      <c r="E10176" t="inlineStr">
        <is>
          <t>UMEÅ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25557-2024</t>
        </is>
      </c>
      <c r="B10177" s="1" t="n">
        <v>45463.58333333334</v>
      </c>
      <c r="C10177" s="1" t="n">
        <v>45971</v>
      </c>
      <c r="D10177" t="inlineStr">
        <is>
          <t>VÄSTERBOTTENS LÄN</t>
        </is>
      </c>
      <c r="E10177" t="inlineStr">
        <is>
          <t>ÅSELE</t>
        </is>
      </c>
      <c r="F10177" t="inlineStr">
        <is>
          <t>Sveaskog</t>
        </is>
      </c>
      <c r="G10177" t="n">
        <v>11.2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62047-2024</t>
        </is>
      </c>
      <c r="B10178" s="1" t="n">
        <v>45656.36306712963</v>
      </c>
      <c r="C10178" s="1" t="n">
        <v>45971</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29264-2025</t>
        </is>
      </c>
      <c r="B10179" s="1" t="n">
        <v>45824.39657407408</v>
      </c>
      <c r="C10179" s="1" t="n">
        <v>45971</v>
      </c>
      <c r="D10179" t="inlineStr">
        <is>
          <t>VÄSTERBOTTENS LÄN</t>
        </is>
      </c>
      <c r="E10179" t="inlineStr">
        <is>
          <t>SKELLEFTEÅ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34804-2025</t>
        </is>
      </c>
      <c r="B10180" s="1" t="n">
        <v>45849.31851851852</v>
      </c>
      <c r="C10180" s="1" t="n">
        <v>45971</v>
      </c>
      <c r="D10180" t="inlineStr">
        <is>
          <t>VÄSTERBOTTENS LÄN</t>
        </is>
      </c>
      <c r="E10180" t="inlineStr">
        <is>
          <t>NORDMALING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35057-2025</t>
        </is>
      </c>
      <c r="B10181" s="1" t="n">
        <v>45852.40655092592</v>
      </c>
      <c r="C10181" s="1" t="n">
        <v>45971</v>
      </c>
      <c r="D10181" t="inlineStr">
        <is>
          <t>VÄSTERBOTTENS LÄN</t>
        </is>
      </c>
      <c r="E10181" t="inlineStr">
        <is>
          <t>NORDMALING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62729-2022</t>
        </is>
      </c>
      <c r="B10182" s="1" t="n">
        <v>44925</v>
      </c>
      <c r="C10182" s="1" t="n">
        <v>45971</v>
      </c>
      <c r="D10182" t="inlineStr">
        <is>
          <t>VÄSTERBOTTENS LÄN</t>
        </is>
      </c>
      <c r="E10182" t="inlineStr">
        <is>
          <t>VINDELN</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26553-2023</t>
        </is>
      </c>
      <c r="B10183" s="1" t="n">
        <v>45089</v>
      </c>
      <c r="C10183" s="1" t="n">
        <v>45971</v>
      </c>
      <c r="D10183" t="inlineStr">
        <is>
          <t>VÄSTERBOTTENS LÄN</t>
        </is>
      </c>
      <c r="E10183" t="inlineStr">
        <is>
          <t>VILHELMINA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19491-2023</t>
        </is>
      </c>
      <c r="B10184" s="1" t="n">
        <v>45049</v>
      </c>
      <c r="C10184" s="1" t="n">
        <v>45971</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34926-2025</t>
        </is>
      </c>
      <c r="B10185" s="1" t="n">
        <v>45849.55927083334</v>
      </c>
      <c r="C10185" s="1" t="n">
        <v>45971</v>
      </c>
      <c r="D10185" t="inlineStr">
        <is>
          <t>VÄSTERBOTTENS LÄN</t>
        </is>
      </c>
      <c r="E10185" t="inlineStr">
        <is>
          <t>LYCKSELE</t>
        </is>
      </c>
      <c r="F10185" t="inlineStr">
        <is>
          <t>Sveaskog</t>
        </is>
      </c>
      <c r="G10185" t="n">
        <v>12.4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35130-2025</t>
        </is>
      </c>
      <c r="B10186" s="1" t="n">
        <v>45852.63579861111</v>
      </c>
      <c r="C10186" s="1" t="n">
        <v>45971</v>
      </c>
      <c r="D10186" t="inlineStr">
        <is>
          <t>VÄSTERBOTTENS LÄN</t>
        </is>
      </c>
      <c r="E10186" t="inlineStr">
        <is>
          <t>LYCKSELE</t>
        </is>
      </c>
      <c r="F10186" t="inlineStr">
        <is>
          <t>SCA</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20778-2024</t>
        </is>
      </c>
      <c r="B10187" s="1" t="n">
        <v>45436.94701388889</v>
      </c>
      <c r="C10187" s="1" t="n">
        <v>45971</v>
      </c>
      <c r="D10187" t="inlineStr">
        <is>
          <t>VÄSTERBOTTENS LÄN</t>
        </is>
      </c>
      <c r="E10187" t="inlineStr">
        <is>
          <t>BJURHOLM</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35067-2025</t>
        </is>
      </c>
      <c r="B10188" s="1" t="n">
        <v>45852.45567129629</v>
      </c>
      <c r="C10188" s="1" t="n">
        <v>45971</v>
      </c>
      <c r="D10188" t="inlineStr">
        <is>
          <t>VÄSTERBOTTENS LÄN</t>
        </is>
      </c>
      <c r="E10188" t="inlineStr">
        <is>
          <t>STORUMAN</t>
        </is>
      </c>
      <c r="F10188" t="inlineStr">
        <is>
          <t>Holmen skog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34808-2025</t>
        </is>
      </c>
      <c r="B10189" s="1" t="n">
        <v>45849.34042824074</v>
      </c>
      <c r="C10189" s="1" t="n">
        <v>45971</v>
      </c>
      <c r="D10189" t="inlineStr">
        <is>
          <t>VÄSTERBOTTENS LÄN</t>
        </is>
      </c>
      <c r="E10189" t="inlineStr">
        <is>
          <t>ÅSELE</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35125-2025</t>
        </is>
      </c>
      <c r="B10190" s="1" t="n">
        <v>45852.61484953704</v>
      </c>
      <c r="C10190" s="1" t="n">
        <v>45971</v>
      </c>
      <c r="D10190" t="inlineStr">
        <is>
          <t>VÄSTERBOTTENS LÄN</t>
        </is>
      </c>
      <c r="E10190" t="inlineStr">
        <is>
          <t>ROBERTSFORS</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5794-2025</t>
        </is>
      </c>
      <c r="B10191" s="1" t="n">
        <v>45694.65726851852</v>
      </c>
      <c r="C10191" s="1" t="n">
        <v>45971</v>
      </c>
      <c r="D10191" t="inlineStr">
        <is>
          <t>VÄSTERBOTTENS LÄN</t>
        </is>
      </c>
      <c r="E10191" t="inlineStr">
        <is>
          <t>MALÅ</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45598-2025</t>
        </is>
      </c>
      <c r="B10192" s="1" t="n">
        <v>45922.68771990741</v>
      </c>
      <c r="C10192" s="1" t="n">
        <v>45971</v>
      </c>
      <c r="D10192" t="inlineStr">
        <is>
          <t>VÄSTERBOTTENS LÄN</t>
        </is>
      </c>
      <c r="E10192" t="inlineStr">
        <is>
          <t>SKELLEFTEÅ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35224-2025</t>
        </is>
      </c>
      <c r="B10193" s="1" t="n">
        <v>45853.57020833333</v>
      </c>
      <c r="C10193" s="1" t="n">
        <v>45971</v>
      </c>
      <c r="D10193" t="inlineStr">
        <is>
          <t>VÄSTERBOTTENS LÄN</t>
        </is>
      </c>
      <c r="E10193" t="inlineStr">
        <is>
          <t>ROBERTSFORS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46860-2022</t>
        </is>
      </c>
      <c r="B10194" s="1" t="n">
        <v>44848</v>
      </c>
      <c r="C10194" s="1" t="n">
        <v>45971</v>
      </c>
      <c r="D10194" t="inlineStr">
        <is>
          <t>VÄSTERBOTTENS LÄN</t>
        </is>
      </c>
      <c r="E10194" t="inlineStr">
        <is>
          <t>NORSJÖ</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45559-2025</t>
        </is>
      </c>
      <c r="B10195" s="1" t="n">
        <v>45922.64508101852</v>
      </c>
      <c r="C10195" s="1" t="n">
        <v>45971</v>
      </c>
      <c r="D10195" t="inlineStr">
        <is>
          <t>VÄSTERBOTTENS LÄN</t>
        </is>
      </c>
      <c r="E10195" t="inlineStr">
        <is>
          <t>SKELLEFTEÅ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35303-2025</t>
        </is>
      </c>
      <c r="B10196" s="1" t="n">
        <v>45854.42938657408</v>
      </c>
      <c r="C10196" s="1" t="n">
        <v>45971</v>
      </c>
      <c r="D10196" t="inlineStr">
        <is>
          <t>VÄSTERBOTTENS LÄN</t>
        </is>
      </c>
      <c r="E10196" t="inlineStr">
        <is>
          <t>LYCKSELE</t>
        </is>
      </c>
      <c r="F10196" t="inlineStr">
        <is>
          <t>Sveaskog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42357-2022</t>
        </is>
      </c>
      <c r="B10197" s="1" t="n">
        <v>44827</v>
      </c>
      <c r="C10197" s="1" t="n">
        <v>45971</v>
      </c>
      <c r="D10197" t="inlineStr">
        <is>
          <t>VÄSTERBOTTENS LÄN</t>
        </is>
      </c>
      <c r="E10197" t="inlineStr">
        <is>
          <t>SKELLEFTEÅ</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54786-2023</t>
        </is>
      </c>
      <c r="B10198" s="1" t="n">
        <v>45229</v>
      </c>
      <c r="C10198" s="1" t="n">
        <v>45971</v>
      </c>
      <c r="D10198" t="inlineStr">
        <is>
          <t>VÄSTERBOTTENS LÄN</t>
        </is>
      </c>
      <c r="E10198" t="inlineStr">
        <is>
          <t>VINDELN</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40785-2024</t>
        </is>
      </c>
      <c r="B10199" s="1" t="n">
        <v>45558.49664351852</v>
      </c>
      <c r="C10199" s="1" t="n">
        <v>45971</v>
      </c>
      <c r="D10199" t="inlineStr">
        <is>
          <t>VÄSTERBOTTENS LÄN</t>
        </is>
      </c>
      <c r="E10199" t="inlineStr">
        <is>
          <t>VINDELN</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c r="U10199">
        <f>HYPERLINK("https://klasma.github.io/Logging_2404/knärot/A 40785-2024 karta knärot.png", "A 40785-2024")</f>
        <v/>
      </c>
      <c r="V10199">
        <f>HYPERLINK("https://klasma.github.io/Logging_2404/klagomål/A 40785-2024 FSC-klagomål.docx", "A 40785-2024")</f>
        <v/>
      </c>
      <c r="W10199">
        <f>HYPERLINK("https://klasma.github.io/Logging_2404/klagomålsmail/A 40785-2024 FSC-klagomål mail.docx", "A 40785-2024")</f>
        <v/>
      </c>
      <c r="X10199">
        <f>HYPERLINK("https://klasma.github.io/Logging_2404/tillsyn/A 40785-2024 tillsynsbegäran.docx", "A 40785-2024")</f>
        <v/>
      </c>
      <c r="Y10199">
        <f>HYPERLINK("https://klasma.github.io/Logging_2404/tillsynsmail/A 40785-2024 tillsynsbegäran mail.docx", "A 40785-2024")</f>
        <v/>
      </c>
    </row>
    <row r="10200" ht="15" customHeight="1">
      <c r="A10200" t="inlineStr">
        <is>
          <t>A 45139-2025</t>
        </is>
      </c>
      <c r="B10200" s="1" t="n">
        <v>45919.45460648148</v>
      </c>
      <c r="C10200" s="1" t="n">
        <v>45971</v>
      </c>
      <c r="D10200" t="inlineStr">
        <is>
          <t>VÄSTERBOTTENS LÄN</t>
        </is>
      </c>
      <c r="E10200" t="inlineStr">
        <is>
          <t>LYCKSELE</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41965-2024</t>
        </is>
      </c>
      <c r="B10201" s="1" t="n">
        <v>45561</v>
      </c>
      <c r="C10201" s="1" t="n">
        <v>45971</v>
      </c>
      <c r="D10201" t="inlineStr">
        <is>
          <t>VÄSTERBOTTENS LÄN</t>
        </is>
      </c>
      <c r="E10201" t="inlineStr">
        <is>
          <t>NORSJÖ</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45184-2025</t>
        </is>
      </c>
      <c r="B10202" s="1" t="n">
        <v>45919.53916666667</v>
      </c>
      <c r="C10202" s="1" t="n">
        <v>45971</v>
      </c>
      <c r="D10202" t="inlineStr">
        <is>
          <t>VÄSTERBOTTENS LÄN</t>
        </is>
      </c>
      <c r="E10202" t="inlineStr">
        <is>
          <t>UMEÅ</t>
        </is>
      </c>
      <c r="F10202" t="inlineStr">
        <is>
          <t>Holmen skog AB</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35242-2025</t>
        </is>
      </c>
      <c r="B10203" s="1" t="n">
        <v>45853.62052083333</v>
      </c>
      <c r="C10203" s="1" t="n">
        <v>45971</v>
      </c>
      <c r="D10203" t="inlineStr">
        <is>
          <t>VÄSTERBOTTENS LÄN</t>
        </is>
      </c>
      <c r="E10203" t="inlineStr">
        <is>
          <t>LYCKSELE</t>
        </is>
      </c>
      <c r="F10203" t="inlineStr">
        <is>
          <t>Sveaskog</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35281-2025</t>
        </is>
      </c>
      <c r="B10204" s="1" t="n">
        <v>45854.33944444444</v>
      </c>
      <c r="C10204" s="1" t="n">
        <v>45971</v>
      </c>
      <c r="D10204" t="inlineStr">
        <is>
          <t>VÄSTERBOTTENS LÄN</t>
        </is>
      </c>
      <c r="E10204" t="inlineStr">
        <is>
          <t>ÅSELE</t>
        </is>
      </c>
      <c r="F10204" t="inlineStr">
        <is>
          <t>Holmen skog AB</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35285-2025</t>
        </is>
      </c>
      <c r="B10205" s="1" t="n">
        <v>45854</v>
      </c>
      <c r="C10205" s="1" t="n">
        <v>45971</v>
      </c>
      <c r="D10205" t="inlineStr">
        <is>
          <t>VÄSTERBOTTENS LÄN</t>
        </is>
      </c>
      <c r="E10205" t="inlineStr">
        <is>
          <t>VILHELMINA</t>
        </is>
      </c>
      <c r="F10205" t="inlineStr">
        <is>
          <t>SCA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35298-2025</t>
        </is>
      </c>
      <c r="B10206" s="1" t="n">
        <v>45854.40681712963</v>
      </c>
      <c r="C10206" s="1" t="n">
        <v>45971</v>
      </c>
      <c r="D10206" t="inlineStr">
        <is>
          <t>VÄSTERBOTTENS LÄN</t>
        </is>
      </c>
      <c r="E10206" t="inlineStr">
        <is>
          <t>DOROTEA</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59181-2023</t>
        </is>
      </c>
      <c r="B10207" s="1" t="n">
        <v>45251</v>
      </c>
      <c r="C10207" s="1" t="n">
        <v>45971</v>
      </c>
      <c r="D10207" t="inlineStr">
        <is>
          <t>VÄSTERBOTTENS LÄN</t>
        </is>
      </c>
      <c r="E10207" t="inlineStr">
        <is>
          <t>BJURHOLM</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35333-2025</t>
        </is>
      </c>
      <c r="B10208" s="1" t="n">
        <v>45854.57376157407</v>
      </c>
      <c r="C10208" s="1" t="n">
        <v>45971</v>
      </c>
      <c r="D10208" t="inlineStr">
        <is>
          <t>VÄSTERBOTTENS LÄN</t>
        </is>
      </c>
      <c r="E10208" t="inlineStr">
        <is>
          <t>LYCKSELE</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35287-2025</t>
        </is>
      </c>
      <c r="B10209" s="1" t="n">
        <v>45854.3653587963</v>
      </c>
      <c r="C10209" s="1" t="n">
        <v>45971</v>
      </c>
      <c r="D10209" t="inlineStr">
        <is>
          <t>VÄSTERBOTTENS LÄN</t>
        </is>
      </c>
      <c r="E10209" t="inlineStr">
        <is>
          <t>VILHELMINA</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35288-2025</t>
        </is>
      </c>
      <c r="B10210" s="1" t="n">
        <v>45854.36543981481</v>
      </c>
      <c r="C10210" s="1" t="n">
        <v>45971</v>
      </c>
      <c r="D10210" t="inlineStr">
        <is>
          <t>VÄSTERBOTTENS LÄN</t>
        </is>
      </c>
      <c r="E10210" t="inlineStr">
        <is>
          <t>VILHELMINA</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7398-2025</t>
        </is>
      </c>
      <c r="B10211" s="1" t="n">
        <v>45705</v>
      </c>
      <c r="C10211" s="1" t="n">
        <v>45971</v>
      </c>
      <c r="D10211" t="inlineStr">
        <is>
          <t>VÄSTERBOTTENS LÄN</t>
        </is>
      </c>
      <c r="E10211" t="inlineStr">
        <is>
          <t>LYCKSELE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35225-2025</t>
        </is>
      </c>
      <c r="B10212" s="1" t="n">
        <v>45853.57862268519</v>
      </c>
      <c r="C10212" s="1" t="n">
        <v>45971</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35227-2025</t>
        </is>
      </c>
      <c r="B10213" s="1" t="n">
        <v>45853.58521990741</v>
      </c>
      <c r="C10213" s="1" t="n">
        <v>45971</v>
      </c>
      <c r="D10213" t="inlineStr">
        <is>
          <t>VÄSTERBOTTENS LÄN</t>
        </is>
      </c>
      <c r="E10213" t="inlineStr">
        <is>
          <t>LYCKSELE</t>
        </is>
      </c>
      <c r="F10213" t="inlineStr">
        <is>
          <t>Sveaskog</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35234-2025</t>
        </is>
      </c>
      <c r="B10214" s="1" t="n">
        <v>45853.6025</v>
      </c>
      <c r="C10214" s="1" t="n">
        <v>45971</v>
      </c>
      <c r="D10214" t="inlineStr">
        <is>
          <t>VÄSTERBOTTENS LÄN</t>
        </is>
      </c>
      <c r="E10214" t="inlineStr">
        <is>
          <t>LYCKSELE</t>
        </is>
      </c>
      <c r="F10214" t="inlineStr">
        <is>
          <t>Sveaskog</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35192-2025</t>
        </is>
      </c>
      <c r="B10215" s="1" t="n">
        <v>45853.35604166667</v>
      </c>
      <c r="C10215" s="1" t="n">
        <v>45971</v>
      </c>
      <c r="D10215" t="inlineStr">
        <is>
          <t>VÄSTERBOTTENS LÄN</t>
        </is>
      </c>
      <c r="E10215" t="inlineStr">
        <is>
          <t>LYCKSELE</t>
        </is>
      </c>
      <c r="F10215" t="inlineStr">
        <is>
          <t>Sveaskog</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22859-2024</t>
        </is>
      </c>
      <c r="B10216" s="1" t="n">
        <v>45448</v>
      </c>
      <c r="C10216" s="1" t="n">
        <v>45971</v>
      </c>
      <c r="D10216" t="inlineStr">
        <is>
          <t>VÄSTERBOTTENS LÄN</t>
        </is>
      </c>
      <c r="E10216" t="inlineStr">
        <is>
          <t>SKELLEFTEÅ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45398-2025</t>
        </is>
      </c>
      <c r="B10217" s="1" t="n">
        <v>45922.42065972222</v>
      </c>
      <c r="C10217" s="1" t="n">
        <v>45971</v>
      </c>
      <c r="D10217" t="inlineStr">
        <is>
          <t>VÄSTERBOTTENS LÄN</t>
        </is>
      </c>
      <c r="E10217" t="inlineStr">
        <is>
          <t>SKELLEFTEÅ</t>
        </is>
      </c>
      <c r="G10217" t="n">
        <v>12.2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45413-2025</t>
        </is>
      </c>
      <c r="B10218" s="1" t="n">
        <v>45922</v>
      </c>
      <c r="C10218" s="1" t="n">
        <v>45971</v>
      </c>
      <c r="D10218" t="inlineStr">
        <is>
          <t>VÄSTERBOTTENS LÄN</t>
        </is>
      </c>
      <c r="E10218" t="inlineStr">
        <is>
          <t>SKELLEFTEÅ</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35236-2025</t>
        </is>
      </c>
      <c r="B10219" s="1" t="n">
        <v>45853.60569444444</v>
      </c>
      <c r="C10219" s="1" t="n">
        <v>45971</v>
      </c>
      <c r="D10219" t="inlineStr">
        <is>
          <t>VÄSTERBOTTENS LÄN</t>
        </is>
      </c>
      <c r="E10219" t="inlineStr">
        <is>
          <t>LYCKSELE</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53959-2025</t>
        </is>
      </c>
      <c r="B10220" s="1" t="n">
        <v>45961.53371527778</v>
      </c>
      <c r="C10220" s="1" t="n">
        <v>45971</v>
      </c>
      <c r="D10220" t="inlineStr">
        <is>
          <t>VÄSTERBOTTENS LÄN</t>
        </is>
      </c>
      <c r="E10220" t="inlineStr">
        <is>
          <t>SKELLEFTEÅ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35232-2025</t>
        </is>
      </c>
      <c r="B10221" s="1" t="n">
        <v>45853.59733796296</v>
      </c>
      <c r="C10221" s="1" t="n">
        <v>45971</v>
      </c>
      <c r="D10221" t="inlineStr">
        <is>
          <t>VÄSTERBOTTENS LÄN</t>
        </is>
      </c>
      <c r="E10221" t="inlineStr">
        <is>
          <t>LYCKSELE</t>
        </is>
      </c>
      <c r="F10221" t="inlineStr">
        <is>
          <t>Sveaskog</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35237-2025</t>
        </is>
      </c>
      <c r="B10222" s="1" t="n">
        <v>45853.61248842593</v>
      </c>
      <c r="C10222" s="1" t="n">
        <v>45971</v>
      </c>
      <c r="D10222" t="inlineStr">
        <is>
          <t>VÄSTERBOTTENS LÄN</t>
        </is>
      </c>
      <c r="E10222" t="inlineStr">
        <is>
          <t>LYCKSELE</t>
        </is>
      </c>
      <c r="F10222" t="inlineStr">
        <is>
          <t>Sveaskog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35248-2025</t>
        </is>
      </c>
      <c r="B10223" s="1" t="n">
        <v>45853.65667824074</v>
      </c>
      <c r="C10223" s="1" t="n">
        <v>45971</v>
      </c>
      <c r="D10223" t="inlineStr">
        <is>
          <t>VÄSTERBOTTENS LÄN</t>
        </is>
      </c>
      <c r="E10223" t="inlineStr">
        <is>
          <t>MALÅ</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54030-2025</t>
        </is>
      </c>
      <c r="B10224" s="1" t="n">
        <v>45962.49011574074</v>
      </c>
      <c r="C10224" s="1" t="n">
        <v>45971</v>
      </c>
      <c r="D10224" t="inlineStr">
        <is>
          <t>VÄSTERBOTTENS LÄN</t>
        </is>
      </c>
      <c r="E10224" t="inlineStr">
        <is>
          <t>NORDMALING</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2090-2024</t>
        </is>
      </c>
      <c r="B10225" s="1" t="n">
        <v>45309.434375</v>
      </c>
      <c r="C10225" s="1" t="n">
        <v>45971</v>
      </c>
      <c r="D10225" t="inlineStr">
        <is>
          <t>VÄSTERBOTTENS LÄN</t>
        </is>
      </c>
      <c r="E10225" t="inlineStr">
        <is>
          <t>SKELLEFTEÅ</t>
        </is>
      </c>
      <c r="F10225" t="inlineStr">
        <is>
          <t>Sveaskog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35291-2025</t>
        </is>
      </c>
      <c r="B10226" s="1" t="n">
        <v>45854.38577546296</v>
      </c>
      <c r="C10226" s="1" t="n">
        <v>45971</v>
      </c>
      <c r="D10226" t="inlineStr">
        <is>
          <t>VÄSTERBOTTENS LÄN</t>
        </is>
      </c>
      <c r="E10226" t="inlineStr">
        <is>
          <t>DOROTEA</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35332-2025</t>
        </is>
      </c>
      <c r="B10227" s="1" t="n">
        <v>45854.57362268519</v>
      </c>
      <c r="C10227" s="1" t="n">
        <v>45971</v>
      </c>
      <c r="D10227" t="inlineStr">
        <is>
          <t>VÄSTERBOTTENS LÄN</t>
        </is>
      </c>
      <c r="E10227" t="inlineStr">
        <is>
          <t>LYCKSELE</t>
        </is>
      </c>
      <c r="F10227" t="inlineStr">
        <is>
          <t>SCA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31216-2025</t>
        </is>
      </c>
      <c r="B10228" s="1" t="n">
        <v>45832.74711805556</v>
      </c>
      <c r="C10228" s="1" t="n">
        <v>45971</v>
      </c>
      <c r="D10228" t="inlineStr">
        <is>
          <t>VÄSTERBOTTENS LÄN</t>
        </is>
      </c>
      <c r="E10228" t="inlineStr">
        <is>
          <t>NORDMALING</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54036-2025</t>
        </is>
      </c>
      <c r="B10229" s="1" t="n">
        <v>45963.46949074074</v>
      </c>
      <c r="C10229" s="1" t="n">
        <v>45971</v>
      </c>
      <c r="D10229" t="inlineStr">
        <is>
          <t>VÄSTERBOTTENS LÄN</t>
        </is>
      </c>
      <c r="E10229" t="inlineStr">
        <is>
          <t>SKELLEFTEÅ</t>
        </is>
      </c>
      <c r="F10229" t="inlineStr">
        <is>
          <t>Sveaskog</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35230-2025</t>
        </is>
      </c>
      <c r="B10230" s="1" t="n">
        <v>45853.59447916667</v>
      </c>
      <c r="C10230" s="1" t="n">
        <v>45971</v>
      </c>
      <c r="D10230" t="inlineStr">
        <is>
          <t>VÄSTERBOTTENS LÄN</t>
        </is>
      </c>
      <c r="E10230" t="inlineStr">
        <is>
          <t>VILHELMINA</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41484-2022</t>
        </is>
      </c>
      <c r="B10231" s="1" t="n">
        <v>44826</v>
      </c>
      <c r="C10231" s="1" t="n">
        <v>45971</v>
      </c>
      <c r="D10231" t="inlineStr">
        <is>
          <t>VÄSTERBOTTENS LÄN</t>
        </is>
      </c>
      <c r="E10231" t="inlineStr">
        <is>
          <t>VILHELMINA</t>
        </is>
      </c>
      <c r="F10231" t="inlineStr">
        <is>
          <t>SCA</t>
        </is>
      </c>
      <c r="G10231" t="n">
        <v>18.1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35231-2025</t>
        </is>
      </c>
      <c r="B10232" s="1" t="n">
        <v>45853.59453703704</v>
      </c>
      <c r="C10232" s="1" t="n">
        <v>45971</v>
      </c>
      <c r="D10232" t="inlineStr">
        <is>
          <t>VÄSTERBOTTENS LÄN</t>
        </is>
      </c>
      <c r="E10232" t="inlineStr">
        <is>
          <t>VILHELMINA</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56624-2024</t>
        </is>
      </c>
      <c r="B10233" s="1" t="n">
        <v>45625</v>
      </c>
      <c r="C10233" s="1" t="n">
        <v>45971</v>
      </c>
      <c r="D10233" t="inlineStr">
        <is>
          <t>VÄSTERBOTTENS LÄN</t>
        </is>
      </c>
      <c r="E10233" t="inlineStr">
        <is>
          <t>VILHELMINA</t>
        </is>
      </c>
      <c r="F10233" t="inlineStr">
        <is>
          <t>Allmännings- och besparingsskogar</t>
        </is>
      </c>
      <c r="G10233" t="n">
        <v>17.8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45528-2025</t>
        </is>
      </c>
      <c r="B10234" s="1" t="n">
        <v>45922.59987268518</v>
      </c>
      <c r="C10234" s="1" t="n">
        <v>45971</v>
      </c>
      <c r="D10234" t="inlineStr">
        <is>
          <t>VÄSTERBOTTENS LÄN</t>
        </is>
      </c>
      <c r="E10234" t="inlineStr">
        <is>
          <t>NORDMALING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35223-2025</t>
        </is>
      </c>
      <c r="B10235" s="1" t="n">
        <v>45853.55226851852</v>
      </c>
      <c r="C10235" s="1" t="n">
        <v>45971</v>
      </c>
      <c r="D10235" t="inlineStr">
        <is>
          <t>VÄSTERBOTTENS LÄN</t>
        </is>
      </c>
      <c r="E10235" t="inlineStr">
        <is>
          <t>SKELLEFTEÅ</t>
        </is>
      </c>
      <c r="F10235" t="inlineStr">
        <is>
          <t>Holmen skog AB</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47253-2022</t>
        </is>
      </c>
      <c r="B10236" s="1" t="n">
        <v>44852</v>
      </c>
      <c r="C10236" s="1" t="n">
        <v>45971</v>
      </c>
      <c r="D10236" t="inlineStr">
        <is>
          <t>VÄSTERBOTTENS LÄN</t>
        </is>
      </c>
      <c r="E10236" t="inlineStr">
        <is>
          <t>VILHELMINA</t>
        </is>
      </c>
      <c r="F10236" t="inlineStr">
        <is>
          <t>SCA</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35565-2025</t>
        </is>
      </c>
      <c r="B10237" s="1" t="n">
        <v>45856.55130787037</v>
      </c>
      <c r="C10237" s="1" t="n">
        <v>45971</v>
      </c>
      <c r="D10237" t="inlineStr">
        <is>
          <t>VÄSTERBOTTENS LÄN</t>
        </is>
      </c>
      <c r="E10237" t="inlineStr">
        <is>
          <t>ROBERTSFORS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8860-2024</t>
        </is>
      </c>
      <c r="B10238" s="1" t="n">
        <v>45356</v>
      </c>
      <c r="C10238" s="1" t="n">
        <v>45971</v>
      </c>
      <c r="D10238" t="inlineStr">
        <is>
          <t>VÄSTERBOTTENS LÄN</t>
        </is>
      </c>
      <c r="E10238" t="inlineStr">
        <is>
          <t>STORUMAN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35418-2025</t>
        </is>
      </c>
      <c r="B10239" s="1" t="n">
        <v>45855.40684027778</v>
      </c>
      <c r="C10239" s="1" t="n">
        <v>45971</v>
      </c>
      <c r="D10239" t="inlineStr">
        <is>
          <t>VÄSTERBOTTENS LÄN</t>
        </is>
      </c>
      <c r="E10239" t="inlineStr">
        <is>
          <t>DOROTEA</t>
        </is>
      </c>
      <c r="F10239" t="inlineStr">
        <is>
          <t>SCA</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35446-2025</t>
        </is>
      </c>
      <c r="B10240" s="1" t="n">
        <v>45855.54017361111</v>
      </c>
      <c r="C10240" s="1" t="n">
        <v>45971</v>
      </c>
      <c r="D10240" t="inlineStr">
        <is>
          <t>VÄSTERBOTTENS LÄN</t>
        </is>
      </c>
      <c r="E10240" t="inlineStr">
        <is>
          <t>NORSJÖ</t>
        </is>
      </c>
      <c r="F10240" t="inlineStr">
        <is>
          <t>Sveaskog</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35453-2025</t>
        </is>
      </c>
      <c r="B10241" s="1" t="n">
        <v>45855</v>
      </c>
      <c r="C10241" s="1" t="n">
        <v>45971</v>
      </c>
      <c r="D10241" t="inlineStr">
        <is>
          <t>VÄSTERBOTTENS LÄN</t>
        </is>
      </c>
      <c r="E10241" t="inlineStr">
        <is>
          <t>ÅSELE</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35457-2025</t>
        </is>
      </c>
      <c r="B10242" s="1" t="n">
        <v>45855</v>
      </c>
      <c r="C10242" s="1" t="n">
        <v>45971</v>
      </c>
      <c r="D10242" t="inlineStr">
        <is>
          <t>VÄSTERBOTTENS LÄN</t>
        </is>
      </c>
      <c r="E10242" t="inlineStr">
        <is>
          <t>DOROTEA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53857-2025</t>
        </is>
      </c>
      <c r="B10243" s="1" t="n">
        <v>45961.37615740741</v>
      </c>
      <c r="C10243" s="1" t="n">
        <v>45971</v>
      </c>
      <c r="D10243" t="inlineStr">
        <is>
          <t>VÄSTERBOTTENS LÄN</t>
        </is>
      </c>
      <c r="E10243" t="inlineStr">
        <is>
          <t>SORSELE</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35554-2025</t>
        </is>
      </c>
      <c r="B10244" s="1" t="n">
        <v>45856</v>
      </c>
      <c r="C10244" s="1" t="n">
        <v>45971</v>
      </c>
      <c r="D10244" t="inlineStr">
        <is>
          <t>VÄSTERBOTTENS LÄN</t>
        </is>
      </c>
      <c r="E10244" t="inlineStr">
        <is>
          <t>ÅSELE</t>
        </is>
      </c>
      <c r="F10244" t="inlineStr">
        <is>
          <t>Holmen skog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35553-2025</t>
        </is>
      </c>
      <c r="B10245" s="1" t="n">
        <v>45856.50510416667</v>
      </c>
      <c r="C10245" s="1" t="n">
        <v>45971</v>
      </c>
      <c r="D10245" t="inlineStr">
        <is>
          <t>VÄSTERBOTTENS LÄN</t>
        </is>
      </c>
      <c r="E10245" t="inlineStr">
        <is>
          <t>ROBERTSFORS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5876-2025</t>
        </is>
      </c>
      <c r="B10246" s="1" t="n">
        <v>45694</v>
      </c>
      <c r="C10246" s="1" t="n">
        <v>45971</v>
      </c>
      <c r="D10246" t="inlineStr">
        <is>
          <t>VÄSTERBOTTENS LÄN</t>
        </is>
      </c>
      <c r="E10246" t="inlineStr">
        <is>
          <t>SKELLEFTEÅ</t>
        </is>
      </c>
      <c r="G10246" t="n">
        <v>60.7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13007-2025</t>
        </is>
      </c>
      <c r="B10247" s="1" t="n">
        <v>45734.51712962963</v>
      </c>
      <c r="C10247" s="1" t="n">
        <v>45971</v>
      </c>
      <c r="D10247" t="inlineStr">
        <is>
          <t>VÄSTERBOTTENS LÄN</t>
        </is>
      </c>
      <c r="E10247" t="inlineStr">
        <is>
          <t>MALÅ</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35456-2025</t>
        </is>
      </c>
      <c r="B10248" s="1" t="n">
        <v>45855</v>
      </c>
      <c r="C10248" s="1" t="n">
        <v>45971</v>
      </c>
      <c r="D10248" t="inlineStr">
        <is>
          <t>VÄSTERBOTTENS LÄN</t>
        </is>
      </c>
      <c r="E10248" t="inlineStr">
        <is>
          <t>DOROTEA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45079-2025</t>
        </is>
      </c>
      <c r="B10249" s="1" t="n">
        <v>45919.36539351852</v>
      </c>
      <c r="C10249" s="1" t="n">
        <v>45971</v>
      </c>
      <c r="D10249" t="inlineStr">
        <is>
          <t>VÄSTERBOTTENS LÄN</t>
        </is>
      </c>
      <c r="E10249" t="inlineStr">
        <is>
          <t>VINDELN</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45092-2025</t>
        </is>
      </c>
      <c r="B10250" s="1" t="n">
        <v>45919.38167824074</v>
      </c>
      <c r="C10250" s="1" t="n">
        <v>45971</v>
      </c>
      <c r="D10250" t="inlineStr">
        <is>
          <t>VÄSTERBOTTENS LÄN</t>
        </is>
      </c>
      <c r="E10250" t="inlineStr">
        <is>
          <t>LYCKSELE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35556-2025</t>
        </is>
      </c>
      <c r="B10251" s="1" t="n">
        <v>45856.52092592593</v>
      </c>
      <c r="C10251" s="1" t="n">
        <v>45971</v>
      </c>
      <c r="D10251" t="inlineStr">
        <is>
          <t>VÄSTERBOTTENS LÄN</t>
        </is>
      </c>
      <c r="E10251" t="inlineStr">
        <is>
          <t>ÅSELE</t>
        </is>
      </c>
      <c r="F10251" t="inlineStr">
        <is>
          <t>Naturvårdsverket</t>
        </is>
      </c>
      <c r="G10251" t="n">
        <v>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35562-2025</t>
        </is>
      </c>
      <c r="B10252" s="1" t="n">
        <v>45856.54179398148</v>
      </c>
      <c r="C10252" s="1" t="n">
        <v>45971</v>
      </c>
      <c r="D10252" t="inlineStr">
        <is>
          <t>VÄSTERBOTTENS LÄN</t>
        </is>
      </c>
      <c r="E10252" t="inlineStr">
        <is>
          <t>ROBERTSFORS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35566-2025</t>
        </is>
      </c>
      <c r="B10253" s="1" t="n">
        <v>45856.55252314815</v>
      </c>
      <c r="C10253" s="1" t="n">
        <v>45971</v>
      </c>
      <c r="D10253" t="inlineStr">
        <is>
          <t>VÄSTERBOTTENS LÄN</t>
        </is>
      </c>
      <c r="E10253" t="inlineStr">
        <is>
          <t>LYCKSELE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53915-2025</t>
        </is>
      </c>
      <c r="B10254" s="1" t="n">
        <v>45961.44832175926</v>
      </c>
      <c r="C10254" s="1" t="n">
        <v>45971</v>
      </c>
      <c r="D10254" t="inlineStr">
        <is>
          <t>VÄSTERBOTTENS LÄN</t>
        </is>
      </c>
      <c r="E10254" t="inlineStr">
        <is>
          <t>NORDMALING</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35560-2025</t>
        </is>
      </c>
      <c r="B10255" s="1" t="n">
        <v>45856.53145833333</v>
      </c>
      <c r="C10255" s="1" t="n">
        <v>45971</v>
      </c>
      <c r="D10255" t="inlineStr">
        <is>
          <t>VÄSTERBOTTENS LÄN</t>
        </is>
      </c>
      <c r="E10255" t="inlineStr">
        <is>
          <t>ROBERTSFORS</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8360-2024</t>
        </is>
      </c>
      <c r="B10256" s="1" t="n">
        <v>45352.58462962963</v>
      </c>
      <c r="C10256" s="1" t="n">
        <v>45971</v>
      </c>
      <c r="D10256" t="inlineStr">
        <is>
          <t>VÄSTERBOTTENS LÄN</t>
        </is>
      </c>
      <c r="E10256" t="inlineStr">
        <is>
          <t>LYCKSELE</t>
        </is>
      </c>
      <c r="F10256" t="inlineStr">
        <is>
          <t>Sveaskog</t>
        </is>
      </c>
      <c r="G10256" t="n">
        <v>31.5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8363-2024</t>
        </is>
      </c>
      <c r="B10257" s="1" t="n">
        <v>45352</v>
      </c>
      <c r="C10257" s="1" t="n">
        <v>45971</v>
      </c>
      <c r="D10257" t="inlineStr">
        <is>
          <t>VÄSTERBOTTENS LÄN</t>
        </is>
      </c>
      <c r="E10257" t="inlineStr">
        <is>
          <t>ROBERTSFORS</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14286-2025</t>
        </is>
      </c>
      <c r="B10258" s="1" t="n">
        <v>45740.66287037037</v>
      </c>
      <c r="C10258" s="1" t="n">
        <v>45971</v>
      </c>
      <c r="D10258" t="inlineStr">
        <is>
          <t>VÄSTERBOTTENS LÄN</t>
        </is>
      </c>
      <c r="E10258" t="inlineStr">
        <is>
          <t>UMEÅ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53882-2025</t>
        </is>
      </c>
      <c r="B10259" s="1" t="n">
        <v>45961.39821759259</v>
      </c>
      <c r="C10259" s="1" t="n">
        <v>45971</v>
      </c>
      <c r="D10259" t="inlineStr">
        <is>
          <t>VÄSTERBOTTENS LÄN</t>
        </is>
      </c>
      <c r="E10259" t="inlineStr">
        <is>
          <t>VINDELN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57440-2023</t>
        </is>
      </c>
      <c r="B10260" s="1" t="n">
        <v>45240</v>
      </c>
      <c r="C10260" s="1" t="n">
        <v>45971</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35543-2025</t>
        </is>
      </c>
      <c r="B10261" s="1" t="n">
        <v>45856.47466435185</v>
      </c>
      <c r="C10261" s="1" t="n">
        <v>45971</v>
      </c>
      <c r="D10261" t="inlineStr">
        <is>
          <t>VÄSTERBOTTENS LÄN</t>
        </is>
      </c>
      <c r="E10261" t="inlineStr">
        <is>
          <t>ROBERTSFORS</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35547-2025</t>
        </is>
      </c>
      <c r="B10262" s="1" t="n">
        <v>45856.48679398148</v>
      </c>
      <c r="C10262" s="1" t="n">
        <v>45971</v>
      </c>
      <c r="D10262" t="inlineStr">
        <is>
          <t>VÄSTERBOTTENS LÄN</t>
        </is>
      </c>
      <c r="E10262" t="inlineStr">
        <is>
          <t>ROBERTSFORS</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35549-2025</t>
        </is>
      </c>
      <c r="B10263" s="1" t="n">
        <v>45856.49295138889</v>
      </c>
      <c r="C10263" s="1" t="n">
        <v>45971</v>
      </c>
      <c r="D10263" t="inlineStr">
        <is>
          <t>VÄSTERBOTTENS LÄN</t>
        </is>
      </c>
      <c r="E10263" t="inlineStr">
        <is>
          <t>ÅSELE</t>
        </is>
      </c>
      <c r="F10263" t="inlineStr">
        <is>
          <t>Naturvårdsverket</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27688-2025</t>
        </is>
      </c>
      <c r="B10264" s="1" t="n">
        <v>45813</v>
      </c>
      <c r="C10264" s="1" t="n">
        <v>45971</v>
      </c>
      <c r="D10264" t="inlineStr">
        <is>
          <t>VÄSTERBOTTENS LÄN</t>
        </is>
      </c>
      <c r="E10264" t="inlineStr">
        <is>
          <t>LYCKSELE</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46181-2022</t>
        </is>
      </c>
      <c r="B10265" s="1" t="n">
        <v>44845</v>
      </c>
      <c r="C10265" s="1" t="n">
        <v>45971</v>
      </c>
      <c r="D10265" t="inlineStr">
        <is>
          <t>VÄSTERBOTTENS LÄN</t>
        </is>
      </c>
      <c r="E10265" t="inlineStr">
        <is>
          <t>SKELLEFTEÅ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35433-2025</t>
        </is>
      </c>
      <c r="B10266" s="1" t="n">
        <v>45855.4525462963</v>
      </c>
      <c r="C10266" s="1" t="n">
        <v>45971</v>
      </c>
      <c r="D10266" t="inlineStr">
        <is>
          <t>VÄSTERBOTTENS LÄN</t>
        </is>
      </c>
      <c r="E10266" t="inlineStr">
        <is>
          <t>SKELLEFTEÅ</t>
        </is>
      </c>
      <c r="F10266" t="inlineStr">
        <is>
          <t>Holmen skog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35437-2025</t>
        </is>
      </c>
      <c r="B10267" s="1" t="n">
        <v>45855</v>
      </c>
      <c r="C10267" s="1" t="n">
        <v>45971</v>
      </c>
      <c r="D10267" t="inlineStr">
        <is>
          <t>VÄSTERBOTTENS LÄN</t>
        </is>
      </c>
      <c r="E10267" t="inlineStr">
        <is>
          <t>DOROTEA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35438-2025</t>
        </is>
      </c>
      <c r="B10268" s="1" t="n">
        <v>45855</v>
      </c>
      <c r="C10268" s="1" t="n">
        <v>45971</v>
      </c>
      <c r="D10268" t="inlineStr">
        <is>
          <t>VÄSTERBOTTENS LÄN</t>
        </is>
      </c>
      <c r="E10268" t="inlineStr">
        <is>
          <t>DOROTEA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35458-2025</t>
        </is>
      </c>
      <c r="B10269" s="1" t="n">
        <v>45855</v>
      </c>
      <c r="C10269" s="1" t="n">
        <v>45971</v>
      </c>
      <c r="D10269" t="inlineStr">
        <is>
          <t>VÄSTERBOTTENS LÄN</t>
        </is>
      </c>
      <c r="E10269" t="inlineStr">
        <is>
          <t>DOROTEA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48611-2023</t>
        </is>
      </c>
      <c r="B10270" s="1" t="n">
        <v>45202</v>
      </c>
      <c r="C10270" s="1" t="n">
        <v>45971</v>
      </c>
      <c r="D10270" t="inlineStr">
        <is>
          <t>VÄSTERBOTTENS LÄN</t>
        </is>
      </c>
      <c r="E10270" t="inlineStr">
        <is>
          <t>NORSJÖ</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45555-2025</t>
        </is>
      </c>
      <c r="B10271" s="1" t="n">
        <v>45922.64210648148</v>
      </c>
      <c r="C10271" s="1" t="n">
        <v>45971</v>
      </c>
      <c r="D10271" t="inlineStr">
        <is>
          <t>VÄSTERBOTTENS LÄN</t>
        </is>
      </c>
      <c r="E10271" t="inlineStr">
        <is>
          <t>SKELLEFTEÅ</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30395-2024</t>
        </is>
      </c>
      <c r="B10272" s="1" t="n">
        <v>45491</v>
      </c>
      <c r="C10272" s="1" t="n">
        <v>45971</v>
      </c>
      <c r="D10272" t="inlineStr">
        <is>
          <t>VÄSTERBOTTENS LÄN</t>
        </is>
      </c>
      <c r="E10272" t="inlineStr">
        <is>
          <t>SKELLEFTEÅ</t>
        </is>
      </c>
      <c r="F10272" t="inlineStr">
        <is>
          <t>Holmen skog AB</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64370-2023</t>
        </is>
      </c>
      <c r="B10273" s="1" t="n">
        <v>45280</v>
      </c>
      <c r="C10273" s="1" t="n">
        <v>45971</v>
      </c>
      <c r="D10273" t="inlineStr">
        <is>
          <t>VÄSTERBOTTENS LÄN</t>
        </is>
      </c>
      <c r="E10273" t="inlineStr">
        <is>
          <t>SKELLEFTEÅ</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44203-2023</t>
        </is>
      </c>
      <c r="B10274" s="1" t="n">
        <v>45183</v>
      </c>
      <c r="C10274" s="1" t="n">
        <v>45971</v>
      </c>
      <c r="D10274" t="inlineStr">
        <is>
          <t>VÄSTERBOTTENS LÄN</t>
        </is>
      </c>
      <c r="E10274" t="inlineStr">
        <is>
          <t>STORUMAN</t>
        </is>
      </c>
      <c r="G10274" t="n">
        <v>33.7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17324-2024</t>
        </is>
      </c>
      <c r="B10275" s="1" t="n">
        <v>45414</v>
      </c>
      <c r="C10275" s="1" t="n">
        <v>45971</v>
      </c>
      <c r="D10275" t="inlineStr">
        <is>
          <t>VÄSTERBOTTENS LÄN</t>
        </is>
      </c>
      <c r="E10275" t="inlineStr">
        <is>
          <t>SORSELE</t>
        </is>
      </c>
      <c r="G10275" t="n">
        <v>30.6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45071-2025</t>
        </is>
      </c>
      <c r="B10276" s="1" t="n">
        <v>45919.35438657407</v>
      </c>
      <c r="C10276" s="1" t="n">
        <v>45971</v>
      </c>
      <c r="D10276" t="inlineStr">
        <is>
          <t>VÄSTERBOTTENS LÄN</t>
        </is>
      </c>
      <c r="E10276" t="inlineStr">
        <is>
          <t>VINDELN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45077-2025</t>
        </is>
      </c>
      <c r="B10277" s="1" t="n">
        <v>45919.36490740741</v>
      </c>
      <c r="C10277" s="1" t="n">
        <v>45971</v>
      </c>
      <c r="D10277" t="inlineStr">
        <is>
          <t>VÄSTERBOTTENS LÄN</t>
        </is>
      </c>
      <c r="E10277" t="inlineStr">
        <is>
          <t>LYCKSELE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45087-2025</t>
        </is>
      </c>
      <c r="B10278" s="1" t="n">
        <v>45919.37033564815</v>
      </c>
      <c r="C10278" s="1" t="n">
        <v>45971</v>
      </c>
      <c r="D10278" t="inlineStr">
        <is>
          <t>VÄSTERBOTTENS LÄN</t>
        </is>
      </c>
      <c r="E10278" t="inlineStr">
        <is>
          <t>VINDELN</t>
        </is>
      </c>
      <c r="G10278" t="n">
        <v>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62980-2023</t>
        </is>
      </c>
      <c r="B10279" s="1" t="n">
        <v>45272</v>
      </c>
      <c r="C10279" s="1" t="n">
        <v>45971</v>
      </c>
      <c r="D10279" t="inlineStr">
        <is>
          <t>VÄSTERBOTTENS LÄN</t>
        </is>
      </c>
      <c r="E10279" t="inlineStr">
        <is>
          <t>ROBERTSFORS</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34-2024</t>
        </is>
      </c>
      <c r="B10280" s="1" t="n">
        <v>45293</v>
      </c>
      <c r="C10280" s="1" t="n">
        <v>45971</v>
      </c>
      <c r="D10280" t="inlineStr">
        <is>
          <t>VÄSTERBOTTENS LÄN</t>
        </is>
      </c>
      <c r="E10280" t="inlineStr">
        <is>
          <t>VINDELN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52141-2022</t>
        </is>
      </c>
      <c r="B10281" s="1" t="n">
        <v>44868</v>
      </c>
      <c r="C10281" s="1" t="n">
        <v>45971</v>
      </c>
      <c r="D10281" t="inlineStr">
        <is>
          <t>VÄSTERBOTTENS LÄN</t>
        </is>
      </c>
      <c r="E10281" t="inlineStr">
        <is>
          <t>SKELLEFTEÅ</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35428-2025</t>
        </is>
      </c>
      <c r="B10282" s="1" t="n">
        <v>45855.44019675926</v>
      </c>
      <c r="C10282" s="1" t="n">
        <v>45971</v>
      </c>
      <c r="D10282" t="inlineStr">
        <is>
          <t>VÄSTERBOTTENS LÄN</t>
        </is>
      </c>
      <c r="E10282" t="inlineStr">
        <is>
          <t>SKELLEFTEÅ</t>
        </is>
      </c>
      <c r="F10282" t="inlineStr">
        <is>
          <t>Holmen skog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35514-2025</t>
        </is>
      </c>
      <c r="B10283" s="1" t="n">
        <v>45856.3653125</v>
      </c>
      <c r="C10283" s="1" t="n">
        <v>45971</v>
      </c>
      <c r="D10283" t="inlineStr">
        <is>
          <t>VÄSTERBOTTENS LÄN</t>
        </is>
      </c>
      <c r="E10283" t="inlineStr">
        <is>
          <t>STORUMAN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35444-2025</t>
        </is>
      </c>
      <c r="B10284" s="1" t="n">
        <v>45855.53179398148</v>
      </c>
      <c r="C10284" s="1" t="n">
        <v>45971</v>
      </c>
      <c r="D10284" t="inlineStr">
        <is>
          <t>VÄSTERBOTTENS LÄN</t>
        </is>
      </c>
      <c r="E10284" t="inlineStr">
        <is>
          <t>DOROTEA</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45120-2025</t>
        </is>
      </c>
      <c r="B10285" s="1" t="n">
        <v>45919</v>
      </c>
      <c r="C10285" s="1" t="n">
        <v>45971</v>
      </c>
      <c r="D10285" t="inlineStr">
        <is>
          <t>VÄSTERBOTTENS LÄN</t>
        </is>
      </c>
      <c r="E10285" t="inlineStr">
        <is>
          <t>VILHELMINA</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14994-2025</t>
        </is>
      </c>
      <c r="B10286" s="1" t="n">
        <v>45743</v>
      </c>
      <c r="C10286" s="1" t="n">
        <v>45971</v>
      </c>
      <c r="D10286" t="inlineStr">
        <is>
          <t>VÄSTERBOTTENS LÄN</t>
        </is>
      </c>
      <c r="E10286" t="inlineStr">
        <is>
          <t>VINDELN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48423-2023</t>
        </is>
      </c>
      <c r="B10287" s="1" t="n">
        <v>45205</v>
      </c>
      <c r="C10287" s="1" t="n">
        <v>45971</v>
      </c>
      <c r="D10287" t="inlineStr">
        <is>
          <t>VÄSTERBOTTENS LÄN</t>
        </is>
      </c>
      <c r="E10287" t="inlineStr">
        <is>
          <t>VILHELMINA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35586-2025</t>
        </is>
      </c>
      <c r="B10288" s="1" t="n">
        <v>45857.46918981482</v>
      </c>
      <c r="C10288" s="1" t="n">
        <v>45971</v>
      </c>
      <c r="D10288" t="inlineStr">
        <is>
          <t>VÄSTERBOTTENS LÄN</t>
        </is>
      </c>
      <c r="E10288" t="inlineStr">
        <is>
          <t>VINDELN</t>
        </is>
      </c>
      <c r="F10288" t="inlineStr">
        <is>
          <t>SCA</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35604-2025</t>
        </is>
      </c>
      <c r="B10289" s="1" t="n">
        <v>45859.32412037037</v>
      </c>
      <c r="C10289" s="1" t="n">
        <v>45971</v>
      </c>
      <c r="D10289" t="inlineStr">
        <is>
          <t>VÄSTERBOTTENS LÄN</t>
        </is>
      </c>
      <c r="E10289" t="inlineStr">
        <is>
          <t>LYCKSELE</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35728-2025</t>
        </is>
      </c>
      <c r="B10290" s="1" t="n">
        <v>45860.46180555555</v>
      </c>
      <c r="C10290" s="1" t="n">
        <v>45971</v>
      </c>
      <c r="D10290" t="inlineStr">
        <is>
          <t>VÄSTERBOTTENS LÄN</t>
        </is>
      </c>
      <c r="E10290" t="inlineStr">
        <is>
          <t>MALÅ</t>
        </is>
      </c>
      <c r="F10290" t="inlineStr">
        <is>
          <t>Sveaskog</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35730-2025</t>
        </is>
      </c>
      <c r="B10291" s="1" t="n">
        <v>45860.46853009259</v>
      </c>
      <c r="C10291" s="1" t="n">
        <v>45971</v>
      </c>
      <c r="D10291" t="inlineStr">
        <is>
          <t>VÄSTERBOTTENS LÄN</t>
        </is>
      </c>
      <c r="E10291" t="inlineStr">
        <is>
          <t>SORSELE</t>
        </is>
      </c>
      <c r="F10291" t="inlineStr">
        <is>
          <t>Sveaskog</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1856-2023</t>
        </is>
      </c>
      <c r="B10292" s="1" t="n">
        <v>44938</v>
      </c>
      <c r="C10292" s="1" t="n">
        <v>45971</v>
      </c>
      <c r="D10292" t="inlineStr">
        <is>
          <t>VÄSTERBOTTENS LÄN</t>
        </is>
      </c>
      <c r="E10292" t="inlineStr">
        <is>
          <t>NORDMALING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1859-2023</t>
        </is>
      </c>
      <c r="B10293" s="1" t="n">
        <v>44938.92320601852</v>
      </c>
      <c r="C10293" s="1" t="n">
        <v>45971</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40024-2022</t>
        </is>
      </c>
      <c r="B10294" s="1" t="n">
        <v>44820.41207175926</v>
      </c>
      <c r="C10294" s="1" t="n">
        <v>45971</v>
      </c>
      <c r="D10294" t="inlineStr">
        <is>
          <t>VÄSTERBOTTENS LÄN</t>
        </is>
      </c>
      <c r="E10294" t="inlineStr">
        <is>
          <t>UMEÅ</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15108-2025</t>
        </is>
      </c>
      <c r="B10295" s="1" t="n">
        <v>45744</v>
      </c>
      <c r="C10295" s="1" t="n">
        <v>45971</v>
      </c>
      <c r="D10295" t="inlineStr">
        <is>
          <t>VÄSTERBOTTENS LÄN</t>
        </is>
      </c>
      <c r="E10295" t="inlineStr">
        <is>
          <t>ROBERTSFORS</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54061-2025</t>
        </is>
      </c>
      <c r="B10296" s="1" t="n">
        <v>45964.33159722222</v>
      </c>
      <c r="C10296" s="1" t="n">
        <v>45971</v>
      </c>
      <c r="D10296" t="inlineStr">
        <is>
          <t>VÄSTERBOTTENS LÄN</t>
        </is>
      </c>
      <c r="E10296" t="inlineStr">
        <is>
          <t>VINDELN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60061-2023</t>
        </is>
      </c>
      <c r="B10297" s="1" t="n">
        <v>45258.38234953704</v>
      </c>
      <c r="C10297" s="1" t="n">
        <v>45971</v>
      </c>
      <c r="D10297" t="inlineStr">
        <is>
          <t>VÄSTERBOTTENS LÄN</t>
        </is>
      </c>
      <c r="E10297" t="inlineStr">
        <is>
          <t>LYCKSELE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29267-2025</t>
        </is>
      </c>
      <c r="B10298" s="1" t="n">
        <v>45824.40275462963</v>
      </c>
      <c r="C10298" s="1" t="n">
        <v>45971</v>
      </c>
      <c r="D10298" t="inlineStr">
        <is>
          <t>VÄSTERBOTTENS LÄN</t>
        </is>
      </c>
      <c r="E10298" t="inlineStr">
        <is>
          <t>SKELLEFTEÅ</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51926-2022</t>
        </is>
      </c>
      <c r="B10299" s="1" t="n">
        <v>44872</v>
      </c>
      <c r="C10299" s="1" t="n">
        <v>45971</v>
      </c>
      <c r="D10299" t="inlineStr">
        <is>
          <t>VÄSTERBOTTENS LÄN</t>
        </is>
      </c>
      <c r="E10299" t="inlineStr">
        <is>
          <t>NORSJÖ</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59993-2024</t>
        </is>
      </c>
      <c r="B10300" s="1" t="n">
        <v>45642.40476851852</v>
      </c>
      <c r="C10300" s="1" t="n">
        <v>45971</v>
      </c>
      <c r="D10300" t="inlineStr">
        <is>
          <t>VÄSTERBOTTENS LÄN</t>
        </is>
      </c>
      <c r="E10300" t="inlineStr">
        <is>
          <t>SKELLEFTEÅ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29524-2025</t>
        </is>
      </c>
      <c r="B10301" s="1" t="n">
        <v>45825.33515046296</v>
      </c>
      <c r="C10301" s="1" t="n">
        <v>45971</v>
      </c>
      <c r="D10301" t="inlineStr">
        <is>
          <t>VÄSTERBOTTENS LÄN</t>
        </is>
      </c>
      <c r="E10301" t="inlineStr">
        <is>
          <t>NORSJÖ</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45485-2025</t>
        </is>
      </c>
      <c r="B10302" s="1" t="n">
        <v>45922.54546296296</v>
      </c>
      <c r="C10302" s="1" t="n">
        <v>45971</v>
      </c>
      <c r="D10302" t="inlineStr">
        <is>
          <t>VÄSTERBOTTENS LÄN</t>
        </is>
      </c>
      <c r="E10302" t="inlineStr">
        <is>
          <t>SKELLEFTEÅ</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45163-2025</t>
        </is>
      </c>
      <c r="B10303" s="1" t="n">
        <v>45919.48994212963</v>
      </c>
      <c r="C10303" s="1" t="n">
        <v>45971</v>
      </c>
      <c r="D10303" t="inlineStr">
        <is>
          <t>VÄSTERBOTTENS LÄN</t>
        </is>
      </c>
      <c r="E10303" t="inlineStr">
        <is>
          <t>BJURHOLM</t>
        </is>
      </c>
      <c r="F10303" t="inlineStr">
        <is>
          <t>SCA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63084-2023</t>
        </is>
      </c>
      <c r="B10304" s="1" t="n">
        <v>45272</v>
      </c>
      <c r="C10304" s="1" t="n">
        <v>45971</v>
      </c>
      <c r="D10304" t="inlineStr">
        <is>
          <t>VÄSTERBOTTENS LÄN</t>
        </is>
      </c>
      <c r="E10304" t="inlineStr">
        <is>
          <t>DOROTEA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45174-2025</t>
        </is>
      </c>
      <c r="B10305" s="1" t="n">
        <v>45919.52239583333</v>
      </c>
      <c r="C10305" s="1" t="n">
        <v>45971</v>
      </c>
      <c r="D10305" t="inlineStr">
        <is>
          <t>VÄSTERBOTTENS LÄN</t>
        </is>
      </c>
      <c r="E10305" t="inlineStr">
        <is>
          <t>LYCKSELE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35711-2025</t>
        </is>
      </c>
      <c r="B10306" s="1" t="n">
        <v>45860</v>
      </c>
      <c r="C10306" s="1" t="n">
        <v>45971</v>
      </c>
      <c r="D10306" t="inlineStr">
        <is>
          <t>VÄSTERBOTTENS LÄN</t>
        </is>
      </c>
      <c r="E10306" t="inlineStr">
        <is>
          <t>STORUMAN</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13506-2025</t>
        </is>
      </c>
      <c r="B10307" s="1" t="n">
        <v>45736.46910879629</v>
      </c>
      <c r="C10307" s="1" t="n">
        <v>45971</v>
      </c>
      <c r="D10307" t="inlineStr">
        <is>
          <t>VÄSTERBOTTENS LÄN</t>
        </is>
      </c>
      <c r="E10307" t="inlineStr">
        <is>
          <t>NORDMALING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36477-2024</t>
        </is>
      </c>
      <c r="B10308" s="1" t="n">
        <v>45537.36497685185</v>
      </c>
      <c r="C10308" s="1" t="n">
        <v>45971</v>
      </c>
      <c r="D10308" t="inlineStr">
        <is>
          <t>VÄSTERBOTTENS LÄN</t>
        </is>
      </c>
      <c r="E10308" t="inlineStr">
        <is>
          <t>ROBERTSFORS</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35598-2025</t>
        </is>
      </c>
      <c r="B10309" s="1" t="n">
        <v>45858.7578125</v>
      </c>
      <c r="C10309" s="1" t="n">
        <v>45971</v>
      </c>
      <c r="D10309" t="inlineStr">
        <is>
          <t>VÄSTERBOTTENS LÄN</t>
        </is>
      </c>
      <c r="E10309" t="inlineStr">
        <is>
          <t>NORSJÖ</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36480-2024</t>
        </is>
      </c>
      <c r="B10310" s="1" t="n">
        <v>45537</v>
      </c>
      <c r="C10310" s="1" t="n">
        <v>45971</v>
      </c>
      <c r="D10310" t="inlineStr">
        <is>
          <t>VÄSTERBOTTENS LÄN</t>
        </is>
      </c>
      <c r="E10310" t="inlineStr">
        <is>
          <t>BJURHOLM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7683-2024</t>
        </is>
      </c>
      <c r="B10311" s="1" t="n">
        <v>45348</v>
      </c>
      <c r="C10311" s="1" t="n">
        <v>45971</v>
      </c>
      <c r="D10311" t="inlineStr">
        <is>
          <t>VÄSTERBOTTENS LÄN</t>
        </is>
      </c>
      <c r="E10311" t="inlineStr">
        <is>
          <t>BJURHOLM</t>
        </is>
      </c>
      <c r="G10311" t="n">
        <v>11.5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35633-2025</t>
        </is>
      </c>
      <c r="B10312" s="1" t="n">
        <v>45859.45072916667</v>
      </c>
      <c r="C10312" s="1" t="n">
        <v>45971</v>
      </c>
      <c r="D10312" t="inlineStr">
        <is>
          <t>VÄSTERBOTTENS LÄN</t>
        </is>
      </c>
      <c r="E10312" t="inlineStr">
        <is>
          <t>SKELLEFTEÅ</t>
        </is>
      </c>
      <c r="F10312" t="inlineStr">
        <is>
          <t>Holmen skog AB</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7728-2024</t>
        </is>
      </c>
      <c r="B10313" s="1" t="n">
        <v>45348</v>
      </c>
      <c r="C10313" s="1" t="n">
        <v>45971</v>
      </c>
      <c r="D10313" t="inlineStr">
        <is>
          <t>VÄSTERBOTTENS LÄN</t>
        </is>
      </c>
      <c r="E10313" t="inlineStr">
        <is>
          <t>BJURHOLM</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20997-2024</t>
        </is>
      </c>
      <c r="B10314" s="1" t="n">
        <v>45439.61412037037</v>
      </c>
      <c r="C10314" s="1" t="n">
        <v>45971</v>
      </c>
      <c r="D10314" t="inlineStr">
        <is>
          <t>VÄSTERBOTTENS LÄN</t>
        </is>
      </c>
      <c r="E10314" t="inlineStr">
        <is>
          <t>NORSJÖ</t>
        </is>
      </c>
      <c r="F10314" t="inlineStr">
        <is>
          <t>Holmen skog AB</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35662-2025</t>
        </is>
      </c>
      <c r="B10315" s="1" t="n">
        <v>45859.61498842593</v>
      </c>
      <c r="C10315" s="1" t="n">
        <v>45971</v>
      </c>
      <c r="D10315" t="inlineStr">
        <is>
          <t>VÄSTERBOTTENS LÄN</t>
        </is>
      </c>
      <c r="E10315" t="inlineStr">
        <is>
          <t>LYCKSELE</t>
        </is>
      </c>
      <c r="F10315" t="inlineStr">
        <is>
          <t>Sveaskog</t>
        </is>
      </c>
      <c r="G10315" t="n">
        <v>20.8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35701-2025</t>
        </is>
      </c>
      <c r="B10316" s="1" t="n">
        <v>45860.35930555555</v>
      </c>
      <c r="C10316" s="1" t="n">
        <v>45971</v>
      </c>
      <c r="D10316" t="inlineStr">
        <is>
          <t>VÄSTERBOTTENS LÄN</t>
        </is>
      </c>
      <c r="E10316" t="inlineStr">
        <is>
          <t>SORSELE</t>
        </is>
      </c>
      <c r="F10316" t="inlineStr">
        <is>
          <t>Sveaskog</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47007-2024</t>
        </is>
      </c>
      <c r="B10317" s="1" t="n">
        <v>45586.38399305556</v>
      </c>
      <c r="C10317" s="1" t="n">
        <v>45971</v>
      </c>
      <c r="D10317" t="inlineStr">
        <is>
          <t>VÄSTERBOTTENS LÄN</t>
        </is>
      </c>
      <c r="E10317" t="inlineStr">
        <is>
          <t>SKELLEFTEÅ</t>
        </is>
      </c>
      <c r="G10317" t="n">
        <v>22.2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36800-2024</t>
        </is>
      </c>
      <c r="B10318" s="1" t="n">
        <v>45538.45694444444</v>
      </c>
      <c r="C10318" s="1" t="n">
        <v>45971</v>
      </c>
      <c r="D10318" t="inlineStr">
        <is>
          <t>VÄSTERBOTTENS LÄN</t>
        </is>
      </c>
      <c r="E10318" t="inlineStr">
        <is>
          <t>SKELLEFTEÅ</t>
        </is>
      </c>
      <c r="F10318" t="inlineStr">
        <is>
          <t>Sveaskog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55264-2024</t>
        </is>
      </c>
      <c r="B10319" s="1" t="n">
        <v>45620</v>
      </c>
      <c r="C10319" s="1" t="n">
        <v>45971</v>
      </c>
      <c r="D10319" t="inlineStr">
        <is>
          <t>VÄSTERBOTTENS LÄN</t>
        </is>
      </c>
      <c r="E10319" t="inlineStr">
        <is>
          <t>NORSJÖ</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45364-2025</t>
        </is>
      </c>
      <c r="B10320" s="1" t="n">
        <v>45922.38574074074</v>
      </c>
      <c r="C10320" s="1" t="n">
        <v>45971</v>
      </c>
      <c r="D10320" t="inlineStr">
        <is>
          <t>VÄSTERBOTTENS LÄN</t>
        </is>
      </c>
      <c r="E10320" t="inlineStr">
        <is>
          <t>SKELLEFTEÅ</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45393-2025</t>
        </is>
      </c>
      <c r="B10321" s="1" t="n">
        <v>45922.40796296296</v>
      </c>
      <c r="C10321" s="1" t="n">
        <v>45971</v>
      </c>
      <c r="D10321" t="inlineStr">
        <is>
          <t>VÄSTERBOTTENS LÄN</t>
        </is>
      </c>
      <c r="E10321" t="inlineStr">
        <is>
          <t>SKELLEFTEÅ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45395-2025</t>
        </is>
      </c>
      <c r="B10322" s="1" t="n">
        <v>45922.40936342593</v>
      </c>
      <c r="C10322" s="1" t="n">
        <v>45971</v>
      </c>
      <c r="D10322" t="inlineStr">
        <is>
          <t>VÄSTERBOTTENS LÄN</t>
        </is>
      </c>
      <c r="E10322" t="inlineStr">
        <is>
          <t>SORSELE</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45399-2025</t>
        </is>
      </c>
      <c r="B10323" s="1" t="n">
        <v>45922.42104166667</v>
      </c>
      <c r="C10323" s="1" t="n">
        <v>45971</v>
      </c>
      <c r="D10323" t="inlineStr">
        <is>
          <t>VÄSTERBOTTENS LÄN</t>
        </is>
      </c>
      <c r="E10323" t="inlineStr">
        <is>
          <t>ÅSELE</t>
        </is>
      </c>
      <c r="F10323" t="inlineStr">
        <is>
          <t>Holmen skog AB</t>
        </is>
      </c>
      <c r="G10323" t="n">
        <v>17.7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1136-2025</t>
        </is>
      </c>
      <c r="B10324" s="1" t="n">
        <v>45666</v>
      </c>
      <c r="C10324" s="1" t="n">
        <v>45971</v>
      </c>
      <c r="D10324" t="inlineStr">
        <is>
          <t>VÄSTERBOTTENS LÄN</t>
        </is>
      </c>
      <c r="E10324" t="inlineStr">
        <is>
          <t>ÅSELE</t>
        </is>
      </c>
      <c r="G10324" t="n">
        <v>18.6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1947-2022</t>
        </is>
      </c>
      <c r="B10325" s="1" t="n">
        <v>44575</v>
      </c>
      <c r="C10325" s="1" t="n">
        <v>45971</v>
      </c>
      <c r="D10325" t="inlineStr">
        <is>
          <t>VÄSTERBOTTENS LÄN</t>
        </is>
      </c>
      <c r="E10325" t="inlineStr">
        <is>
          <t>MALÅ</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52791-2025</t>
        </is>
      </c>
      <c r="B10326" s="1" t="n">
        <v>45957</v>
      </c>
      <c r="C10326" s="1" t="n">
        <v>45971</v>
      </c>
      <c r="D10326" t="inlineStr">
        <is>
          <t>VÄSTERBOTTENS LÄN</t>
        </is>
      </c>
      <c r="E10326" t="inlineStr">
        <is>
          <t>LYCKSELE</t>
        </is>
      </c>
      <c r="F10326" t="inlineStr">
        <is>
          <t>Naturvårdsverket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54164-2025</t>
        </is>
      </c>
      <c r="B10327" s="1" t="n">
        <v>45964.51108796296</v>
      </c>
      <c r="C10327" s="1" t="n">
        <v>45971</v>
      </c>
      <c r="D10327" t="inlineStr">
        <is>
          <t>VÄSTERBOTTENS LÄN</t>
        </is>
      </c>
      <c r="E10327" t="inlineStr">
        <is>
          <t>VINDELN</t>
        </is>
      </c>
      <c r="F10327" t="inlineStr">
        <is>
          <t>SCA</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35628-2025</t>
        </is>
      </c>
      <c r="B10328" s="1" t="n">
        <v>45859.44616898148</v>
      </c>
      <c r="C10328" s="1" t="n">
        <v>45971</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1922-2023</t>
        </is>
      </c>
      <c r="B10329" s="1" t="n">
        <v>44938</v>
      </c>
      <c r="C10329" s="1" t="n">
        <v>45971</v>
      </c>
      <c r="D10329" t="inlineStr">
        <is>
          <t>VÄSTERBOTTENS LÄN</t>
        </is>
      </c>
      <c r="E10329" t="inlineStr">
        <is>
          <t>ROBERTSFORS</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29651-2024</t>
        </is>
      </c>
      <c r="B10330" s="1" t="n">
        <v>45484.85026620371</v>
      </c>
      <c r="C10330" s="1" t="n">
        <v>45971</v>
      </c>
      <c r="D10330" t="inlineStr">
        <is>
          <t>VÄSTERBOTTENS LÄN</t>
        </is>
      </c>
      <c r="E10330" t="inlineStr">
        <is>
          <t>VINDELN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5563-2025</t>
        </is>
      </c>
      <c r="B10331" s="1" t="n">
        <v>45693</v>
      </c>
      <c r="C10331" s="1" t="n">
        <v>45971</v>
      </c>
      <c r="D10331" t="inlineStr">
        <is>
          <t>VÄSTERBOTTENS LÄN</t>
        </is>
      </c>
      <c r="E10331" t="inlineStr">
        <is>
          <t>SKELLEFTEÅ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53824-2025</t>
        </is>
      </c>
      <c r="B10332" s="1" t="n">
        <v>45961.33986111111</v>
      </c>
      <c r="C10332" s="1" t="n">
        <v>45971</v>
      </c>
      <c r="D10332" t="inlineStr">
        <is>
          <t>VÄSTERBOTTENS LÄN</t>
        </is>
      </c>
      <c r="E10332" t="inlineStr">
        <is>
          <t>ROBERTSFORS</t>
        </is>
      </c>
      <c r="F10332" t="inlineStr">
        <is>
          <t>Holmen skog AB</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45392-2025</t>
        </is>
      </c>
      <c r="B10333" s="1" t="n">
        <v>45922.40791666666</v>
      </c>
      <c r="C10333" s="1" t="n">
        <v>45971</v>
      </c>
      <c r="D10333" t="inlineStr">
        <is>
          <t>VÄSTERBOTTENS LÄN</t>
        </is>
      </c>
      <c r="E10333" t="inlineStr">
        <is>
          <t>SKELLEFTEÅ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7418-2024</t>
        </is>
      </c>
      <c r="B10334" s="1" t="n">
        <v>45345</v>
      </c>
      <c r="C10334" s="1" t="n">
        <v>45971</v>
      </c>
      <c r="D10334" t="inlineStr">
        <is>
          <t>VÄSTERBOTTENS LÄN</t>
        </is>
      </c>
      <c r="E10334" t="inlineStr">
        <is>
          <t>BJURHOLM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55888-2022</t>
        </is>
      </c>
      <c r="B10335" s="1" t="n">
        <v>44888</v>
      </c>
      <c r="C10335" s="1" t="n">
        <v>45971</v>
      </c>
      <c r="D10335" t="inlineStr">
        <is>
          <t>VÄSTERBOTTENS LÄN</t>
        </is>
      </c>
      <c r="E10335" t="inlineStr">
        <is>
          <t>DOROTEA</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7437-2024</t>
        </is>
      </c>
      <c r="B10336" s="1" t="n">
        <v>45345</v>
      </c>
      <c r="C10336" s="1" t="n">
        <v>45971</v>
      </c>
      <c r="D10336" t="inlineStr">
        <is>
          <t>VÄSTERBOTTENS LÄN</t>
        </is>
      </c>
      <c r="E10336" t="inlineStr">
        <is>
          <t>UMEÅ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35723-2025</t>
        </is>
      </c>
      <c r="B10337" s="1" t="n">
        <v>45860.44605324074</v>
      </c>
      <c r="C10337" s="1" t="n">
        <v>45971</v>
      </c>
      <c r="D10337" t="inlineStr">
        <is>
          <t>VÄSTERBOTTENS LÄN</t>
        </is>
      </c>
      <c r="E10337" t="inlineStr">
        <is>
          <t>MALÅ</t>
        </is>
      </c>
      <c r="F10337" t="inlineStr">
        <is>
          <t>Sveaskog</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35726-2025</t>
        </is>
      </c>
      <c r="B10338" s="1" t="n">
        <v>45860.45328703704</v>
      </c>
      <c r="C10338" s="1" t="n">
        <v>45971</v>
      </c>
      <c r="D10338" t="inlineStr">
        <is>
          <t>VÄSTERBOTTENS LÄN</t>
        </is>
      </c>
      <c r="E10338" t="inlineStr">
        <is>
          <t>MALÅ</t>
        </is>
      </c>
      <c r="F10338" t="inlineStr">
        <is>
          <t>Sveaskog</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7440-2024</t>
        </is>
      </c>
      <c r="B10339" s="1" t="n">
        <v>45345</v>
      </c>
      <c r="C10339" s="1" t="n">
        <v>45971</v>
      </c>
      <c r="D10339" t="inlineStr">
        <is>
          <t>VÄSTERBOTTENS LÄN</t>
        </is>
      </c>
      <c r="E10339" t="inlineStr">
        <is>
          <t>UMEÅ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48604-2023</t>
        </is>
      </c>
      <c r="B10340" s="1" t="n">
        <v>45202</v>
      </c>
      <c r="C10340" s="1" t="n">
        <v>45971</v>
      </c>
      <c r="D10340" t="inlineStr">
        <is>
          <t>VÄSTERBOTTENS LÄN</t>
        </is>
      </c>
      <c r="E10340" t="inlineStr">
        <is>
          <t>NORSJÖ</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35709-2025</t>
        </is>
      </c>
      <c r="B10341" s="1" t="n">
        <v>45860.37709490741</v>
      </c>
      <c r="C10341" s="1" t="n">
        <v>45971</v>
      </c>
      <c r="D10341" t="inlineStr">
        <is>
          <t>VÄSTERBOTTENS LÄN</t>
        </is>
      </c>
      <c r="E10341" t="inlineStr">
        <is>
          <t>SORSELE</t>
        </is>
      </c>
      <c r="F10341" t="inlineStr">
        <is>
          <t>Sveaskog</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53815-2025</t>
        </is>
      </c>
      <c r="B10342" s="1" t="n">
        <v>45961.28357638889</v>
      </c>
      <c r="C10342" s="1" t="n">
        <v>45971</v>
      </c>
      <c r="D10342" t="inlineStr">
        <is>
          <t>VÄSTERBOTTENS LÄN</t>
        </is>
      </c>
      <c r="E10342" t="inlineStr">
        <is>
          <t>VINDELN</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35752-2025</t>
        </is>
      </c>
      <c r="B10343" s="1" t="n">
        <v>45860.57265046296</v>
      </c>
      <c r="C10343" s="1" t="n">
        <v>45971</v>
      </c>
      <c r="D10343" t="inlineStr">
        <is>
          <t>VÄSTERBOTTENS LÄN</t>
        </is>
      </c>
      <c r="E10343" t="inlineStr">
        <is>
          <t>STORUMAN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19870-2024</t>
        </is>
      </c>
      <c r="B10344" s="1" t="n">
        <v>45433.45328703704</v>
      </c>
      <c r="C10344" s="1" t="n">
        <v>45971</v>
      </c>
      <c r="D10344" t="inlineStr">
        <is>
          <t>VÄSTERBOTTENS LÄN</t>
        </is>
      </c>
      <c r="E10344" t="inlineStr">
        <is>
          <t>NORSJÖ</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58008-2024</t>
        </is>
      </c>
      <c r="B10345" s="1" t="n">
        <v>45631.65482638889</v>
      </c>
      <c r="C10345" s="1" t="n">
        <v>45971</v>
      </c>
      <c r="D10345" t="inlineStr">
        <is>
          <t>VÄSTERBOTTENS LÄN</t>
        </is>
      </c>
      <c r="E10345" t="inlineStr">
        <is>
          <t>SKELLEFTEÅ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35679-2025</t>
        </is>
      </c>
      <c r="B10346" s="1" t="n">
        <v>45859.65673611111</v>
      </c>
      <c r="C10346" s="1" t="n">
        <v>45971</v>
      </c>
      <c r="D10346" t="inlineStr">
        <is>
          <t>VÄSTERBOTTENS LÄN</t>
        </is>
      </c>
      <c r="E10346" t="inlineStr">
        <is>
          <t>NORDMALING</t>
        </is>
      </c>
      <c r="F10346" t="inlineStr">
        <is>
          <t>SCA</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35748-2025</t>
        </is>
      </c>
      <c r="B10347" s="1" t="n">
        <v>45860.56612268519</v>
      </c>
      <c r="C10347" s="1" t="n">
        <v>45971</v>
      </c>
      <c r="D10347" t="inlineStr">
        <is>
          <t>VÄSTERBOTTENS LÄN</t>
        </is>
      </c>
      <c r="E10347" t="inlineStr">
        <is>
          <t>VINDELN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35697-2025</t>
        </is>
      </c>
      <c r="B10348" s="1" t="n">
        <v>45860.3481712963</v>
      </c>
      <c r="C10348" s="1" t="n">
        <v>45971</v>
      </c>
      <c r="D10348" t="inlineStr">
        <is>
          <t>VÄSTERBOTTENS LÄN</t>
        </is>
      </c>
      <c r="E10348" t="inlineStr">
        <is>
          <t>SORSELE</t>
        </is>
      </c>
      <c r="F10348" t="inlineStr">
        <is>
          <t>Sveaskog</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63319-2023</t>
        </is>
      </c>
      <c r="B10349" s="1" t="n">
        <v>45273</v>
      </c>
      <c r="C10349" s="1" t="n">
        <v>45971</v>
      </c>
      <c r="D10349" t="inlineStr">
        <is>
          <t>VÄSTERBOTTENS LÄN</t>
        </is>
      </c>
      <c r="E10349" t="inlineStr">
        <is>
          <t>NORSJÖ</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35729-2025</t>
        </is>
      </c>
      <c r="B10350" s="1" t="n">
        <v>45860.46461805556</v>
      </c>
      <c r="C10350" s="1" t="n">
        <v>45971</v>
      </c>
      <c r="D10350" t="inlineStr">
        <is>
          <t>VÄSTERBOTTENS LÄN</t>
        </is>
      </c>
      <c r="E10350" t="inlineStr">
        <is>
          <t>NORSJÖ</t>
        </is>
      </c>
      <c r="F10350" t="inlineStr">
        <is>
          <t>Sveaskog</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54078-2025</t>
        </is>
      </c>
      <c r="B10351" s="1" t="n">
        <v>45964.36516203704</v>
      </c>
      <c r="C10351" s="1" t="n">
        <v>45971</v>
      </c>
      <c r="D10351" t="inlineStr">
        <is>
          <t>VÄSTERBOTTENS LÄN</t>
        </is>
      </c>
      <c r="E10351" t="inlineStr">
        <is>
          <t>NORDMALING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45435-2025</t>
        </is>
      </c>
      <c r="B10352" s="1" t="n">
        <v>45922.46759259259</v>
      </c>
      <c r="C10352" s="1" t="n">
        <v>45971</v>
      </c>
      <c r="D10352" t="inlineStr">
        <is>
          <t>VÄSTERBOTTENS LÄN</t>
        </is>
      </c>
      <c r="E10352" t="inlineStr">
        <is>
          <t>VILHELMINA</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26927-2024</t>
        </is>
      </c>
      <c r="B10353" s="1" t="n">
        <v>45470.93131944445</v>
      </c>
      <c r="C10353" s="1" t="n">
        <v>45971</v>
      </c>
      <c r="D10353" t="inlineStr">
        <is>
          <t>VÄSTERBOTTENS LÄN</t>
        </is>
      </c>
      <c r="E10353" t="inlineStr">
        <is>
          <t>NORDMALING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35606-2025</t>
        </is>
      </c>
      <c r="B10354" s="1" t="n">
        <v>45859.32984953704</v>
      </c>
      <c r="C10354" s="1" t="n">
        <v>45971</v>
      </c>
      <c r="D10354" t="inlineStr">
        <is>
          <t>VÄSTERBOTTENS LÄN</t>
        </is>
      </c>
      <c r="E10354" t="inlineStr">
        <is>
          <t>LYCKSELE</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35412-2024</t>
        </is>
      </c>
      <c r="B10355" s="1" t="n">
        <v>45531.4075</v>
      </c>
      <c r="C10355" s="1" t="n">
        <v>45971</v>
      </c>
      <c r="D10355" t="inlineStr">
        <is>
          <t>VÄSTERBOTTENS LÄN</t>
        </is>
      </c>
      <c r="E10355" t="inlineStr">
        <is>
          <t>VILHELMINA</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35600-2025</t>
        </is>
      </c>
      <c r="B10356" s="1" t="n">
        <v>45858.86798611111</v>
      </c>
      <c r="C10356" s="1" t="n">
        <v>45971</v>
      </c>
      <c r="D10356" t="inlineStr">
        <is>
          <t>VÄSTERBOTTENS LÄN</t>
        </is>
      </c>
      <c r="E10356" t="inlineStr">
        <is>
          <t>NORDMALING</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11971-2025</t>
        </is>
      </c>
      <c r="B10357" s="1" t="n">
        <v>45728</v>
      </c>
      <c r="C10357" s="1" t="n">
        <v>45971</v>
      </c>
      <c r="D10357" t="inlineStr">
        <is>
          <t>VÄSTERBOTTENS LÄN</t>
        </is>
      </c>
      <c r="E10357" t="inlineStr">
        <is>
          <t>SKELLEFTEÅ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35630-2025</t>
        </is>
      </c>
      <c r="B10358" s="1" t="n">
        <v>45859.44861111111</v>
      </c>
      <c r="C10358" s="1" t="n">
        <v>45971</v>
      </c>
      <c r="D10358" t="inlineStr">
        <is>
          <t>VÄSTERBOTTENS LÄN</t>
        </is>
      </c>
      <c r="E10358" t="inlineStr">
        <is>
          <t>DOROTEA</t>
        </is>
      </c>
      <c r="F10358" t="inlineStr">
        <is>
          <t>SCA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35631-2025</t>
        </is>
      </c>
      <c r="B10359" s="1" t="n">
        <v>45859.44880787037</v>
      </c>
      <c r="C10359" s="1" t="n">
        <v>45971</v>
      </c>
      <c r="D10359" t="inlineStr">
        <is>
          <t>VÄSTERBOTTENS LÄN</t>
        </is>
      </c>
      <c r="E10359" t="inlineStr">
        <is>
          <t>DOROTEA</t>
        </is>
      </c>
      <c r="F10359" t="inlineStr">
        <is>
          <t>SCA</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35772-2025</t>
        </is>
      </c>
      <c r="B10360" s="1" t="n">
        <v>45860.67483796296</v>
      </c>
      <c r="C10360" s="1" t="n">
        <v>45971</v>
      </c>
      <c r="D10360" t="inlineStr">
        <is>
          <t>VÄSTERBOTTENS LÄN</t>
        </is>
      </c>
      <c r="E10360" t="inlineStr">
        <is>
          <t>SKELLEFTEÅ</t>
        </is>
      </c>
      <c r="F10360" t="inlineStr">
        <is>
          <t>Holmen skog AB</t>
        </is>
      </c>
      <c r="G10360" t="n">
        <v>12.4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54105-2025</t>
        </is>
      </c>
      <c r="B10361" s="1" t="n">
        <v>45964.42788194444</v>
      </c>
      <c r="C10361" s="1" t="n">
        <v>45971</v>
      </c>
      <c r="D10361" t="inlineStr">
        <is>
          <t>VÄSTERBOTTENS LÄN</t>
        </is>
      </c>
      <c r="E10361" t="inlineStr">
        <is>
          <t>NORDMALING</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54109-2025</t>
        </is>
      </c>
      <c r="B10362" s="1" t="n">
        <v>45964.43076388889</v>
      </c>
      <c r="C10362" s="1" t="n">
        <v>45971</v>
      </c>
      <c r="D10362" t="inlineStr">
        <is>
          <t>VÄSTERBOTTENS LÄN</t>
        </is>
      </c>
      <c r="E10362" t="inlineStr">
        <is>
          <t>SKELLEFTEÅ</t>
        </is>
      </c>
      <c r="F10362" t="inlineStr">
        <is>
          <t>Holmen skog AB</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22782-2025</t>
        </is>
      </c>
      <c r="B10363" s="1" t="n">
        <v>45789.63767361111</v>
      </c>
      <c r="C10363" s="1" t="n">
        <v>45971</v>
      </c>
      <c r="D10363" t="inlineStr">
        <is>
          <t>VÄSTERBOTTENS LÄN</t>
        </is>
      </c>
      <c r="E10363" t="inlineStr">
        <is>
          <t>ROBERTSFORS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53976-2025</t>
        </is>
      </c>
      <c r="B10364" s="1" t="n">
        <v>45961.55366898148</v>
      </c>
      <c r="C10364" s="1" t="n">
        <v>45971</v>
      </c>
      <c r="D10364" t="inlineStr">
        <is>
          <t>VÄSTERBOTTENS LÄN</t>
        </is>
      </c>
      <c r="E10364" t="inlineStr">
        <is>
          <t>NORDMALING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53994-2025</t>
        </is>
      </c>
      <c r="B10365" s="1" t="n">
        <v>45961.5853125</v>
      </c>
      <c r="C10365" s="1" t="n">
        <v>45971</v>
      </c>
      <c r="D10365" t="inlineStr">
        <is>
          <t>VÄSTERBOTTENS LÄN</t>
        </is>
      </c>
      <c r="E10365" t="inlineStr">
        <is>
          <t>LYCKSELE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45504-2025</t>
        </is>
      </c>
      <c r="B10366" s="1" t="n">
        <v>45922</v>
      </c>
      <c r="C10366" s="1" t="n">
        <v>45971</v>
      </c>
      <c r="D10366" t="inlineStr">
        <is>
          <t>VÄSTERBOTTENS LÄN</t>
        </is>
      </c>
      <c r="E10366" t="inlineStr">
        <is>
          <t>ÅSELE</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51418-2023</t>
        </is>
      </c>
      <c r="B10367" s="1" t="n">
        <v>45219</v>
      </c>
      <c r="C10367" s="1" t="n">
        <v>45971</v>
      </c>
      <c r="D10367" t="inlineStr">
        <is>
          <t>VÄSTERBOTTENS LÄN</t>
        </is>
      </c>
      <c r="E10367" t="inlineStr">
        <is>
          <t>SKELLEFTEÅ</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12855-2025</t>
        </is>
      </c>
      <c r="B10368" s="1" t="n">
        <v>45733.66163194444</v>
      </c>
      <c r="C10368" s="1" t="n">
        <v>45971</v>
      </c>
      <c r="D10368" t="inlineStr">
        <is>
          <t>VÄSTERBOTTENS LÄN</t>
        </is>
      </c>
      <c r="E10368" t="inlineStr">
        <is>
          <t>SKELLEFTEÅ</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14961-2022</t>
        </is>
      </c>
      <c r="B10369" s="1" t="n">
        <v>44657</v>
      </c>
      <c r="C10369" s="1" t="n">
        <v>45971</v>
      </c>
      <c r="D10369" t="inlineStr">
        <is>
          <t>VÄSTERBOTTENS LÄN</t>
        </is>
      </c>
      <c r="E10369" t="inlineStr">
        <is>
          <t>VILHELMINA</t>
        </is>
      </c>
      <c r="G10369" t="n">
        <v>19.9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44375-2023</t>
        </is>
      </c>
      <c r="B10370" s="1" t="n">
        <v>45188.9247800926</v>
      </c>
      <c r="C10370" s="1" t="n">
        <v>45971</v>
      </c>
      <c r="D10370" t="inlineStr">
        <is>
          <t>VÄSTERBOTTENS LÄN</t>
        </is>
      </c>
      <c r="E10370" t="inlineStr">
        <is>
          <t>LYCKSELE</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60557-2023</t>
        </is>
      </c>
      <c r="B10371" s="1" t="n">
        <v>45259</v>
      </c>
      <c r="C10371" s="1" t="n">
        <v>45971</v>
      </c>
      <c r="D10371" t="inlineStr">
        <is>
          <t>VÄSTERBOTTENS LÄN</t>
        </is>
      </c>
      <c r="E10371" t="inlineStr">
        <is>
          <t>VÄNNÄS</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45487-2025</t>
        </is>
      </c>
      <c r="B10372" s="1" t="n">
        <v>45922.55172453704</v>
      </c>
      <c r="C10372" s="1" t="n">
        <v>45971</v>
      </c>
      <c r="D10372" t="inlineStr">
        <is>
          <t>VÄSTERBOTTENS LÄN</t>
        </is>
      </c>
      <c r="E10372" t="inlineStr">
        <is>
          <t>UMEÅ</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36588-2024</t>
        </is>
      </c>
      <c r="B10373" s="1" t="n">
        <v>45537</v>
      </c>
      <c r="C10373" s="1" t="n">
        <v>45971</v>
      </c>
      <c r="D10373" t="inlineStr">
        <is>
          <t>VÄSTERBOTTENS LÄN</t>
        </is>
      </c>
      <c r="E10373" t="inlineStr">
        <is>
          <t>VINDELN</t>
        </is>
      </c>
      <c r="F10373" t="inlineStr">
        <is>
          <t>Sveaskog</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36594-2024</t>
        </is>
      </c>
      <c r="B10374" s="1" t="n">
        <v>45537</v>
      </c>
      <c r="C10374" s="1" t="n">
        <v>45971</v>
      </c>
      <c r="D10374" t="inlineStr">
        <is>
          <t>VÄSTERBOTTENS LÄN</t>
        </is>
      </c>
      <c r="E10374" t="inlineStr">
        <is>
          <t>BJURHOLM</t>
        </is>
      </c>
      <c r="G10374" t="n">
        <v>17.7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35671-2025</t>
        </is>
      </c>
      <c r="B10375" s="1" t="n">
        <v>45859.62431712963</v>
      </c>
      <c r="C10375" s="1" t="n">
        <v>45971</v>
      </c>
      <c r="D10375" t="inlineStr">
        <is>
          <t>VÄSTERBOTTENS LÄN</t>
        </is>
      </c>
      <c r="E10375" t="inlineStr">
        <is>
          <t>LYCKSELE</t>
        </is>
      </c>
      <c r="F10375" t="inlineStr">
        <is>
          <t>Sveaskog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61553-2023</t>
        </is>
      </c>
      <c r="B10376" s="1" t="n">
        <v>45261</v>
      </c>
      <c r="C10376" s="1" t="n">
        <v>45971</v>
      </c>
      <c r="D10376" t="inlineStr">
        <is>
          <t>VÄSTERBOTTENS LÄN</t>
        </is>
      </c>
      <c r="E10376" t="inlineStr">
        <is>
          <t>ROBERTSFORS</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24181-2025</t>
        </is>
      </c>
      <c r="B10377" s="1" t="n">
        <v>45796.78885416667</v>
      </c>
      <c r="C10377" s="1" t="n">
        <v>45971</v>
      </c>
      <c r="D10377" t="inlineStr">
        <is>
          <t>VÄSTERBOTTENS LÄN</t>
        </is>
      </c>
      <c r="E10377" t="inlineStr">
        <is>
          <t>SKELLEFTEÅ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35625-2024</t>
        </is>
      </c>
      <c r="B10378" s="1" t="n">
        <v>45531.73709490741</v>
      </c>
      <c r="C10378" s="1" t="n">
        <v>45971</v>
      </c>
      <c r="D10378" t="inlineStr">
        <is>
          <t>VÄSTERBOTTENS LÄN</t>
        </is>
      </c>
      <c r="E10378" t="inlineStr">
        <is>
          <t>UMEÅ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45144-2025</t>
        </is>
      </c>
      <c r="B10379" s="1" t="n">
        <v>45919.46461805556</v>
      </c>
      <c r="C10379" s="1" t="n">
        <v>45971</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45168-2025</t>
        </is>
      </c>
      <c r="B10380" s="1" t="n">
        <v>45919.49429398148</v>
      </c>
      <c r="C10380" s="1" t="n">
        <v>45971</v>
      </c>
      <c r="D10380" t="inlineStr">
        <is>
          <t>VÄSTERBOTTENS LÄN</t>
        </is>
      </c>
      <c r="E10380" t="inlineStr">
        <is>
          <t>BJURHOLM</t>
        </is>
      </c>
      <c r="G10380" t="n">
        <v>18.5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62877-2023</t>
        </is>
      </c>
      <c r="B10381" s="1" t="n">
        <v>45271</v>
      </c>
      <c r="C10381" s="1" t="n">
        <v>45971</v>
      </c>
      <c r="D10381" t="inlineStr">
        <is>
          <t>VÄSTERBOTTENS LÄN</t>
        </is>
      </c>
      <c r="E10381" t="inlineStr">
        <is>
          <t>LYCKSELE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44634-2024</t>
        </is>
      </c>
      <c r="B10382" s="1" t="n">
        <v>45574</v>
      </c>
      <c r="C10382" s="1" t="n">
        <v>45971</v>
      </c>
      <c r="D10382" t="inlineStr">
        <is>
          <t>VÄSTERBOTTENS LÄN</t>
        </is>
      </c>
      <c r="E10382" t="inlineStr">
        <is>
          <t>VILHELMINA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45499-2025</t>
        </is>
      </c>
      <c r="B10383" s="1" t="n">
        <v>45922.56931712963</v>
      </c>
      <c r="C10383" s="1" t="n">
        <v>45971</v>
      </c>
      <c r="D10383" t="inlineStr">
        <is>
          <t>VÄSTERBOTTENS LÄN</t>
        </is>
      </c>
      <c r="E10383" t="inlineStr">
        <is>
          <t>ROBERTSFORS</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45172-2025</t>
        </is>
      </c>
      <c r="B10384" s="1" t="n">
        <v>45919.5108912037</v>
      </c>
      <c r="C10384" s="1" t="n">
        <v>45971</v>
      </c>
      <c r="D10384" t="inlineStr">
        <is>
          <t>VÄSTERBOTTENS LÄN</t>
        </is>
      </c>
      <c r="E10384" t="inlineStr">
        <is>
          <t>NORDMALING</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25690-2025</t>
        </is>
      </c>
      <c r="B10385" s="1" t="n">
        <v>45803.66153935185</v>
      </c>
      <c r="C10385" s="1" t="n">
        <v>45971</v>
      </c>
      <c r="D10385" t="inlineStr">
        <is>
          <t>VÄSTERBOTTENS LÄN</t>
        </is>
      </c>
      <c r="E10385" t="inlineStr">
        <is>
          <t>UMEÅ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42823-2024</t>
        </is>
      </c>
      <c r="B10386" s="1" t="n">
        <v>45566</v>
      </c>
      <c r="C10386" s="1" t="n">
        <v>45971</v>
      </c>
      <c r="D10386" t="inlineStr">
        <is>
          <t>VÄSTERBOTTENS LÄN</t>
        </is>
      </c>
      <c r="E10386" t="inlineStr">
        <is>
          <t>NORDMALING</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12694-2025</t>
        </is>
      </c>
      <c r="B10387" s="1" t="n">
        <v>45733.46015046296</v>
      </c>
      <c r="C10387" s="1" t="n">
        <v>45971</v>
      </c>
      <c r="D10387" t="inlineStr">
        <is>
          <t>VÄSTERBOTTENS LÄN</t>
        </is>
      </c>
      <c r="E10387" t="inlineStr">
        <is>
          <t>SKELLEFTEÅ</t>
        </is>
      </c>
      <c r="F10387" t="inlineStr">
        <is>
          <t>Kommuner</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35841-2025</t>
        </is>
      </c>
      <c r="B10388" s="1" t="n">
        <v>45861.55245370371</v>
      </c>
      <c r="C10388" s="1" t="n">
        <v>45971</v>
      </c>
      <c r="D10388" t="inlineStr">
        <is>
          <t>VÄSTERBOTTENS LÄN</t>
        </is>
      </c>
      <c r="E10388" t="inlineStr">
        <is>
          <t>LYCKSELE</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35848-2025</t>
        </is>
      </c>
      <c r="B10389" s="1" t="n">
        <v>45861.58435185185</v>
      </c>
      <c r="C10389" s="1" t="n">
        <v>45971</v>
      </c>
      <c r="D10389" t="inlineStr">
        <is>
          <t>VÄSTERBOTTENS LÄN</t>
        </is>
      </c>
      <c r="E10389" t="inlineStr">
        <is>
          <t>MALÅ</t>
        </is>
      </c>
      <c r="F10389" t="inlineStr">
        <is>
          <t>Sveaskog</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35851-2025</t>
        </is>
      </c>
      <c r="B10390" s="1" t="n">
        <v>45861.60244212963</v>
      </c>
      <c r="C10390" s="1" t="n">
        <v>45971</v>
      </c>
      <c r="D10390" t="inlineStr">
        <is>
          <t>VÄSTERBOTTENS LÄN</t>
        </is>
      </c>
      <c r="E10390" t="inlineStr">
        <is>
          <t>MALÅ</t>
        </is>
      </c>
      <c r="F10390" t="inlineStr">
        <is>
          <t>Sveaskog</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15613-2025</t>
        </is>
      </c>
      <c r="B10391" s="1" t="n">
        <v>45748.35021990741</v>
      </c>
      <c r="C10391" s="1" t="n">
        <v>45971</v>
      </c>
      <c r="D10391" t="inlineStr">
        <is>
          <t>VÄSTERBOTTENS LÄN</t>
        </is>
      </c>
      <c r="E10391" t="inlineStr">
        <is>
          <t>VINDELN</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35888-2025</t>
        </is>
      </c>
      <c r="B10392" s="1" t="n">
        <v>45862.44034722223</v>
      </c>
      <c r="C10392" s="1" t="n">
        <v>45971</v>
      </c>
      <c r="D10392" t="inlineStr">
        <is>
          <t>VÄSTERBOTTENS LÄN</t>
        </is>
      </c>
      <c r="E10392" t="inlineStr">
        <is>
          <t>VILHELMINA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35834-2025</t>
        </is>
      </c>
      <c r="B10393" s="1" t="n">
        <v>45861.53163194445</v>
      </c>
      <c r="C10393" s="1" t="n">
        <v>45971</v>
      </c>
      <c r="D10393" t="inlineStr">
        <is>
          <t>VÄSTERBOTTENS LÄN</t>
        </is>
      </c>
      <c r="E10393" t="inlineStr">
        <is>
          <t>VINDELN</t>
        </is>
      </c>
      <c r="F10393" t="inlineStr">
        <is>
          <t>SCA</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37023-2024</t>
        </is>
      </c>
      <c r="B10394" s="1" t="n">
        <v>45539</v>
      </c>
      <c r="C10394" s="1" t="n">
        <v>45971</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54123-2025</t>
        </is>
      </c>
      <c r="B10395" s="1" t="n">
        <v>45964.4562037037</v>
      </c>
      <c r="C10395" s="1" t="n">
        <v>45971</v>
      </c>
      <c r="D10395" t="inlineStr">
        <is>
          <t>VÄSTERBOTTENS LÄN</t>
        </is>
      </c>
      <c r="E10395" t="inlineStr">
        <is>
          <t>BJURHOLM</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35844-2025</t>
        </is>
      </c>
      <c r="B10396" s="1" t="n">
        <v>45861.55707175926</v>
      </c>
      <c r="C10396" s="1" t="n">
        <v>45971</v>
      </c>
      <c r="D10396" t="inlineStr">
        <is>
          <t>VÄSTERBOTTENS LÄN</t>
        </is>
      </c>
      <c r="E10396" t="inlineStr">
        <is>
          <t>MALÅ</t>
        </is>
      </c>
      <c r="F10396" t="inlineStr">
        <is>
          <t>Sveaskog</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34399-2024</t>
        </is>
      </c>
      <c r="B10397" s="1" t="n">
        <v>45525</v>
      </c>
      <c r="C10397" s="1" t="n">
        <v>45971</v>
      </c>
      <c r="D10397" t="inlineStr">
        <is>
          <t>VÄSTERBOTTENS LÄN</t>
        </is>
      </c>
      <c r="E10397" t="inlineStr">
        <is>
          <t>STORUMAN</t>
        </is>
      </c>
      <c r="F10397" t="inlineStr">
        <is>
          <t>Övriga statliga verk och myndigheter</t>
        </is>
      </c>
      <c r="G10397" t="n">
        <v>10.6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35833-2025</t>
        </is>
      </c>
      <c r="B10398" s="1" t="n">
        <v>45861.51261574074</v>
      </c>
      <c r="C10398" s="1" t="n">
        <v>45971</v>
      </c>
      <c r="D10398" t="inlineStr">
        <is>
          <t>VÄSTERBOTTENS LÄN</t>
        </is>
      </c>
      <c r="E10398" t="inlineStr">
        <is>
          <t>LYCKSELE</t>
        </is>
      </c>
      <c r="F10398" t="inlineStr">
        <is>
          <t>Sveaskog</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39220-2024</t>
        </is>
      </c>
      <c r="B10399" s="1" t="n">
        <v>45549</v>
      </c>
      <c r="C10399" s="1" t="n">
        <v>45971</v>
      </c>
      <c r="D10399" t="inlineStr">
        <is>
          <t>VÄSTERBOTTENS LÄN</t>
        </is>
      </c>
      <c r="E10399" t="inlineStr">
        <is>
          <t>VÄNNÄS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35842-2025</t>
        </is>
      </c>
      <c r="B10400" s="1" t="n">
        <v>45861.55259259259</v>
      </c>
      <c r="C10400" s="1" t="n">
        <v>45971</v>
      </c>
      <c r="D10400" t="inlineStr">
        <is>
          <t>VÄSTERBOTTENS LÄN</t>
        </is>
      </c>
      <c r="E10400" t="inlineStr">
        <is>
          <t>VINDELN</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22548-2023</t>
        </is>
      </c>
      <c r="B10401" s="1" t="n">
        <v>45069</v>
      </c>
      <c r="C10401" s="1" t="n">
        <v>45971</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53937-2025</t>
        </is>
      </c>
      <c r="B10402" s="1" t="n">
        <v>45960</v>
      </c>
      <c r="C10402" s="1" t="n">
        <v>45971</v>
      </c>
      <c r="D10402" t="inlineStr">
        <is>
          <t>VÄSTERBOTTENS LÄN</t>
        </is>
      </c>
      <c r="E10402" t="inlineStr">
        <is>
          <t>LYCKSELE</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54729-2024</t>
        </is>
      </c>
      <c r="B10403" s="1" t="n">
        <v>45618.43826388889</v>
      </c>
      <c r="C10403" s="1" t="n">
        <v>45971</v>
      </c>
      <c r="D10403" t="inlineStr">
        <is>
          <t>VÄSTERBOTTENS LÄN</t>
        </is>
      </c>
      <c r="E10403" t="inlineStr">
        <is>
          <t>ÅSELE</t>
        </is>
      </c>
      <c r="F10403" t="inlineStr">
        <is>
          <t>SCA</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53816-2025</t>
        </is>
      </c>
      <c r="B10404" s="1" t="n">
        <v>45961.28778935185</v>
      </c>
      <c r="C10404" s="1" t="n">
        <v>45971</v>
      </c>
      <c r="D10404" t="inlineStr">
        <is>
          <t>VÄSTERBOTTENS LÄN</t>
        </is>
      </c>
      <c r="E10404" t="inlineStr">
        <is>
          <t>VINDELN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35887-2025</t>
        </is>
      </c>
      <c r="B10405" s="1" t="n">
        <v>45862.43923611111</v>
      </c>
      <c r="C10405" s="1" t="n">
        <v>45971</v>
      </c>
      <c r="D10405" t="inlineStr">
        <is>
          <t>VÄSTERBOTTENS LÄN</t>
        </is>
      </c>
      <c r="E10405" t="inlineStr">
        <is>
          <t>SKELLEFTEÅ</t>
        </is>
      </c>
      <c r="F10405" t="inlineStr">
        <is>
          <t>Holmen skog AB</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35886-2025</t>
        </is>
      </c>
      <c r="B10406" s="1" t="n">
        <v>45862</v>
      </c>
      <c r="C10406" s="1" t="n">
        <v>45971</v>
      </c>
      <c r="D10406" t="inlineStr">
        <is>
          <t>VÄSTERBOTTENS LÄN</t>
        </is>
      </c>
      <c r="E10406" t="inlineStr">
        <is>
          <t>VILHELMINA</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54730-2024</t>
        </is>
      </c>
      <c r="B10407" s="1" t="n">
        <v>45618.4383912037</v>
      </c>
      <c r="C10407" s="1" t="n">
        <v>45971</v>
      </c>
      <c r="D10407" t="inlineStr">
        <is>
          <t>VÄSTERBOTTENS LÄN</t>
        </is>
      </c>
      <c r="E10407" t="inlineStr">
        <is>
          <t>NORDMALING</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35732-2023</t>
        </is>
      </c>
      <c r="B10408" s="1" t="n">
        <v>45147</v>
      </c>
      <c r="C10408" s="1" t="n">
        <v>45971</v>
      </c>
      <c r="D10408" t="inlineStr">
        <is>
          <t>VÄSTERBOTTENS LÄN</t>
        </is>
      </c>
      <c r="E10408" t="inlineStr">
        <is>
          <t>SKELLEFTEÅ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35860-2025</t>
        </is>
      </c>
      <c r="B10409" s="1" t="n">
        <v>45861.63883101852</v>
      </c>
      <c r="C10409" s="1" t="n">
        <v>45971</v>
      </c>
      <c r="D10409" t="inlineStr">
        <is>
          <t>VÄSTERBOTTENS LÄN</t>
        </is>
      </c>
      <c r="E10409" t="inlineStr">
        <is>
          <t>LYCKSELE</t>
        </is>
      </c>
      <c r="F10409" t="inlineStr">
        <is>
          <t>Holmen skog AB</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45365-2025</t>
        </is>
      </c>
      <c r="B10410" s="1" t="n">
        <v>45922.38581018519</v>
      </c>
      <c r="C10410" s="1" t="n">
        <v>45971</v>
      </c>
      <c r="D10410" t="inlineStr">
        <is>
          <t>VÄSTERBOTTENS LÄN</t>
        </is>
      </c>
      <c r="E10410" t="inlineStr">
        <is>
          <t>SKELLEFTEÅ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45409-2025</t>
        </is>
      </c>
      <c r="B10411" s="1" t="n">
        <v>45922.43385416667</v>
      </c>
      <c r="C10411" s="1" t="n">
        <v>45971</v>
      </c>
      <c r="D10411" t="inlineStr">
        <is>
          <t>VÄSTERBOTTENS LÄN</t>
        </is>
      </c>
      <c r="E10411" t="inlineStr">
        <is>
          <t>SKELLEFTEÅ</t>
        </is>
      </c>
      <c r="F10411" t="inlineStr">
        <is>
          <t>Holmen skog AB</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52693-2024</t>
        </is>
      </c>
      <c r="B10412" s="1" t="n">
        <v>45610.39756944445</v>
      </c>
      <c r="C10412" s="1" t="n">
        <v>45971</v>
      </c>
      <c r="D10412" t="inlineStr">
        <is>
          <t>VÄSTERBOTTENS LÄN</t>
        </is>
      </c>
      <c r="E10412" t="inlineStr">
        <is>
          <t>SKELLEFTEÅ</t>
        </is>
      </c>
      <c r="F10412" t="inlineStr">
        <is>
          <t>Holmen skog AB</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48379-2024</t>
        </is>
      </c>
      <c r="B10413" s="1" t="n">
        <v>45590.58554398148</v>
      </c>
      <c r="C10413" s="1" t="n">
        <v>45971</v>
      </c>
      <c r="D10413" t="inlineStr">
        <is>
          <t>VÄSTERBOTTENS LÄN</t>
        </is>
      </c>
      <c r="E10413" t="inlineStr">
        <is>
          <t>LYCKSELE</t>
        </is>
      </c>
      <c r="F10413" t="inlineStr">
        <is>
          <t>Sveaskog</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47135-2023</t>
        </is>
      </c>
      <c r="B10414" s="1" t="n">
        <v>45196</v>
      </c>
      <c r="C10414" s="1" t="n">
        <v>45971</v>
      </c>
      <c r="D10414" t="inlineStr">
        <is>
          <t>VÄSTERBOTTENS LÄN</t>
        </is>
      </c>
      <c r="E10414" t="inlineStr">
        <is>
          <t>STORUMAN</t>
        </is>
      </c>
      <c r="G10414" t="n">
        <v>30.4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35923-2025</t>
        </is>
      </c>
      <c r="B10415" s="1" t="n">
        <v>45862.57084490741</v>
      </c>
      <c r="C10415" s="1" t="n">
        <v>45971</v>
      </c>
      <c r="D10415" t="inlineStr">
        <is>
          <t>VÄSTERBOTTENS LÄN</t>
        </is>
      </c>
      <c r="E10415" t="inlineStr">
        <is>
          <t>SKELLEFTEÅ</t>
        </is>
      </c>
      <c r="F10415" t="inlineStr">
        <is>
          <t>Holmen skog AB</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45971</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35811-2025</t>
        </is>
      </c>
      <c r="B10417" s="1" t="n">
        <v>45861.43084490741</v>
      </c>
      <c r="C10417" s="1" t="n">
        <v>45971</v>
      </c>
      <c r="D10417" t="inlineStr">
        <is>
          <t>VÄSTERBOTTENS LÄN</t>
        </is>
      </c>
      <c r="E10417" t="inlineStr">
        <is>
          <t>SKELLEFTEÅ</t>
        </is>
      </c>
      <c r="F10417" t="inlineStr">
        <is>
          <t>Holmen skog AB</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35920-2025</t>
        </is>
      </c>
      <c r="B10418" s="1" t="n">
        <v>45862.56438657407</v>
      </c>
      <c r="C10418" s="1" t="n">
        <v>45971</v>
      </c>
      <c r="D10418" t="inlineStr">
        <is>
          <t>VÄSTERBOTTENS LÄN</t>
        </is>
      </c>
      <c r="E10418" t="inlineStr">
        <is>
          <t>LYCKSELE</t>
        </is>
      </c>
      <c r="F10418" t="inlineStr">
        <is>
          <t>Holmen skog AB</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35925-2025</t>
        </is>
      </c>
      <c r="B10419" s="1" t="n">
        <v>45862.5902662037</v>
      </c>
      <c r="C10419" s="1" t="n">
        <v>45971</v>
      </c>
      <c r="D10419" t="inlineStr">
        <is>
          <t>VÄSTERBOTTENS LÄN</t>
        </is>
      </c>
      <c r="E10419" t="inlineStr">
        <is>
          <t>SKELLEFTEÅ</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35852-2025</t>
        </is>
      </c>
      <c r="B10420" s="1" t="n">
        <v>45861.60447916666</v>
      </c>
      <c r="C10420" s="1" t="n">
        <v>45971</v>
      </c>
      <c r="D10420" t="inlineStr">
        <is>
          <t>VÄSTERBOTTENS LÄN</t>
        </is>
      </c>
      <c r="E10420" t="inlineStr">
        <is>
          <t>MALÅ</t>
        </is>
      </c>
      <c r="F10420" t="inlineStr">
        <is>
          <t>Sveaskog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35853-2025</t>
        </is>
      </c>
      <c r="B10421" s="1" t="n">
        <v>45861.61166666666</v>
      </c>
      <c r="C10421" s="1" t="n">
        <v>45971</v>
      </c>
      <c r="D10421" t="inlineStr">
        <is>
          <t>VÄSTERBOTTENS LÄN</t>
        </is>
      </c>
      <c r="E10421" t="inlineStr">
        <is>
          <t>MALÅ</t>
        </is>
      </c>
      <c r="F10421" t="inlineStr">
        <is>
          <t>Sveaskog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5541-2025</t>
        </is>
      </c>
      <c r="B10422" s="1" t="n">
        <v>45693.45158564814</v>
      </c>
      <c r="C10422" s="1" t="n">
        <v>45971</v>
      </c>
      <c r="D10422" t="inlineStr">
        <is>
          <t>VÄSTERBOTTENS LÄN</t>
        </is>
      </c>
      <c r="E10422" t="inlineStr">
        <is>
          <t>BJURHOLM</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18392-2022</t>
        </is>
      </c>
      <c r="B10423" s="1" t="n">
        <v>44685</v>
      </c>
      <c r="C10423" s="1" t="n">
        <v>45971</v>
      </c>
      <c r="D10423" t="inlineStr">
        <is>
          <t>VÄSTERBOTTENS LÄN</t>
        </is>
      </c>
      <c r="E10423" t="inlineStr">
        <is>
          <t>VINDELN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41320-2024</t>
        </is>
      </c>
      <c r="B10424" s="1" t="n">
        <v>45559</v>
      </c>
      <c r="C10424" s="1" t="n">
        <v>45971</v>
      </c>
      <c r="D10424" t="inlineStr">
        <is>
          <t>VÄSTERBOTTENS LÄN</t>
        </is>
      </c>
      <c r="E10424" t="inlineStr">
        <is>
          <t>SKELLEFTEÅ</t>
        </is>
      </c>
      <c r="G10424" t="n">
        <v>24.7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25683-2025</t>
        </is>
      </c>
      <c r="B10425" s="1" t="n">
        <v>45803.65159722222</v>
      </c>
      <c r="C10425" s="1" t="n">
        <v>45971</v>
      </c>
      <c r="D10425" t="inlineStr">
        <is>
          <t>VÄSTERBOTTENS LÄN</t>
        </is>
      </c>
      <c r="E10425" t="inlineStr">
        <is>
          <t>UMEÅ</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35845-2025</t>
        </is>
      </c>
      <c r="B10426" s="1" t="n">
        <v>45861.56920138889</v>
      </c>
      <c r="C10426" s="1" t="n">
        <v>45971</v>
      </c>
      <c r="D10426" t="inlineStr">
        <is>
          <t>VÄSTERBOTTENS LÄN</t>
        </is>
      </c>
      <c r="E10426" t="inlineStr">
        <is>
          <t>MALÅ</t>
        </is>
      </c>
      <c r="F10426" t="inlineStr">
        <is>
          <t>Sveaskog</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35850-2025</t>
        </is>
      </c>
      <c r="B10427" s="1" t="n">
        <v>45861.5971875</v>
      </c>
      <c r="C10427" s="1" t="n">
        <v>45971</v>
      </c>
      <c r="D10427" t="inlineStr">
        <is>
          <t>VÄSTERBOTTENS LÄN</t>
        </is>
      </c>
      <c r="E10427" t="inlineStr">
        <is>
          <t>MALÅ</t>
        </is>
      </c>
      <c r="F10427" t="inlineStr">
        <is>
          <t>Sveaskog</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35856-2025</t>
        </is>
      </c>
      <c r="B10428" s="1" t="n">
        <v>45861.61929398148</v>
      </c>
      <c r="C10428" s="1" t="n">
        <v>45971</v>
      </c>
      <c r="D10428" t="inlineStr">
        <is>
          <t>VÄSTERBOTTENS LÄN</t>
        </is>
      </c>
      <c r="E10428" t="inlineStr">
        <is>
          <t>MALÅ</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66952-2021</t>
        </is>
      </c>
      <c r="B10429" s="1" t="n">
        <v>44522</v>
      </c>
      <c r="C10429" s="1" t="n">
        <v>45971</v>
      </c>
      <c r="D10429" t="inlineStr">
        <is>
          <t>VÄSTERBOTTENS LÄN</t>
        </is>
      </c>
      <c r="E10429" t="inlineStr">
        <is>
          <t>VILHELMINA</t>
        </is>
      </c>
      <c r="F10429" t="inlineStr">
        <is>
          <t>Allmännings- och besparingsskogar</t>
        </is>
      </c>
      <c r="G10429" t="n">
        <v>70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35914-2025</t>
        </is>
      </c>
      <c r="B10430" s="1" t="n">
        <v>45862.5441087963</v>
      </c>
      <c r="C10430" s="1" t="n">
        <v>45971</v>
      </c>
      <c r="D10430" t="inlineStr">
        <is>
          <t>VÄSTERBOTTENS LÄN</t>
        </is>
      </c>
      <c r="E10430" t="inlineStr">
        <is>
          <t>SKELLEFTEÅ</t>
        </is>
      </c>
      <c r="F10430" t="inlineStr">
        <is>
          <t>Holmen skog AB</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46065-2022</t>
        </is>
      </c>
      <c r="B10431" s="1" t="n">
        <v>44844</v>
      </c>
      <c r="C10431" s="1" t="n">
        <v>45971</v>
      </c>
      <c r="D10431" t="inlineStr">
        <is>
          <t>VÄSTERBOTTENS LÄN</t>
        </is>
      </c>
      <c r="E10431" t="inlineStr">
        <is>
          <t>STORUMAN</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54243-2025</t>
        </is>
      </c>
      <c r="B10432" s="1" t="n">
        <v>45964.63417824074</v>
      </c>
      <c r="C10432" s="1" t="n">
        <v>45971</v>
      </c>
      <c r="D10432" t="inlineStr">
        <is>
          <t>VÄSTERBOTTENS LÄN</t>
        </is>
      </c>
      <c r="E10432" t="inlineStr">
        <is>
          <t>VÄNNÄS</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35972-2025</t>
        </is>
      </c>
      <c r="B10433" s="1" t="n">
        <v>45863.42079861111</v>
      </c>
      <c r="C10433" s="1" t="n">
        <v>45971</v>
      </c>
      <c r="D10433" t="inlineStr">
        <is>
          <t>VÄSTERBOTTENS LÄN</t>
        </is>
      </c>
      <c r="E10433" t="inlineStr">
        <is>
          <t>VINDELN</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53806-2025</t>
        </is>
      </c>
      <c r="B10434" s="1" t="n">
        <v>45960.83863425926</v>
      </c>
      <c r="C10434" s="1" t="n">
        <v>45971</v>
      </c>
      <c r="D10434" t="inlineStr">
        <is>
          <t>VÄSTERBOTTENS LÄN</t>
        </is>
      </c>
      <c r="E10434" t="inlineStr">
        <is>
          <t>ROBERTSFORS</t>
        </is>
      </c>
      <c r="F10434" t="inlineStr">
        <is>
          <t>Holmen skog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35992-2025</t>
        </is>
      </c>
      <c r="B10435" s="1" t="n">
        <v>45863.4765162037</v>
      </c>
      <c r="C10435" s="1" t="n">
        <v>45971</v>
      </c>
      <c r="D10435" t="inlineStr">
        <is>
          <t>VÄSTERBOTTENS LÄN</t>
        </is>
      </c>
      <c r="E10435" t="inlineStr">
        <is>
          <t>STORUMAN</t>
        </is>
      </c>
      <c r="F10435" t="inlineStr">
        <is>
          <t>Holmen skog AB</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3096-2021</t>
        </is>
      </c>
      <c r="B10436" s="1" t="n">
        <v>44216.93865740741</v>
      </c>
      <c r="C10436" s="1" t="n">
        <v>45971</v>
      </c>
      <c r="D10436" t="inlineStr">
        <is>
          <t>VÄSTERBOTTENS LÄN</t>
        </is>
      </c>
      <c r="E10436" t="inlineStr">
        <is>
          <t>VILHELMINA</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45296-2025</t>
        </is>
      </c>
      <c r="B10437" s="1" t="n">
        <v>45920.82388888889</v>
      </c>
      <c r="C10437" s="1" t="n">
        <v>45971</v>
      </c>
      <c r="D10437" t="inlineStr">
        <is>
          <t>VÄSTERBOTTENS LÄN</t>
        </is>
      </c>
      <c r="E10437" t="inlineStr">
        <is>
          <t>BJURHOLM</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36056-2025</t>
        </is>
      </c>
      <c r="B10438" s="1" t="n">
        <v>45866.39083333333</v>
      </c>
      <c r="C10438" s="1" t="n">
        <v>45971</v>
      </c>
      <c r="D10438" t="inlineStr">
        <is>
          <t>VÄSTERBOTTENS LÄN</t>
        </is>
      </c>
      <c r="E10438" t="inlineStr">
        <is>
          <t>UMEÅ</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36084-2025</t>
        </is>
      </c>
      <c r="B10439" s="1" t="n">
        <v>45866.460625</v>
      </c>
      <c r="C10439" s="1" t="n">
        <v>45971</v>
      </c>
      <c r="D10439" t="inlineStr">
        <is>
          <t>VÄSTERBOTTENS LÄN</t>
        </is>
      </c>
      <c r="E10439" t="inlineStr">
        <is>
          <t>UMEÅ</t>
        </is>
      </c>
      <c r="F10439" t="inlineStr">
        <is>
          <t>Holmen skog AB</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36114-2025</t>
        </is>
      </c>
      <c r="B10440" s="1" t="n">
        <v>45866.57740740741</v>
      </c>
      <c r="C10440" s="1" t="n">
        <v>45971</v>
      </c>
      <c r="D10440" t="inlineStr">
        <is>
          <t>VÄSTERBOTTENS LÄN</t>
        </is>
      </c>
      <c r="E10440" t="inlineStr">
        <is>
          <t>UMEÅ</t>
        </is>
      </c>
      <c r="F10440" t="inlineStr">
        <is>
          <t>Holmen skog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36124-2025</t>
        </is>
      </c>
      <c r="B10441" s="1" t="n">
        <v>45866.61493055556</v>
      </c>
      <c r="C10441" s="1" t="n">
        <v>45971</v>
      </c>
      <c r="D10441" t="inlineStr">
        <is>
          <t>VÄSTERBOTTENS LÄN</t>
        </is>
      </c>
      <c r="E10441" t="inlineStr">
        <is>
          <t>LYCKSELE</t>
        </is>
      </c>
      <c r="F10441" t="inlineStr">
        <is>
          <t>SCA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43875-2023</t>
        </is>
      </c>
      <c r="B10442" s="1" t="n">
        <v>45187.64328703703</v>
      </c>
      <c r="C10442" s="1" t="n">
        <v>45971</v>
      </c>
      <c r="D10442" t="inlineStr">
        <is>
          <t>VÄSTERBOTTENS LÄN</t>
        </is>
      </c>
      <c r="E10442" t="inlineStr">
        <is>
          <t>LYCKSELE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47482-2024</t>
        </is>
      </c>
      <c r="B10443" s="1" t="n">
        <v>45587.5822337963</v>
      </c>
      <c r="C10443" s="1" t="n">
        <v>45971</v>
      </c>
      <c r="D10443" t="inlineStr">
        <is>
          <t>VÄSTERBOTTENS LÄN</t>
        </is>
      </c>
      <c r="E10443" t="inlineStr">
        <is>
          <t>NORDMALING</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42410-2023</t>
        </is>
      </c>
      <c r="B10444" s="1" t="n">
        <v>45180</v>
      </c>
      <c r="C10444" s="1" t="n">
        <v>45971</v>
      </c>
      <c r="D10444" t="inlineStr">
        <is>
          <t>VÄSTERBOTTENS LÄN</t>
        </is>
      </c>
      <c r="E10444" t="inlineStr">
        <is>
          <t>MALÅ</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35954-2025</t>
        </is>
      </c>
      <c r="B10445" s="1" t="n">
        <v>45863.31778935185</v>
      </c>
      <c r="C10445" s="1" t="n">
        <v>45971</v>
      </c>
      <c r="D10445" t="inlineStr">
        <is>
          <t>VÄSTERBOTTENS LÄN</t>
        </is>
      </c>
      <c r="E10445" t="inlineStr">
        <is>
          <t>SKELLEFTEÅ</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26000-2023</t>
        </is>
      </c>
      <c r="B10446" s="1" t="n">
        <v>45090</v>
      </c>
      <c r="C10446" s="1" t="n">
        <v>45971</v>
      </c>
      <c r="D10446" t="inlineStr">
        <is>
          <t>VÄSTERBOTTENS LÄN</t>
        </is>
      </c>
      <c r="E10446" t="inlineStr">
        <is>
          <t>VILHELMINA</t>
        </is>
      </c>
      <c r="F10446" t="inlineStr">
        <is>
          <t>SCA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64956-2020</t>
        </is>
      </c>
      <c r="B10447" s="1" t="n">
        <v>44167</v>
      </c>
      <c r="C10447" s="1" t="n">
        <v>45971</v>
      </c>
      <c r="D10447" t="inlineStr">
        <is>
          <t>VÄSTERBOTTENS LÄN</t>
        </is>
      </c>
      <c r="E10447" t="inlineStr">
        <is>
          <t>VINDELN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64977-2020</t>
        </is>
      </c>
      <c r="B10448" s="1" t="n">
        <v>44167</v>
      </c>
      <c r="C10448" s="1" t="n">
        <v>45971</v>
      </c>
      <c r="D10448" t="inlineStr">
        <is>
          <t>VÄSTERBOTTENS LÄN</t>
        </is>
      </c>
      <c r="E10448" t="inlineStr">
        <is>
          <t>SKELLEFTEÅ</t>
        </is>
      </c>
      <c r="G10448" t="n">
        <v>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35988-2025</t>
        </is>
      </c>
      <c r="B10449" s="1" t="n">
        <v>45863.46273148148</v>
      </c>
      <c r="C10449" s="1" t="n">
        <v>45971</v>
      </c>
      <c r="D10449" t="inlineStr">
        <is>
          <t>VÄSTERBOTTENS LÄN</t>
        </is>
      </c>
      <c r="E10449" t="inlineStr">
        <is>
          <t>SKELLEFTEÅ</t>
        </is>
      </c>
      <c r="F10449" t="inlineStr">
        <is>
          <t>Holmen skog AB</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36125-2025</t>
        </is>
      </c>
      <c r="B10450" s="1" t="n">
        <v>45866.61515046296</v>
      </c>
      <c r="C10450" s="1" t="n">
        <v>45971</v>
      </c>
      <c r="D10450" t="inlineStr">
        <is>
          <t>VÄSTERBOTTENS LÄN</t>
        </is>
      </c>
      <c r="E10450" t="inlineStr">
        <is>
          <t>DOROTEA</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23840-2024</t>
        </is>
      </c>
      <c r="B10451" s="1" t="n">
        <v>45455</v>
      </c>
      <c r="C10451" s="1" t="n">
        <v>45971</v>
      </c>
      <c r="D10451" t="inlineStr">
        <is>
          <t>VÄSTERBOTTENS LÄN</t>
        </is>
      </c>
      <c r="E10451" t="inlineStr">
        <is>
          <t>UMEÅ</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54064-2025</t>
        </is>
      </c>
      <c r="B10452" s="1" t="n">
        <v>45964.33495370371</v>
      </c>
      <c r="C10452" s="1" t="n">
        <v>45971</v>
      </c>
      <c r="D10452" t="inlineStr">
        <is>
          <t>VÄSTERBOTTENS LÄN</t>
        </is>
      </c>
      <c r="E10452" t="inlineStr">
        <is>
          <t>MALÅ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51222-2022</t>
        </is>
      </c>
      <c r="B10453" s="1" t="n">
        <v>44868.63834490741</v>
      </c>
      <c r="C10453" s="1" t="n">
        <v>45971</v>
      </c>
      <c r="D10453" t="inlineStr">
        <is>
          <t>VÄSTERBOTTENS LÄN</t>
        </is>
      </c>
      <c r="E10453" t="inlineStr">
        <is>
          <t>SKELLEFTEÅ</t>
        </is>
      </c>
      <c r="F10453" t="inlineStr">
        <is>
          <t>Holmen skog AB</t>
        </is>
      </c>
      <c r="G10453" t="n">
        <v>16.4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25099-2025</t>
        </is>
      </c>
      <c r="B10454" s="1" t="n">
        <v>45800</v>
      </c>
      <c r="C10454" s="1" t="n">
        <v>45971</v>
      </c>
      <c r="D10454" t="inlineStr">
        <is>
          <t>VÄSTERBOTTENS LÄN</t>
        </is>
      </c>
      <c r="E10454" t="inlineStr">
        <is>
          <t>BJURHOLM</t>
        </is>
      </c>
      <c r="F10454" t="inlineStr">
        <is>
          <t>SCA</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54102-2025</t>
        </is>
      </c>
      <c r="B10455" s="1" t="n">
        <v>45964.42568287037</v>
      </c>
      <c r="C10455" s="1" t="n">
        <v>45971</v>
      </c>
      <c r="D10455" t="inlineStr">
        <is>
          <t>VÄSTERBOTTENS LÄN</t>
        </is>
      </c>
      <c r="E10455" t="inlineStr">
        <is>
          <t>SKELLEFTEÅ</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54108-2025</t>
        </is>
      </c>
      <c r="B10456" s="1" t="n">
        <v>45964.43061342592</v>
      </c>
      <c r="C10456" s="1" t="n">
        <v>45971</v>
      </c>
      <c r="D10456" t="inlineStr">
        <is>
          <t>VÄSTERBOTTENS LÄN</t>
        </is>
      </c>
      <c r="E10456" t="inlineStr">
        <is>
          <t>SKELLEFTEÅ</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54974-2024</t>
        </is>
      </c>
      <c r="B10457" s="1" t="n">
        <v>45620.67599537037</v>
      </c>
      <c r="C10457" s="1" t="n">
        <v>45971</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45326-2025</t>
        </is>
      </c>
      <c r="B10458" s="1" t="n">
        <v>45922.32254629629</v>
      </c>
      <c r="C10458" s="1" t="n">
        <v>45971</v>
      </c>
      <c r="D10458" t="inlineStr">
        <is>
          <t>VÄSTERBOTTENS LÄN</t>
        </is>
      </c>
      <c r="E10458" t="inlineStr">
        <is>
          <t>NORDMALING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36077-2025</t>
        </is>
      </c>
      <c r="B10459" s="1" t="n">
        <v>45866.44303240741</v>
      </c>
      <c r="C10459" s="1" t="n">
        <v>45971</v>
      </c>
      <c r="D10459" t="inlineStr">
        <is>
          <t>VÄSTERBOTTENS LÄN</t>
        </is>
      </c>
      <c r="E10459" t="inlineStr">
        <is>
          <t>NORDMALING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41667-2024</t>
        </is>
      </c>
      <c r="B10460" s="1" t="n">
        <v>45560</v>
      </c>
      <c r="C10460" s="1" t="n">
        <v>45971</v>
      </c>
      <c r="D10460" t="inlineStr">
        <is>
          <t>VÄSTERBOTTENS LÄN</t>
        </is>
      </c>
      <c r="E10460" t="inlineStr">
        <is>
          <t>VINDELN</t>
        </is>
      </c>
      <c r="F10460" t="inlineStr">
        <is>
          <t>Holmen skog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35983-2025</t>
        </is>
      </c>
      <c r="B10461" s="1" t="n">
        <v>45863.44965277778</v>
      </c>
      <c r="C10461" s="1" t="n">
        <v>45971</v>
      </c>
      <c r="D10461" t="inlineStr">
        <is>
          <t>VÄSTERBOTTENS LÄN</t>
        </is>
      </c>
      <c r="E10461" t="inlineStr">
        <is>
          <t>ÅSELE</t>
        </is>
      </c>
      <c r="F10461" t="inlineStr">
        <is>
          <t>Holmen skog AB</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34714-2023</t>
        </is>
      </c>
      <c r="B10462" s="1" t="n">
        <v>45141.32886574074</v>
      </c>
      <c r="C10462" s="1" t="n">
        <v>45971</v>
      </c>
      <c r="D10462" t="inlineStr">
        <is>
          <t>VÄSTERBOTTENS LÄN</t>
        </is>
      </c>
      <c r="E10462" t="inlineStr">
        <is>
          <t>BJURHOLM</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30743-2023</t>
        </is>
      </c>
      <c r="B10463" s="1" t="n">
        <v>45112.6362037037</v>
      </c>
      <c r="C10463" s="1" t="n">
        <v>45971</v>
      </c>
      <c r="D10463" t="inlineStr">
        <is>
          <t>VÄSTERBOTTENS LÄN</t>
        </is>
      </c>
      <c r="E10463" t="inlineStr">
        <is>
          <t>SKELLEFTEÅ</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35976-2025</t>
        </is>
      </c>
      <c r="B10464" s="1" t="n">
        <v>45863.44001157407</v>
      </c>
      <c r="C10464" s="1" t="n">
        <v>45971</v>
      </c>
      <c r="D10464" t="inlineStr">
        <is>
          <t>VÄSTERBOTTENS LÄN</t>
        </is>
      </c>
      <c r="E10464" t="inlineStr">
        <is>
          <t>ÅSELE</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35989-2025</t>
        </is>
      </c>
      <c r="B10465" s="1" t="n">
        <v>45863.46831018518</v>
      </c>
      <c r="C10465" s="1" t="n">
        <v>45971</v>
      </c>
      <c r="D10465" t="inlineStr">
        <is>
          <t>VÄSTERBOTTENS LÄN</t>
        </is>
      </c>
      <c r="E10465" t="inlineStr">
        <is>
          <t>STORUMAN</t>
        </is>
      </c>
      <c r="F10465" t="inlineStr">
        <is>
          <t>Holmen skog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35990-2025</t>
        </is>
      </c>
      <c r="B10466" s="1" t="n">
        <v>45863.47090277778</v>
      </c>
      <c r="C10466" s="1" t="n">
        <v>45971</v>
      </c>
      <c r="D10466" t="inlineStr">
        <is>
          <t>VÄSTERBOTTENS LÄN</t>
        </is>
      </c>
      <c r="E10466" t="inlineStr">
        <is>
          <t>LYCKSELE</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20340-2025</t>
        </is>
      </c>
      <c r="B10467" s="1" t="n">
        <v>45775.36581018518</v>
      </c>
      <c r="C10467" s="1" t="n">
        <v>45971</v>
      </c>
      <c r="D10467" t="inlineStr">
        <is>
          <t>VÄSTERBOTTENS LÄN</t>
        </is>
      </c>
      <c r="E10467" t="inlineStr">
        <is>
          <t>SKELLEFTEÅ</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1233-2025</t>
        </is>
      </c>
      <c r="B10468" s="1" t="n">
        <v>45667.44528935185</v>
      </c>
      <c r="C10468" s="1" t="n">
        <v>45971</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36111-2025</t>
        </is>
      </c>
      <c r="B10469" s="1" t="n">
        <v>45866.57357638889</v>
      </c>
      <c r="C10469" s="1" t="n">
        <v>45971</v>
      </c>
      <c r="D10469" t="inlineStr">
        <is>
          <t>VÄSTERBOTTENS LÄN</t>
        </is>
      </c>
      <c r="E10469" t="inlineStr">
        <is>
          <t>DOROTEA</t>
        </is>
      </c>
      <c r="F10469" t="inlineStr">
        <is>
          <t>SCA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54169-2024</t>
        </is>
      </c>
      <c r="B10470" s="1" t="n">
        <v>45616.625</v>
      </c>
      <c r="C10470" s="1" t="n">
        <v>45971</v>
      </c>
      <c r="D10470" t="inlineStr">
        <is>
          <t>VÄSTERBOTTENS LÄN</t>
        </is>
      </c>
      <c r="E10470" t="inlineStr">
        <is>
          <t>NORDMALING</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36088-2025</t>
        </is>
      </c>
      <c r="B10471" s="1" t="n">
        <v>45866.47144675926</v>
      </c>
      <c r="C10471" s="1" t="n">
        <v>45971</v>
      </c>
      <c r="D10471" t="inlineStr">
        <is>
          <t>VÄSTERBOTTENS LÄN</t>
        </is>
      </c>
      <c r="E10471" t="inlineStr">
        <is>
          <t>NORDMALING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14991-2021</t>
        </is>
      </c>
      <c r="B10472" s="1" t="n">
        <v>44281</v>
      </c>
      <c r="C10472" s="1" t="n">
        <v>45971</v>
      </c>
      <c r="D10472" t="inlineStr">
        <is>
          <t>VÄSTERBOTTENS LÄN</t>
        </is>
      </c>
      <c r="E10472" t="inlineStr">
        <is>
          <t>VINDELN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57788-2023</t>
        </is>
      </c>
      <c r="B10473" s="1" t="n">
        <v>45246</v>
      </c>
      <c r="C10473" s="1" t="n">
        <v>45971</v>
      </c>
      <c r="D10473" t="inlineStr">
        <is>
          <t>VÄSTERBOTTENS LÄN</t>
        </is>
      </c>
      <c r="E10473" t="inlineStr">
        <is>
          <t>ÅSELE</t>
        </is>
      </c>
      <c r="F10473" t="inlineStr">
        <is>
          <t>SCA</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36096-2025</t>
        </is>
      </c>
      <c r="B10474" s="1" t="n">
        <v>45866.49025462963</v>
      </c>
      <c r="C10474" s="1" t="n">
        <v>45971</v>
      </c>
      <c r="D10474" t="inlineStr">
        <is>
          <t>VÄSTERBOTTENS LÄN</t>
        </is>
      </c>
      <c r="E10474" t="inlineStr">
        <is>
          <t>DOROTEA</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36129-2025</t>
        </is>
      </c>
      <c r="B10475" s="1" t="n">
        <v>45866.62015046296</v>
      </c>
      <c r="C10475" s="1" t="n">
        <v>45971</v>
      </c>
      <c r="D10475" t="inlineStr">
        <is>
          <t>VÄSTERBOTTENS LÄN</t>
        </is>
      </c>
      <c r="E10475" t="inlineStr">
        <is>
          <t>NORDMALING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57794-2023</t>
        </is>
      </c>
      <c r="B10476" s="1" t="n">
        <v>45246.96853009259</v>
      </c>
      <c r="C10476" s="1" t="n">
        <v>45971</v>
      </c>
      <c r="D10476" t="inlineStr">
        <is>
          <t>VÄSTERBOTTENS LÄN</t>
        </is>
      </c>
      <c r="E10476" t="inlineStr">
        <is>
          <t>DOROTEA</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9879-2022</t>
        </is>
      </c>
      <c r="B10477" s="1" t="n">
        <v>44620</v>
      </c>
      <c r="C10477" s="1" t="n">
        <v>45971</v>
      </c>
      <c r="D10477" t="inlineStr">
        <is>
          <t>VÄSTERBOTTENS LÄN</t>
        </is>
      </c>
      <c r="E10477" t="inlineStr">
        <is>
          <t>LYCKSELE</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41525-2023</t>
        </is>
      </c>
      <c r="B10478" s="1" t="n">
        <v>45173</v>
      </c>
      <c r="C10478" s="1" t="n">
        <v>45971</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35951-2025</t>
        </is>
      </c>
      <c r="B10479" s="1" t="n">
        <v>45863.30952546297</v>
      </c>
      <c r="C10479" s="1" t="n">
        <v>45971</v>
      </c>
      <c r="D10479" t="inlineStr">
        <is>
          <t>VÄSTERBOTTENS LÄN</t>
        </is>
      </c>
      <c r="E10479" t="inlineStr">
        <is>
          <t>SKELLEFTEÅ</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21726-2021</t>
        </is>
      </c>
      <c r="B10480" s="1" t="n">
        <v>44322</v>
      </c>
      <c r="C10480" s="1" t="n">
        <v>45971</v>
      </c>
      <c r="D10480" t="inlineStr">
        <is>
          <t>VÄSTERBOTTENS LÄN</t>
        </is>
      </c>
      <c r="E10480" t="inlineStr">
        <is>
          <t>VILHELMINA</t>
        </is>
      </c>
      <c r="G10480" t="n">
        <v>19.6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53401-2025</t>
        </is>
      </c>
      <c r="B10481" s="1" t="n">
        <v>45959.56778935185</v>
      </c>
      <c r="C10481" s="1" t="n">
        <v>45971</v>
      </c>
      <c r="D10481" t="inlineStr">
        <is>
          <t>VÄSTERBOTTENS LÄN</t>
        </is>
      </c>
      <c r="E10481" t="inlineStr">
        <is>
          <t>LYCKSELE</t>
        </is>
      </c>
      <c r="F10481" t="inlineStr">
        <is>
          <t>Sveaskog</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51949-2025</t>
        </is>
      </c>
      <c r="B10482" s="1" t="n">
        <v>45952</v>
      </c>
      <c r="C10482" s="1" t="n">
        <v>45971</v>
      </c>
      <c r="D10482" t="inlineStr">
        <is>
          <t>VÄSTERBOTTENS LÄN</t>
        </is>
      </c>
      <c r="E10482" t="inlineStr">
        <is>
          <t>STORUMAN</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62743-2023</t>
        </is>
      </c>
      <c r="B10483" s="1" t="n">
        <v>45271.61415509259</v>
      </c>
      <c r="C10483" s="1" t="n">
        <v>45971</v>
      </c>
      <c r="D10483" t="inlineStr">
        <is>
          <t>VÄSTERBOTTENS LÄN</t>
        </is>
      </c>
      <c r="E10483" t="inlineStr">
        <is>
          <t>NORSJÖ</t>
        </is>
      </c>
      <c r="F10483" t="inlineStr">
        <is>
          <t>Holmen skog AB</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36104-2025</t>
        </is>
      </c>
      <c r="B10484" s="1" t="n">
        <v>45866.55498842592</v>
      </c>
      <c r="C10484" s="1" t="n">
        <v>45971</v>
      </c>
      <c r="D10484" t="inlineStr">
        <is>
          <t>VÄSTERBOTTENS LÄN</t>
        </is>
      </c>
      <c r="E10484" t="inlineStr">
        <is>
          <t>BJURHOLM</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36546-2024</t>
        </is>
      </c>
      <c r="B10485" s="1" t="n">
        <v>45537</v>
      </c>
      <c r="C10485" s="1" t="n">
        <v>45971</v>
      </c>
      <c r="D10485" t="inlineStr">
        <is>
          <t>VÄSTERBOTTENS LÄN</t>
        </is>
      </c>
      <c r="E10485" t="inlineStr">
        <is>
          <t>SKELLEFTEÅ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26038-2025</t>
        </is>
      </c>
      <c r="B10486" s="1" t="n">
        <v>45804</v>
      </c>
      <c r="C10486" s="1" t="n">
        <v>45971</v>
      </c>
      <c r="D10486" t="inlineStr">
        <is>
          <t>VÄSTERBOTTENS LÄN</t>
        </is>
      </c>
      <c r="E10486" t="inlineStr">
        <is>
          <t>SORSELE</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54689-2025</t>
        </is>
      </c>
      <c r="B10487" s="1" t="n">
        <v>45966.45277777778</v>
      </c>
      <c r="C10487" s="1" t="n">
        <v>45971</v>
      </c>
      <c r="D10487" t="inlineStr">
        <is>
          <t>VÄSTERBOTTENS LÄN</t>
        </is>
      </c>
      <c r="E10487" t="inlineStr">
        <is>
          <t>STORUMAN</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54693-2025</t>
        </is>
      </c>
      <c r="B10488" s="1" t="n">
        <v>45966.46192129629</v>
      </c>
      <c r="C10488" s="1" t="n">
        <v>45971</v>
      </c>
      <c r="D10488" t="inlineStr">
        <is>
          <t>VÄSTERBOTTENS LÄN</t>
        </is>
      </c>
      <c r="E10488" t="inlineStr">
        <is>
          <t>UMEÅ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26034-2025</t>
        </is>
      </c>
      <c r="B10489" s="1" t="n">
        <v>45804</v>
      </c>
      <c r="C10489" s="1" t="n">
        <v>45971</v>
      </c>
      <c r="D10489" t="inlineStr">
        <is>
          <t>VÄSTERBOTTENS LÄN</t>
        </is>
      </c>
      <c r="E10489" t="inlineStr">
        <is>
          <t>SORSELE</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16156-2025</t>
        </is>
      </c>
      <c r="B10490" s="1" t="n">
        <v>45750.49013888889</v>
      </c>
      <c r="C10490" s="1" t="n">
        <v>45971</v>
      </c>
      <c r="D10490" t="inlineStr">
        <is>
          <t>VÄSTERBOTTENS LÄN</t>
        </is>
      </c>
      <c r="E10490" t="inlineStr">
        <is>
          <t>SKELLEFTEÅ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36314-2025</t>
        </is>
      </c>
      <c r="B10491" s="1" t="n">
        <v>45868.34462962963</v>
      </c>
      <c r="C10491" s="1" t="n">
        <v>45971</v>
      </c>
      <c r="D10491" t="inlineStr">
        <is>
          <t>VÄSTERBOTTENS LÄN</t>
        </is>
      </c>
      <c r="E10491" t="inlineStr">
        <is>
          <t>VINDELN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45837-2025</t>
        </is>
      </c>
      <c r="B10492" s="1" t="n">
        <v>45923.61178240741</v>
      </c>
      <c r="C10492" s="1" t="n">
        <v>45971</v>
      </c>
      <c r="D10492" t="inlineStr">
        <is>
          <t>VÄSTERBOTTENS LÄN</t>
        </is>
      </c>
      <c r="E10492" t="inlineStr">
        <is>
          <t>LYCKSELE</t>
        </is>
      </c>
      <c r="F10492" t="inlineStr">
        <is>
          <t>Sveaskog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12004-2024</t>
        </is>
      </c>
      <c r="B10493" s="1" t="n">
        <v>45377.31299768519</v>
      </c>
      <c r="C10493" s="1" t="n">
        <v>45971</v>
      </c>
      <c r="D10493" t="inlineStr">
        <is>
          <t>VÄSTERBOTTENS LÄN</t>
        </is>
      </c>
      <c r="E10493" t="inlineStr">
        <is>
          <t>SKELLEFTEÅ</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36363-2025</t>
        </is>
      </c>
      <c r="B10494" s="1" t="n">
        <v>45867</v>
      </c>
      <c r="C10494" s="1" t="n">
        <v>45971</v>
      </c>
      <c r="D10494" t="inlineStr">
        <is>
          <t>VÄSTERBOTTENS LÄN</t>
        </is>
      </c>
      <c r="E10494" t="inlineStr">
        <is>
          <t>DOROTEA</t>
        </is>
      </c>
      <c r="G10494" t="n">
        <v>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36372-2025</t>
        </is>
      </c>
      <c r="B10495" s="1" t="n">
        <v>45867</v>
      </c>
      <c r="C10495" s="1" t="n">
        <v>45971</v>
      </c>
      <c r="D10495" t="inlineStr">
        <is>
          <t>VÄSTERBOTTENS LÄN</t>
        </is>
      </c>
      <c r="E10495" t="inlineStr">
        <is>
          <t>ÅSELE</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7007-2023</t>
        </is>
      </c>
      <c r="B10496" s="1" t="n">
        <v>44967</v>
      </c>
      <c r="C10496" s="1" t="n">
        <v>45971</v>
      </c>
      <c r="D10496" t="inlineStr">
        <is>
          <t>VÄSTERBOTTENS LÄN</t>
        </is>
      </c>
      <c r="E10496" t="inlineStr">
        <is>
          <t>MALÅ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26368-2024</t>
        </is>
      </c>
      <c r="B10497" s="1" t="n">
        <v>45468</v>
      </c>
      <c r="C10497" s="1" t="n">
        <v>45971</v>
      </c>
      <c r="D10497" t="inlineStr">
        <is>
          <t>VÄSTERBOTTENS LÄN</t>
        </is>
      </c>
      <c r="E10497" t="inlineStr">
        <is>
          <t>ROBERTSFORS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46153-2025</t>
        </is>
      </c>
      <c r="B10498" s="1" t="n">
        <v>45924.61528935185</v>
      </c>
      <c r="C10498" s="1" t="n">
        <v>45971</v>
      </c>
      <c r="D10498" t="inlineStr">
        <is>
          <t>VÄSTERBOTTENS LÄN</t>
        </is>
      </c>
      <c r="E10498" t="inlineStr">
        <is>
          <t>VINDELN</t>
        </is>
      </c>
      <c r="F10498" t="inlineStr">
        <is>
          <t>SCA</t>
        </is>
      </c>
      <c r="G10498" t="n">
        <v>40.1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36370-2025</t>
        </is>
      </c>
      <c r="B10499" s="1" t="n">
        <v>45867</v>
      </c>
      <c r="C10499" s="1" t="n">
        <v>45971</v>
      </c>
      <c r="D10499" t="inlineStr">
        <is>
          <t>VÄSTERBOTTENS LÄN</t>
        </is>
      </c>
      <c r="E10499" t="inlineStr">
        <is>
          <t>ÅSELE</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36376-2025</t>
        </is>
      </c>
      <c r="B10500" s="1" t="n">
        <v>45868.56623842593</v>
      </c>
      <c r="C10500" s="1" t="n">
        <v>45971</v>
      </c>
      <c r="D10500" t="inlineStr">
        <is>
          <t>VÄSTERBOTTENS LÄN</t>
        </is>
      </c>
      <c r="E10500" t="inlineStr">
        <is>
          <t>ÅSELE</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36155-2025</t>
        </is>
      </c>
      <c r="B10501" s="1" t="n">
        <v>45867.34467592592</v>
      </c>
      <c r="C10501" s="1" t="n">
        <v>45971</v>
      </c>
      <c r="D10501" t="inlineStr">
        <is>
          <t>VÄSTERBOTTENS LÄN</t>
        </is>
      </c>
      <c r="E10501" t="inlineStr">
        <is>
          <t>VINDELN</t>
        </is>
      </c>
      <c r="F10501" t="inlineStr">
        <is>
          <t>SCA</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46168-2025</t>
        </is>
      </c>
      <c r="B10502" s="1" t="n">
        <v>45924.64480324074</v>
      </c>
      <c r="C10502" s="1" t="n">
        <v>45971</v>
      </c>
      <c r="D10502" t="inlineStr">
        <is>
          <t>VÄSTERBOTTENS LÄN</t>
        </is>
      </c>
      <c r="E10502" t="inlineStr">
        <is>
          <t>ROBERTSFORS</t>
        </is>
      </c>
      <c r="F10502" t="inlineStr">
        <is>
          <t>Holmen skog AB</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36281-2025</t>
        </is>
      </c>
      <c r="B10503" s="1" t="n">
        <v>45867.64376157407</v>
      </c>
      <c r="C10503" s="1" t="n">
        <v>45971</v>
      </c>
      <c r="D10503" t="inlineStr">
        <is>
          <t>VÄSTERBOTTENS LÄN</t>
        </is>
      </c>
      <c r="E10503" t="inlineStr">
        <is>
          <t>NORDMALING</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54760-2025</t>
        </is>
      </c>
      <c r="B10504" s="1" t="n">
        <v>45966.59900462963</v>
      </c>
      <c r="C10504" s="1" t="n">
        <v>45971</v>
      </c>
      <c r="D10504" t="inlineStr">
        <is>
          <t>VÄSTERBOTTENS LÄN</t>
        </is>
      </c>
      <c r="E10504" t="inlineStr">
        <is>
          <t>MALÅ</t>
        </is>
      </c>
      <c r="F10504" t="inlineStr">
        <is>
          <t>Sveaskog</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72057-2021</t>
        </is>
      </c>
      <c r="B10505" s="1" t="n">
        <v>44540</v>
      </c>
      <c r="C10505" s="1" t="n">
        <v>45971</v>
      </c>
      <c r="D10505" t="inlineStr">
        <is>
          <t>VÄSTERBOTTENS LÄN</t>
        </is>
      </c>
      <c r="E10505" t="inlineStr">
        <is>
          <t>VILHELMINA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33731-2024</t>
        </is>
      </c>
      <c r="B10506" s="1" t="n">
        <v>45520.54680555555</v>
      </c>
      <c r="C10506" s="1" t="n">
        <v>45971</v>
      </c>
      <c r="D10506" t="inlineStr">
        <is>
          <t>VÄSTERBOTTENS LÄN</t>
        </is>
      </c>
      <c r="E10506" t="inlineStr">
        <is>
          <t>STORUMAN</t>
        </is>
      </c>
      <c r="F10506" t="inlineStr">
        <is>
          <t>Sveaskog</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35832-2025</t>
        </is>
      </c>
      <c r="B10507" s="1" t="n">
        <v>45861.50935185186</v>
      </c>
      <c r="C10507" s="1" t="n">
        <v>45971</v>
      </c>
      <c r="D10507" t="inlineStr">
        <is>
          <t>VÄSTERBOTTENS LÄN</t>
        </is>
      </c>
      <c r="E10507" t="inlineStr">
        <is>
          <t>LYCKSELE</t>
        </is>
      </c>
      <c r="F10507" t="inlineStr">
        <is>
          <t>Sveaskog</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36154-2025</t>
        </is>
      </c>
      <c r="B10508" s="1" t="n">
        <v>45867.34443287037</v>
      </c>
      <c r="C10508" s="1" t="n">
        <v>45971</v>
      </c>
      <c r="D10508" t="inlineStr">
        <is>
          <t>VÄSTERBOTTENS LÄN</t>
        </is>
      </c>
      <c r="E10508" t="inlineStr">
        <is>
          <t>ÅSELE</t>
        </is>
      </c>
      <c r="F10508" t="inlineStr">
        <is>
          <t>SCA</t>
        </is>
      </c>
      <c r="G10508" t="n">
        <v>19.9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56973-2022</t>
        </is>
      </c>
      <c r="B10509" s="1" t="n">
        <v>44894</v>
      </c>
      <c r="C10509" s="1" t="n">
        <v>45971</v>
      </c>
      <c r="D10509" t="inlineStr">
        <is>
          <t>VÄSTERBOTTENS LÄN</t>
        </is>
      </c>
      <c r="E10509" t="inlineStr">
        <is>
          <t>LYCKSELE</t>
        </is>
      </c>
      <c r="F10509" t="inlineStr">
        <is>
          <t>Holmen skog AB</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52209-2024</t>
        </is>
      </c>
      <c r="B10510" s="1" t="n">
        <v>45607</v>
      </c>
      <c r="C10510" s="1" t="n">
        <v>45971</v>
      </c>
      <c r="D10510" t="inlineStr">
        <is>
          <t>VÄSTERBOTTENS LÄN</t>
        </is>
      </c>
      <c r="E10510" t="inlineStr">
        <is>
          <t>STORUMAN</t>
        </is>
      </c>
      <c r="F10510" t="inlineStr">
        <is>
          <t>Allmännings- och besparingsskogar</t>
        </is>
      </c>
      <c r="G10510" t="n">
        <v>16.8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45666-2025</t>
        </is>
      </c>
      <c r="B10511" s="1" t="n">
        <v>45923.34827546297</v>
      </c>
      <c r="C10511" s="1" t="n">
        <v>45971</v>
      </c>
      <c r="D10511" t="inlineStr">
        <is>
          <t>VÄSTERBOTTENS LÄN</t>
        </is>
      </c>
      <c r="E10511" t="inlineStr">
        <is>
          <t>SKELLEFTEÅ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64949-2023</t>
        </is>
      </c>
      <c r="B10512" s="1" t="n">
        <v>45282.94709490741</v>
      </c>
      <c r="C10512" s="1" t="n">
        <v>45971</v>
      </c>
      <c r="D10512" t="inlineStr">
        <is>
          <t>VÄSTERBOTTENS LÄN</t>
        </is>
      </c>
      <c r="E10512" t="inlineStr">
        <is>
          <t>ÅSELE</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45675-2025</t>
        </is>
      </c>
      <c r="B10513" s="1" t="n">
        <v>45923.36356481481</v>
      </c>
      <c r="C10513" s="1" t="n">
        <v>45971</v>
      </c>
      <c r="D10513" t="inlineStr">
        <is>
          <t>VÄSTERBOTTENS LÄN</t>
        </is>
      </c>
      <c r="E10513" t="inlineStr">
        <is>
          <t>NORDMALING</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33879-2024</t>
        </is>
      </c>
      <c r="B10514" s="1" t="n">
        <v>45522.50731481481</v>
      </c>
      <c r="C10514" s="1" t="n">
        <v>45971</v>
      </c>
      <c r="D10514" t="inlineStr">
        <is>
          <t>VÄSTERBOTTENS LÄN</t>
        </is>
      </c>
      <c r="E10514" t="inlineStr">
        <is>
          <t>STORUMAN</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45743-2025</t>
        </is>
      </c>
      <c r="B10515" s="1" t="n">
        <v>45923.47471064814</v>
      </c>
      <c r="C10515" s="1" t="n">
        <v>45971</v>
      </c>
      <c r="D10515" t="inlineStr">
        <is>
          <t>VÄSTERBOTTENS LÄN</t>
        </is>
      </c>
      <c r="E10515" t="inlineStr">
        <is>
          <t>ÅSELE</t>
        </is>
      </c>
      <c r="F10515" t="inlineStr">
        <is>
          <t>Sveaskog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45745-2025</t>
        </is>
      </c>
      <c r="B10516" s="1" t="n">
        <v>45923.4768287037</v>
      </c>
      <c r="C10516" s="1" t="n">
        <v>45971</v>
      </c>
      <c r="D10516" t="inlineStr">
        <is>
          <t>VÄSTERBOTTENS LÄN</t>
        </is>
      </c>
      <c r="E10516" t="inlineStr">
        <is>
          <t>ÅSELE</t>
        </is>
      </c>
      <c r="F10516" t="inlineStr">
        <is>
          <t>Sveaskog</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36278-2025</t>
        </is>
      </c>
      <c r="B10517" s="1" t="n">
        <v>45867</v>
      </c>
      <c r="C10517" s="1" t="n">
        <v>45971</v>
      </c>
      <c r="D10517" t="inlineStr">
        <is>
          <t>VÄSTERBOTTENS LÄN</t>
        </is>
      </c>
      <c r="E10517" t="inlineStr">
        <is>
          <t>ÅSELE</t>
        </is>
      </c>
      <c r="F10517" t="inlineStr">
        <is>
          <t>SCA</t>
        </is>
      </c>
      <c r="G10517" t="n">
        <v>11.3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29492-2025</t>
        </is>
      </c>
      <c r="B10518" s="1" t="n">
        <v>45824.78887731482</v>
      </c>
      <c r="C10518" s="1" t="n">
        <v>45971</v>
      </c>
      <c r="D10518" t="inlineStr">
        <is>
          <t>VÄSTERBOTTENS LÄN</t>
        </is>
      </c>
      <c r="E10518" t="inlineStr">
        <is>
          <t>SORSELE</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14935-2024</t>
        </is>
      </c>
      <c r="B10519" s="1" t="n">
        <v>45399</v>
      </c>
      <c r="C10519" s="1" t="n">
        <v>45971</v>
      </c>
      <c r="D10519" t="inlineStr">
        <is>
          <t>VÄSTERBOTTENS LÄN</t>
        </is>
      </c>
      <c r="E10519" t="inlineStr">
        <is>
          <t>DOROTEA</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36334-2025</t>
        </is>
      </c>
      <c r="B10520" s="1" t="n">
        <v>45868.43071759259</v>
      </c>
      <c r="C10520" s="1" t="n">
        <v>45971</v>
      </c>
      <c r="D10520" t="inlineStr">
        <is>
          <t>VÄSTERBOTTENS LÄN</t>
        </is>
      </c>
      <c r="E10520" t="inlineStr">
        <is>
          <t>UMEÅ</t>
        </is>
      </c>
      <c r="F10520" t="inlineStr">
        <is>
          <t>Holmen skog AB</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54797-2025</t>
        </is>
      </c>
      <c r="B10521" s="1" t="n">
        <v>45966.63638888889</v>
      </c>
      <c r="C10521" s="1" t="n">
        <v>45971</v>
      </c>
      <c r="D10521" t="inlineStr">
        <is>
          <t>VÄSTERBOTTENS LÄN</t>
        </is>
      </c>
      <c r="E10521" t="inlineStr">
        <is>
          <t>UMEÅ</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54800-2025</t>
        </is>
      </c>
      <c r="B10522" s="1" t="n">
        <v>45966.63836805556</v>
      </c>
      <c r="C10522" s="1" t="n">
        <v>45971</v>
      </c>
      <c r="D10522" t="inlineStr">
        <is>
          <t>VÄSTERBOTTENS LÄN</t>
        </is>
      </c>
      <c r="E10522" t="inlineStr">
        <is>
          <t>NORDMALING</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54811-2025</t>
        </is>
      </c>
      <c r="B10523" s="1" t="n">
        <v>45966.64833333333</v>
      </c>
      <c r="C10523" s="1" t="n">
        <v>45971</v>
      </c>
      <c r="D10523" t="inlineStr">
        <is>
          <t>VÄSTERBOTTENS LÄN</t>
        </is>
      </c>
      <c r="E10523" t="inlineStr">
        <is>
          <t>ÅSELE</t>
        </is>
      </c>
      <c r="F10523" t="inlineStr">
        <is>
          <t>Kommuner</t>
        </is>
      </c>
      <c r="G10523" t="n">
        <v>13.7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45964-2025</t>
        </is>
      </c>
      <c r="B10524" s="1" t="n">
        <v>45924.3553587963</v>
      </c>
      <c r="C10524" s="1" t="n">
        <v>45971</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50200-2023</t>
        </is>
      </c>
      <c r="B10525" s="1" t="n">
        <v>45215.87696759259</v>
      </c>
      <c r="C10525" s="1" t="n">
        <v>45971</v>
      </c>
      <c r="D10525" t="inlineStr">
        <is>
          <t>VÄSTERBOTTENS LÄN</t>
        </is>
      </c>
      <c r="E10525" t="inlineStr">
        <is>
          <t>ÅSELE</t>
        </is>
      </c>
      <c r="F10525" t="inlineStr">
        <is>
          <t>Holmen skog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39022-2023</t>
        </is>
      </c>
      <c r="B10526" s="1" t="n">
        <v>45163.80377314815</v>
      </c>
      <c r="C10526" s="1" t="n">
        <v>45971</v>
      </c>
      <c r="D10526" t="inlineStr">
        <is>
          <t>VÄSTERBOTTENS LÄN</t>
        </is>
      </c>
      <c r="E10526" t="inlineStr">
        <is>
          <t>VINDELN</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54623-2025</t>
        </is>
      </c>
      <c r="B10527" s="1" t="n">
        <v>45966.34535879629</v>
      </c>
      <c r="C10527" s="1" t="n">
        <v>45971</v>
      </c>
      <c r="D10527" t="inlineStr">
        <is>
          <t>VÄSTERBOTTENS LÄN</t>
        </is>
      </c>
      <c r="E10527" t="inlineStr">
        <is>
          <t>DOROTEA</t>
        </is>
      </c>
      <c r="F10527" t="inlineStr">
        <is>
          <t>SCA</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10080-2023</t>
        </is>
      </c>
      <c r="B10528" s="1" t="n">
        <v>44985.94431712963</v>
      </c>
      <c r="C10528" s="1" t="n">
        <v>45971</v>
      </c>
      <c r="D10528" t="inlineStr">
        <is>
          <t>VÄSTERBOTTENS LÄN</t>
        </is>
      </c>
      <c r="E10528" t="inlineStr">
        <is>
          <t>ÅSELE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36309-2025</t>
        </is>
      </c>
      <c r="B10529" s="1" t="n">
        <v>45868.33694444445</v>
      </c>
      <c r="C10529" s="1" t="n">
        <v>45971</v>
      </c>
      <c r="D10529" t="inlineStr">
        <is>
          <t>VÄSTERBOTTENS LÄN</t>
        </is>
      </c>
      <c r="E10529" t="inlineStr">
        <is>
          <t>UMEÅ</t>
        </is>
      </c>
      <c r="F10529" t="inlineStr">
        <is>
          <t>Holmen skog AB</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36217-2025</t>
        </is>
      </c>
      <c r="B10530" s="1" t="n">
        <v>45867.49550925926</v>
      </c>
      <c r="C10530" s="1" t="n">
        <v>45971</v>
      </c>
      <c r="D10530" t="inlineStr">
        <is>
          <t>VÄSTERBOTTENS LÄN</t>
        </is>
      </c>
      <c r="E10530" t="inlineStr">
        <is>
          <t>UMEÅ</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26033-2025</t>
        </is>
      </c>
      <c r="B10531" s="1" t="n">
        <v>45804</v>
      </c>
      <c r="C10531" s="1" t="n">
        <v>45971</v>
      </c>
      <c r="D10531" t="inlineStr">
        <is>
          <t>VÄSTERBOTTENS LÄN</t>
        </is>
      </c>
      <c r="E10531" t="inlineStr">
        <is>
          <t>SORSELE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26037-2025</t>
        </is>
      </c>
      <c r="B10532" s="1" t="n">
        <v>45804</v>
      </c>
      <c r="C10532" s="1" t="n">
        <v>45971</v>
      </c>
      <c r="D10532" t="inlineStr">
        <is>
          <t>VÄSTERBOTTENS LÄN</t>
        </is>
      </c>
      <c r="E10532" t="inlineStr">
        <is>
          <t>SORSELE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36198-2025</t>
        </is>
      </c>
      <c r="B10533" s="1" t="n">
        <v>45867.43743055555</v>
      </c>
      <c r="C10533" s="1" t="n">
        <v>45971</v>
      </c>
      <c r="D10533" t="inlineStr">
        <is>
          <t>VÄSTERBOTTENS LÄN</t>
        </is>
      </c>
      <c r="E10533" t="inlineStr">
        <is>
          <t>ÅSELE</t>
        </is>
      </c>
      <c r="F10533" t="inlineStr">
        <is>
          <t>Holmen skog AB</t>
        </is>
      </c>
      <c r="G10533" t="n">
        <v>14.9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36413-2025</t>
        </is>
      </c>
      <c r="B10534" s="1" t="n">
        <v>45868.69234953704</v>
      </c>
      <c r="C10534" s="1" t="n">
        <v>45971</v>
      </c>
      <c r="D10534" t="inlineStr">
        <is>
          <t>VÄSTERBOTTENS LÄN</t>
        </is>
      </c>
      <c r="E10534" t="inlineStr">
        <is>
          <t>ÅSELE</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26036-2025</t>
        </is>
      </c>
      <c r="B10535" s="1" t="n">
        <v>45804</v>
      </c>
      <c r="C10535" s="1" t="n">
        <v>45971</v>
      </c>
      <c r="D10535" t="inlineStr">
        <is>
          <t>VÄSTERBOTTENS LÄN</t>
        </is>
      </c>
      <c r="E10535" t="inlineStr">
        <is>
          <t>SORSELE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36215-2025</t>
        </is>
      </c>
      <c r="B10536" s="1" t="n">
        <v>45867.49079861111</v>
      </c>
      <c r="C10536" s="1" t="n">
        <v>45971</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36220-2025</t>
        </is>
      </c>
      <c r="B10537" s="1" t="n">
        <v>45867.505</v>
      </c>
      <c r="C10537" s="1" t="n">
        <v>45971</v>
      </c>
      <c r="D10537" t="inlineStr">
        <is>
          <t>VÄSTERBOTTENS LÄN</t>
        </is>
      </c>
      <c r="E10537" t="inlineStr">
        <is>
          <t>ÅSELE</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40008-2023</t>
        </is>
      </c>
      <c r="B10538" s="1" t="n">
        <v>45167</v>
      </c>
      <c r="C10538" s="1" t="n">
        <v>45971</v>
      </c>
      <c r="D10538" t="inlineStr">
        <is>
          <t>VÄSTERBOTTENS LÄN</t>
        </is>
      </c>
      <c r="E10538" t="inlineStr">
        <is>
          <t>NORDMALING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40019-2023</t>
        </is>
      </c>
      <c r="B10539" s="1" t="n">
        <v>45167</v>
      </c>
      <c r="C10539" s="1" t="n">
        <v>45971</v>
      </c>
      <c r="D10539" t="inlineStr">
        <is>
          <t>VÄSTERBOTTENS LÄN</t>
        </is>
      </c>
      <c r="E10539" t="inlineStr">
        <is>
          <t>MALÅ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40032-2023</t>
        </is>
      </c>
      <c r="B10540" s="1" t="n">
        <v>45167</v>
      </c>
      <c r="C10540" s="1" t="n">
        <v>45971</v>
      </c>
      <c r="D10540" t="inlineStr">
        <is>
          <t>VÄSTERBOTTENS LÄN</t>
        </is>
      </c>
      <c r="E10540" t="inlineStr">
        <is>
          <t>UMEÅ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37922-2023</t>
        </is>
      </c>
      <c r="B10541" s="1" t="n">
        <v>45159</v>
      </c>
      <c r="C10541" s="1" t="n">
        <v>45971</v>
      </c>
      <c r="D10541" t="inlineStr">
        <is>
          <t>VÄSTERBOTTENS LÄN</t>
        </is>
      </c>
      <c r="E10541" t="inlineStr">
        <is>
          <t>MALÅ</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50287-2023</t>
        </is>
      </c>
      <c r="B10542" s="1" t="n">
        <v>45216</v>
      </c>
      <c r="C10542" s="1" t="n">
        <v>45971</v>
      </c>
      <c r="D10542" t="inlineStr">
        <is>
          <t>VÄSTERBOTTENS LÄN</t>
        </is>
      </c>
      <c r="E10542" t="inlineStr">
        <is>
          <t>UMEÅ</t>
        </is>
      </c>
      <c r="F10542" t="inlineStr">
        <is>
          <t>Holmen skog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36233-2025</t>
        </is>
      </c>
      <c r="B10543" s="1" t="n">
        <v>45867.54707175926</v>
      </c>
      <c r="C10543" s="1" t="n">
        <v>45971</v>
      </c>
      <c r="D10543" t="inlineStr">
        <is>
          <t>VÄSTERBOTTENS LÄN</t>
        </is>
      </c>
      <c r="E10543" t="inlineStr">
        <is>
          <t>UMEÅ</t>
        </is>
      </c>
      <c r="F10543" t="inlineStr">
        <is>
          <t>Holmen skog AB</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36262-2025</t>
        </is>
      </c>
      <c r="B10544" s="1" t="n">
        <v>45867.61493055556</v>
      </c>
      <c r="C10544" s="1" t="n">
        <v>45971</v>
      </c>
      <c r="D10544" t="inlineStr">
        <is>
          <t>VÄSTERBOTTENS LÄN</t>
        </is>
      </c>
      <c r="E10544" t="inlineStr">
        <is>
          <t>VINDELN</t>
        </is>
      </c>
      <c r="F10544" t="inlineStr">
        <is>
          <t>SCA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36264-2025</t>
        </is>
      </c>
      <c r="B10545" s="1" t="n">
        <v>45867.61530092593</v>
      </c>
      <c r="C10545" s="1" t="n">
        <v>45971</v>
      </c>
      <c r="D10545" t="inlineStr">
        <is>
          <t>VÄSTERBOTTENS LÄN</t>
        </is>
      </c>
      <c r="E10545" t="inlineStr">
        <is>
          <t>BJURHOLM</t>
        </is>
      </c>
      <c r="F10545" t="inlineStr">
        <is>
          <t>SCA</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19589-2024</t>
        </is>
      </c>
      <c r="B10546" s="1" t="n">
        <v>45429.9359375</v>
      </c>
      <c r="C10546" s="1" t="n">
        <v>45971</v>
      </c>
      <c r="D10546" t="inlineStr">
        <is>
          <t>VÄSTERBOTTENS LÄN</t>
        </is>
      </c>
      <c r="E10546" t="inlineStr">
        <is>
          <t>DOROTEA</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36315-2025</t>
        </is>
      </c>
      <c r="B10547" s="1" t="n">
        <v>45868</v>
      </c>
      <c r="C10547" s="1" t="n">
        <v>45971</v>
      </c>
      <c r="D10547" t="inlineStr">
        <is>
          <t>VÄSTERBOTTENS LÄN</t>
        </is>
      </c>
      <c r="E10547" t="inlineStr">
        <is>
          <t>ÅSELE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15384-2024</t>
        </is>
      </c>
      <c r="B10548" s="1" t="n">
        <v>45400</v>
      </c>
      <c r="C10548" s="1" t="n">
        <v>45971</v>
      </c>
      <c r="D10548" t="inlineStr">
        <is>
          <t>VÄSTERBOTTENS LÄN</t>
        </is>
      </c>
      <c r="E10548" t="inlineStr">
        <is>
          <t>STORUMAN</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61351-2024</t>
        </is>
      </c>
      <c r="B10549" s="1" t="n">
        <v>45646</v>
      </c>
      <c r="C10549" s="1" t="n">
        <v>45971</v>
      </c>
      <c r="D10549" t="inlineStr">
        <is>
          <t>VÄSTERBOTTENS LÄN</t>
        </is>
      </c>
      <c r="E10549" t="inlineStr">
        <is>
          <t>ÅSELE</t>
        </is>
      </c>
      <c r="G10549" t="n">
        <v>9.6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54317-2025</t>
        </is>
      </c>
      <c r="B10550" s="1" t="n">
        <v>45965.32998842592</v>
      </c>
      <c r="C10550" s="1" t="n">
        <v>45971</v>
      </c>
      <c r="D10550" t="inlineStr">
        <is>
          <t>VÄSTERBOTTENS LÄN</t>
        </is>
      </c>
      <c r="E10550" t="inlineStr">
        <is>
          <t>ÅSELE</t>
        </is>
      </c>
      <c r="F10550" t="inlineStr">
        <is>
          <t>Holmen skog AB</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47140-2023</t>
        </is>
      </c>
      <c r="B10551" s="1" t="n">
        <v>45196</v>
      </c>
      <c r="C10551" s="1" t="n">
        <v>45971</v>
      </c>
      <c r="D10551" t="inlineStr">
        <is>
          <t>VÄSTERBOTTENS LÄN</t>
        </is>
      </c>
      <c r="E10551" t="inlineStr">
        <is>
          <t>STORUMAN</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54193-2021</t>
        </is>
      </c>
      <c r="B10552" s="1" t="n">
        <v>44470</v>
      </c>
      <c r="C10552" s="1" t="n">
        <v>45971</v>
      </c>
      <c r="D10552" t="inlineStr">
        <is>
          <t>VÄSTERBOTTENS LÄN</t>
        </is>
      </c>
      <c r="E10552" t="inlineStr">
        <is>
          <t>SKELLEFTEÅ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2892-2025</t>
        </is>
      </c>
      <c r="B10553" s="1" t="n">
        <v>45677</v>
      </c>
      <c r="C10553" s="1" t="n">
        <v>45971</v>
      </c>
      <c r="D10553" t="inlineStr">
        <is>
          <t>VÄSTERBOTTENS LÄN</t>
        </is>
      </c>
      <c r="E10553" t="inlineStr">
        <is>
          <t>ÅSELE</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573-2025</t>
        </is>
      </c>
      <c r="B10554" s="1" t="n">
        <v>45660</v>
      </c>
      <c r="C10554" s="1" t="n">
        <v>45971</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36174-2025</t>
        </is>
      </c>
      <c r="B10555" s="1" t="n">
        <v>45867.39787037037</v>
      </c>
      <c r="C10555" s="1" t="n">
        <v>45971</v>
      </c>
      <c r="D10555" t="inlineStr">
        <is>
          <t>VÄSTERBOTTENS LÄN</t>
        </is>
      </c>
      <c r="E10555" t="inlineStr">
        <is>
          <t>ÅSELE</t>
        </is>
      </c>
      <c r="F10555" t="inlineStr">
        <is>
          <t>Holmen skog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36301-2025</t>
        </is>
      </c>
      <c r="B10556" s="1" t="n">
        <v>45867.70578703703</v>
      </c>
      <c r="C10556" s="1" t="n">
        <v>45971</v>
      </c>
      <c r="D10556" t="inlineStr">
        <is>
          <t>VÄSTERBOTTENS LÄN</t>
        </is>
      </c>
      <c r="E10556" t="inlineStr">
        <is>
          <t>ÅSELE</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5959-2023</t>
        </is>
      </c>
      <c r="B10557" s="1" t="n">
        <v>44963.95042824074</v>
      </c>
      <c r="C10557" s="1" t="n">
        <v>45971</v>
      </c>
      <c r="D10557" t="inlineStr">
        <is>
          <t>VÄSTERBOTTENS LÄN</t>
        </is>
      </c>
      <c r="E10557" t="inlineStr">
        <is>
          <t>SKELLEFTEÅ</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580-2025</t>
        </is>
      </c>
      <c r="B10558" s="1" t="n">
        <v>45660</v>
      </c>
      <c r="C10558" s="1" t="n">
        <v>45971</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2921-2025</t>
        </is>
      </c>
      <c r="B10559" s="1" t="n">
        <v>45678.321875</v>
      </c>
      <c r="C10559" s="1" t="n">
        <v>45971</v>
      </c>
      <c r="D10559" t="inlineStr">
        <is>
          <t>VÄSTERBOTTENS LÄN</t>
        </is>
      </c>
      <c r="E10559" t="inlineStr">
        <is>
          <t>NORDMALING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8103-2025</t>
        </is>
      </c>
      <c r="B10560" s="1" t="n">
        <v>45707</v>
      </c>
      <c r="C10560" s="1" t="n">
        <v>45971</v>
      </c>
      <c r="D10560" t="inlineStr">
        <is>
          <t>VÄSTERBOTTENS LÄN</t>
        </is>
      </c>
      <c r="E10560" t="inlineStr">
        <is>
          <t>NORDMALING</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25818-2024</t>
        </is>
      </c>
      <c r="B10561" s="1" t="n">
        <v>45467</v>
      </c>
      <c r="C10561" s="1" t="n">
        <v>45971</v>
      </c>
      <c r="D10561" t="inlineStr">
        <is>
          <t>VÄSTERBOTTENS LÄN</t>
        </is>
      </c>
      <c r="E10561" t="inlineStr">
        <is>
          <t>STORUMAN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57926-2023</t>
        </is>
      </c>
      <c r="B10562" s="1" t="n">
        <v>45247.54817129629</v>
      </c>
      <c r="C10562" s="1" t="n">
        <v>45971</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25262-2024</t>
        </is>
      </c>
      <c r="B10563" s="1" t="n">
        <v>45462</v>
      </c>
      <c r="C10563" s="1" t="n">
        <v>45971</v>
      </c>
      <c r="D10563" t="inlineStr">
        <is>
          <t>VÄSTERBOTTENS LÄN</t>
        </is>
      </c>
      <c r="E10563" t="inlineStr">
        <is>
          <t>STORUMAN</t>
        </is>
      </c>
      <c r="G10563" t="n">
        <v>17.4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36161-2025</t>
        </is>
      </c>
      <c r="B10564" s="1" t="n">
        <v>45867.3653587963</v>
      </c>
      <c r="C10564" s="1" t="n">
        <v>45971</v>
      </c>
      <c r="D10564" t="inlineStr">
        <is>
          <t>VÄSTERBOTTENS LÄN</t>
        </is>
      </c>
      <c r="E10564" t="inlineStr">
        <is>
          <t>DOROTEA</t>
        </is>
      </c>
      <c r="F10564" t="inlineStr">
        <is>
          <t>SCA</t>
        </is>
      </c>
      <c r="G10564" t="n">
        <v>14.2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8282-2023</t>
        </is>
      </c>
      <c r="B10565" s="1" t="n">
        <v>44974</v>
      </c>
      <c r="C10565" s="1" t="n">
        <v>45971</v>
      </c>
      <c r="D10565" t="inlineStr">
        <is>
          <t>VÄSTERBOTTENS LÄN</t>
        </is>
      </c>
      <c r="E10565" t="inlineStr">
        <is>
          <t>SORSELE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61777-2023</t>
        </is>
      </c>
      <c r="B10566" s="1" t="n">
        <v>45265</v>
      </c>
      <c r="C10566" s="1" t="n">
        <v>45971</v>
      </c>
      <c r="D10566" t="inlineStr">
        <is>
          <t>VÄSTERBOTTENS LÄN</t>
        </is>
      </c>
      <c r="E10566" t="inlineStr">
        <is>
          <t>VILHELMINA</t>
        </is>
      </c>
      <c r="F10566" t="inlineStr">
        <is>
          <t>SCA</t>
        </is>
      </c>
      <c r="G10566" t="n">
        <v>20.6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36176-2025</t>
        </is>
      </c>
      <c r="B10567" s="1" t="n">
        <v>45867</v>
      </c>
      <c r="C10567" s="1" t="n">
        <v>45971</v>
      </c>
      <c r="D10567" t="inlineStr">
        <is>
          <t>VÄSTERBOTTENS LÄN</t>
        </is>
      </c>
      <c r="E10567" t="inlineStr">
        <is>
          <t>SORSELE</t>
        </is>
      </c>
      <c r="G10567" t="n">
        <v>22.7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30182-2023</t>
        </is>
      </c>
      <c r="B10568" s="1" t="n">
        <v>45099</v>
      </c>
      <c r="C10568" s="1" t="n">
        <v>45971</v>
      </c>
      <c r="D10568" t="inlineStr">
        <is>
          <t>VÄSTERBOTTENS LÄN</t>
        </is>
      </c>
      <c r="E10568" t="inlineStr">
        <is>
          <t>BJURHOLM</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14403-2025</t>
        </is>
      </c>
      <c r="B10569" s="1" t="n">
        <v>45741.46083333333</v>
      </c>
      <c r="C10569" s="1" t="n">
        <v>45971</v>
      </c>
      <c r="D10569" t="inlineStr">
        <is>
          <t>VÄSTERBOTTENS LÄN</t>
        </is>
      </c>
      <c r="E10569" t="inlineStr">
        <is>
          <t>UMEÅ</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36393-2025</t>
        </is>
      </c>
      <c r="B10570" s="1" t="n">
        <v>45868.61376157407</v>
      </c>
      <c r="C10570" s="1" t="n">
        <v>45971</v>
      </c>
      <c r="D10570" t="inlineStr">
        <is>
          <t>VÄSTERBOTTENS LÄN</t>
        </is>
      </c>
      <c r="E10570" t="inlineStr">
        <is>
          <t>ÅSELE</t>
        </is>
      </c>
      <c r="F10570" t="inlineStr">
        <is>
          <t>Holmen skog AB</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36398-2025</t>
        </is>
      </c>
      <c r="B10571" s="1" t="n">
        <v>45868.63600694444</v>
      </c>
      <c r="C10571" s="1" t="n">
        <v>45971</v>
      </c>
      <c r="D10571" t="inlineStr">
        <is>
          <t>VÄSTERBOTTENS LÄN</t>
        </is>
      </c>
      <c r="E10571" t="inlineStr">
        <is>
          <t>LYCKSELE</t>
        </is>
      </c>
      <c r="F10571" t="inlineStr">
        <is>
          <t>SCA</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12723-2025</t>
        </is>
      </c>
      <c r="B10572" s="1" t="n">
        <v>45733.49011574074</v>
      </c>
      <c r="C10572" s="1" t="n">
        <v>45971</v>
      </c>
      <c r="D10572" t="inlineStr">
        <is>
          <t>VÄSTERBOTTENS LÄN</t>
        </is>
      </c>
      <c r="E10572" t="inlineStr">
        <is>
          <t>UMEÅ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9466-2024</t>
        </is>
      </c>
      <c r="B10573" s="1" t="n">
        <v>45359</v>
      </c>
      <c r="C10573" s="1" t="n">
        <v>45971</v>
      </c>
      <c r="D10573" t="inlineStr">
        <is>
          <t>VÄSTERBOTTENS LÄN</t>
        </is>
      </c>
      <c r="E10573" t="inlineStr">
        <is>
          <t>SKELLEFTEÅ</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49525-2023</t>
        </is>
      </c>
      <c r="B10574" s="1" t="n">
        <v>45205</v>
      </c>
      <c r="C10574" s="1" t="n">
        <v>45971</v>
      </c>
      <c r="D10574" t="inlineStr">
        <is>
          <t>VÄSTERBOTTENS LÄN</t>
        </is>
      </c>
      <c r="E10574" t="inlineStr">
        <is>
          <t>UMEÅ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46207-2025</t>
        </is>
      </c>
      <c r="B10575" s="1" t="n">
        <v>45924.70613425926</v>
      </c>
      <c r="C10575" s="1" t="n">
        <v>45971</v>
      </c>
      <c r="D10575" t="inlineStr">
        <is>
          <t>VÄSTERBOTTENS LÄN</t>
        </is>
      </c>
      <c r="E10575" t="inlineStr">
        <is>
          <t>VINDELN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36151-2025</t>
        </is>
      </c>
      <c r="B10576" s="1" t="n">
        <v>45867.31869212963</v>
      </c>
      <c r="C10576" s="1" t="n">
        <v>45971</v>
      </c>
      <c r="D10576" t="inlineStr">
        <is>
          <t>VÄSTERBOTTENS LÄN</t>
        </is>
      </c>
      <c r="E10576" t="inlineStr">
        <is>
          <t>VINDELN</t>
        </is>
      </c>
      <c r="F10576" t="inlineStr">
        <is>
          <t>Holmen skog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49514-2022</t>
        </is>
      </c>
      <c r="B10577" s="1" t="n">
        <v>44861</v>
      </c>
      <c r="C10577" s="1" t="n">
        <v>45971</v>
      </c>
      <c r="D10577" t="inlineStr">
        <is>
          <t>VÄSTERBOTTENS LÄN</t>
        </is>
      </c>
      <c r="E10577" t="inlineStr">
        <is>
          <t>LYCKSELE</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53638-2022</t>
        </is>
      </c>
      <c r="B10578" s="1" t="n">
        <v>44879</v>
      </c>
      <c r="C10578" s="1" t="n">
        <v>45971</v>
      </c>
      <c r="D10578" t="inlineStr">
        <is>
          <t>VÄSTERBOTTENS LÄN</t>
        </is>
      </c>
      <c r="E10578" t="inlineStr">
        <is>
          <t>ÅSELE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36162-2025</t>
        </is>
      </c>
      <c r="B10579" s="1" t="n">
        <v>45867.36557870371</v>
      </c>
      <c r="C10579" s="1" t="n">
        <v>45971</v>
      </c>
      <c r="D10579" t="inlineStr">
        <is>
          <t>VÄSTERBOTTENS LÄN</t>
        </is>
      </c>
      <c r="E10579" t="inlineStr">
        <is>
          <t>DOROTEA</t>
        </is>
      </c>
      <c r="F10579" t="inlineStr">
        <is>
          <t>SCA</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26190-2024</t>
        </is>
      </c>
      <c r="B10580" s="1" t="n">
        <v>45468.5712037037</v>
      </c>
      <c r="C10580" s="1" t="n">
        <v>45971</v>
      </c>
      <c r="D10580" t="inlineStr">
        <is>
          <t>VÄSTERBOTTENS LÄN</t>
        </is>
      </c>
      <c r="E10580" t="inlineStr">
        <is>
          <t>SKELLEFTEÅ</t>
        </is>
      </c>
      <c r="F10580" t="inlineStr">
        <is>
          <t>Holmen skog AB</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26257-2024</t>
        </is>
      </c>
      <c r="B10581" s="1" t="n">
        <v>45468</v>
      </c>
      <c r="C10581" s="1" t="n">
        <v>45971</v>
      </c>
      <c r="D10581" t="inlineStr">
        <is>
          <t>VÄSTERBOTTENS LÄN</t>
        </is>
      </c>
      <c r="E10581" t="inlineStr">
        <is>
          <t>SKELLEFTEÅ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36286-2025</t>
        </is>
      </c>
      <c r="B10582" s="1" t="n">
        <v>45867.65657407408</v>
      </c>
      <c r="C10582" s="1" t="n">
        <v>45971</v>
      </c>
      <c r="D10582" t="inlineStr">
        <is>
          <t>VÄSTERBOTTENS LÄN</t>
        </is>
      </c>
      <c r="E10582" t="inlineStr">
        <is>
          <t>MALÅ</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36400-2025</t>
        </is>
      </c>
      <c r="B10583" s="1" t="n">
        <v>45868</v>
      </c>
      <c r="C10583" s="1" t="n">
        <v>45971</v>
      </c>
      <c r="D10583" t="inlineStr">
        <is>
          <t>VÄSTERBOTTENS LÄN</t>
        </is>
      </c>
      <c r="E10583" t="inlineStr">
        <is>
          <t>ÅSELE</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29738-2024</t>
        </is>
      </c>
      <c r="B10584" s="1" t="n">
        <v>45485.39127314815</v>
      </c>
      <c r="C10584" s="1" t="n">
        <v>45971</v>
      </c>
      <c r="D10584" t="inlineStr">
        <is>
          <t>VÄSTERBOTTENS LÄN</t>
        </is>
      </c>
      <c r="E10584" t="inlineStr">
        <is>
          <t>ÅSELE</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11729-2025</t>
        </is>
      </c>
      <c r="B10585" s="1" t="n">
        <v>45727.61769675926</v>
      </c>
      <c r="C10585" s="1" t="n">
        <v>45971</v>
      </c>
      <c r="D10585" t="inlineStr">
        <is>
          <t>VÄSTERBOTTENS LÄN</t>
        </is>
      </c>
      <c r="E10585" t="inlineStr">
        <is>
          <t>BJURHOLM</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60882-2024</t>
        </is>
      </c>
      <c r="B10586" s="1" t="n">
        <v>45644</v>
      </c>
      <c r="C10586" s="1" t="n">
        <v>45971</v>
      </c>
      <c r="D10586" t="inlineStr">
        <is>
          <t>VÄSTERBOTTENS LÄN</t>
        </is>
      </c>
      <c r="E10586" t="inlineStr">
        <is>
          <t>ROBERTSFORS</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61542-2024</t>
        </is>
      </c>
      <c r="B10587" s="1" t="n">
        <v>45645</v>
      </c>
      <c r="C10587" s="1" t="n">
        <v>45971</v>
      </c>
      <c r="D10587" t="inlineStr">
        <is>
          <t>VÄSTERBOTTENS LÄN</t>
        </is>
      </c>
      <c r="E10587" t="inlineStr">
        <is>
          <t>ÅSELE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36381-2025</t>
        </is>
      </c>
      <c r="B10588" s="1" t="n">
        <v>45868.5740162037</v>
      </c>
      <c r="C10588" s="1" t="n">
        <v>45971</v>
      </c>
      <c r="D10588" t="inlineStr">
        <is>
          <t>VÄSTERBOTTENS LÄN</t>
        </is>
      </c>
      <c r="E10588" t="inlineStr">
        <is>
          <t>SORSELE</t>
        </is>
      </c>
      <c r="F10588" t="inlineStr">
        <is>
          <t>SCA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36296-2025</t>
        </is>
      </c>
      <c r="B10589" s="1" t="n">
        <v>45867.68413194444</v>
      </c>
      <c r="C10589" s="1" t="n">
        <v>45971</v>
      </c>
      <c r="D10589" t="inlineStr">
        <is>
          <t>VÄSTERBOTTENS LÄN</t>
        </is>
      </c>
      <c r="E10589" t="inlineStr">
        <is>
          <t>ÅSELE</t>
        </is>
      </c>
      <c r="F10589" t="inlineStr">
        <is>
          <t>Holmen skog AB</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46210-2025</t>
        </is>
      </c>
      <c r="B10590" s="1" t="n">
        <v>45924.7065625</v>
      </c>
      <c r="C10590" s="1" t="n">
        <v>45971</v>
      </c>
      <c r="D10590" t="inlineStr">
        <is>
          <t>VÄSTERBOTTENS LÄN</t>
        </is>
      </c>
      <c r="E10590" t="inlineStr">
        <is>
          <t>VINDELN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54456-2025</t>
        </is>
      </c>
      <c r="B10591" s="1" t="n">
        <v>45965.55259259259</v>
      </c>
      <c r="C10591" s="1" t="n">
        <v>45971</v>
      </c>
      <c r="D10591" t="inlineStr">
        <is>
          <t>VÄSTERBOTTENS LÄN</t>
        </is>
      </c>
      <c r="E10591" t="inlineStr">
        <is>
          <t>MALÅ</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54457-2025</t>
        </is>
      </c>
      <c r="B10592" s="1" t="n">
        <v>45965.55269675926</v>
      </c>
      <c r="C10592" s="1" t="n">
        <v>45971</v>
      </c>
      <c r="D10592" t="inlineStr">
        <is>
          <t>VÄSTERBOTTENS LÄN</t>
        </is>
      </c>
      <c r="E10592" t="inlineStr">
        <is>
          <t>NORDMALING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36275-2025</t>
        </is>
      </c>
      <c r="B10593" s="1" t="n">
        <v>45867.63604166666</v>
      </c>
      <c r="C10593" s="1" t="n">
        <v>45971</v>
      </c>
      <c r="D10593" t="inlineStr">
        <is>
          <t>VÄSTERBOTTENS LÄN</t>
        </is>
      </c>
      <c r="E10593" t="inlineStr">
        <is>
          <t>ÅSELE</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35925-2023</t>
        </is>
      </c>
      <c r="B10594" s="1" t="n">
        <v>45148</v>
      </c>
      <c r="C10594" s="1" t="n">
        <v>45971</v>
      </c>
      <c r="D10594" t="inlineStr">
        <is>
          <t>VÄSTERBOTTENS LÄN</t>
        </is>
      </c>
      <c r="E10594" t="inlineStr">
        <is>
          <t>VINDELN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42536-2024</t>
        </is>
      </c>
      <c r="B10595" s="1" t="n">
        <v>45565.58391203704</v>
      </c>
      <c r="C10595" s="1" t="n">
        <v>45971</v>
      </c>
      <c r="D10595" t="inlineStr">
        <is>
          <t>VÄSTERBOTTENS LÄN</t>
        </is>
      </c>
      <c r="E10595" t="inlineStr">
        <is>
          <t>BJURHOLM</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36542-2025</t>
        </is>
      </c>
      <c r="B10596" s="1" t="n">
        <v>45869.6568287037</v>
      </c>
      <c r="C10596" s="1" t="n">
        <v>45971</v>
      </c>
      <c r="D10596" t="inlineStr">
        <is>
          <t>VÄSTERBOTTENS LÄN</t>
        </is>
      </c>
      <c r="E10596" t="inlineStr">
        <is>
          <t>LYCKSELE</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43817-2025</t>
        </is>
      </c>
      <c r="B10597" s="1" t="n">
        <v>45912</v>
      </c>
      <c r="C10597" s="1" t="n">
        <v>45971</v>
      </c>
      <c r="D10597" t="inlineStr">
        <is>
          <t>VÄSTERBOTTENS LÄN</t>
        </is>
      </c>
      <c r="E10597" t="inlineStr">
        <is>
          <t>VILHELMINA</t>
        </is>
      </c>
      <c r="G10597" t="n">
        <v>23.1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2323-2025</t>
        </is>
      </c>
      <c r="B10598" s="1" t="n">
        <v>45673.62765046296</v>
      </c>
      <c r="C10598" s="1" t="n">
        <v>45971</v>
      </c>
      <c r="D10598" t="inlineStr">
        <is>
          <t>VÄSTERBOTTENS LÄN</t>
        </is>
      </c>
      <c r="E10598" t="inlineStr">
        <is>
          <t>LYCKSELE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54326-2025</t>
        </is>
      </c>
      <c r="B10599" s="1" t="n">
        <v>45965.34479166667</v>
      </c>
      <c r="C10599" s="1" t="n">
        <v>45971</v>
      </c>
      <c r="D10599" t="inlineStr">
        <is>
          <t>VÄSTERBOTTENS LÄN</t>
        </is>
      </c>
      <c r="E10599" t="inlineStr">
        <is>
          <t>NORSJÖ</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36580-2025</t>
        </is>
      </c>
      <c r="B10600" s="1" t="n">
        <v>45870.42599537037</v>
      </c>
      <c r="C10600" s="1" t="n">
        <v>45971</v>
      </c>
      <c r="D10600" t="inlineStr">
        <is>
          <t>VÄSTERBOTTENS LÄN</t>
        </is>
      </c>
      <c r="E10600" t="inlineStr">
        <is>
          <t>MALÅ</t>
        </is>
      </c>
      <c r="F10600" t="inlineStr">
        <is>
          <t>Sveaskog</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36439-2025</t>
        </is>
      </c>
      <c r="B10601" s="1" t="n">
        <v>45869.38572916666</v>
      </c>
      <c r="C10601" s="1" t="n">
        <v>45971</v>
      </c>
      <c r="D10601" t="inlineStr">
        <is>
          <t>VÄSTERBOTTENS LÄN</t>
        </is>
      </c>
      <c r="E10601" t="inlineStr">
        <is>
          <t>LYCKSELE</t>
        </is>
      </c>
      <c r="F10601" t="inlineStr">
        <is>
          <t>Holmen skog AB</t>
        </is>
      </c>
      <c r="G10601" t="n">
        <v>14.3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19032-2025</t>
        </is>
      </c>
      <c r="B10602" s="1" t="n">
        <v>45764</v>
      </c>
      <c r="C10602" s="1" t="n">
        <v>45971</v>
      </c>
      <c r="D10602" t="inlineStr">
        <is>
          <t>VÄSTERBOTTENS LÄN</t>
        </is>
      </c>
      <c r="E10602" t="inlineStr">
        <is>
          <t>DOROTEA</t>
        </is>
      </c>
      <c r="F10602" t="inlineStr">
        <is>
          <t>SCA</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36550-2025</t>
        </is>
      </c>
      <c r="B10603" s="1" t="n">
        <v>45870.32920138889</v>
      </c>
      <c r="C10603" s="1" t="n">
        <v>45971</v>
      </c>
      <c r="D10603" t="inlineStr">
        <is>
          <t>VÄSTERBOTTENS LÄN</t>
        </is>
      </c>
      <c r="E10603" t="inlineStr">
        <is>
          <t>NORSJÖ</t>
        </is>
      </c>
      <c r="F10603" t="inlineStr">
        <is>
          <t>Sveaskog</t>
        </is>
      </c>
      <c r="G10603" t="n">
        <v>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36594-2025</t>
        </is>
      </c>
      <c r="B10604" s="1" t="n">
        <v>45870.51164351852</v>
      </c>
      <c r="C10604" s="1" t="n">
        <v>45971</v>
      </c>
      <c r="D10604" t="inlineStr">
        <is>
          <t>VÄSTERBOTTENS LÄN</t>
        </is>
      </c>
      <c r="E10604" t="inlineStr">
        <is>
          <t>ROBERTSFORS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29922-2024</t>
        </is>
      </c>
      <c r="B10605" s="1" t="n">
        <v>45487.9563425926</v>
      </c>
      <c r="C10605" s="1" t="n">
        <v>45971</v>
      </c>
      <c r="D10605" t="inlineStr">
        <is>
          <t>VÄSTERBOTTENS LÄN</t>
        </is>
      </c>
      <c r="E10605" t="inlineStr">
        <is>
          <t>VILHELMINA</t>
        </is>
      </c>
      <c r="F10605" t="inlineStr">
        <is>
          <t>SCA</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14239-2025</t>
        </is>
      </c>
      <c r="B10606" s="1" t="n">
        <v>45740.61157407407</v>
      </c>
      <c r="C10606" s="1" t="n">
        <v>45971</v>
      </c>
      <c r="D10606" t="inlineStr">
        <is>
          <t>VÄSTERBOTTENS LÄN</t>
        </is>
      </c>
      <c r="E10606" t="inlineStr">
        <is>
          <t>VINDELN</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14249-2025</t>
        </is>
      </c>
      <c r="B10607" s="1" t="n">
        <v>45740</v>
      </c>
      <c r="C10607" s="1" t="n">
        <v>45971</v>
      </c>
      <c r="D10607" t="inlineStr">
        <is>
          <t>VÄSTERBOTTENS LÄN</t>
        </is>
      </c>
      <c r="E10607" t="inlineStr">
        <is>
          <t>LYCKSELE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11323-2024</t>
        </is>
      </c>
      <c r="B10608" s="1" t="n">
        <v>45371</v>
      </c>
      <c r="C10608" s="1" t="n">
        <v>45971</v>
      </c>
      <c r="D10608" t="inlineStr">
        <is>
          <t>VÄSTERBOTTENS LÄN</t>
        </is>
      </c>
      <c r="E10608" t="inlineStr">
        <is>
          <t>SORSELE</t>
        </is>
      </c>
      <c r="G10608" t="n">
        <v>12.9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36609-2025</t>
        </is>
      </c>
      <c r="B10609" s="1" t="n">
        <v>45870.57207175926</v>
      </c>
      <c r="C10609" s="1" t="n">
        <v>45971</v>
      </c>
      <c r="D10609" t="inlineStr">
        <is>
          <t>VÄSTERBOTTENS LÄN</t>
        </is>
      </c>
      <c r="E10609" t="inlineStr">
        <is>
          <t>ÅSELE</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36467-2025</t>
        </is>
      </c>
      <c r="B10610" s="1" t="n">
        <v>45869.47054398148</v>
      </c>
      <c r="C10610" s="1" t="n">
        <v>45971</v>
      </c>
      <c r="D10610" t="inlineStr">
        <is>
          <t>VÄSTERBOTTENS LÄN</t>
        </is>
      </c>
      <c r="E10610" t="inlineStr">
        <is>
          <t>ÅSELE</t>
        </is>
      </c>
      <c r="F10610" t="inlineStr">
        <is>
          <t>Holmen skog AB</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29733-2024</t>
        </is>
      </c>
      <c r="B10611" s="1" t="n">
        <v>45485.37736111111</v>
      </c>
      <c r="C10611" s="1" t="n">
        <v>45971</v>
      </c>
      <c r="D10611" t="inlineStr">
        <is>
          <t>VÄSTERBOTTENS LÄN</t>
        </is>
      </c>
      <c r="E10611" t="inlineStr">
        <is>
          <t>NORSJÖ</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54821-2023</t>
        </is>
      </c>
      <c r="B10612" s="1" t="n">
        <v>45236</v>
      </c>
      <c r="C10612" s="1" t="n">
        <v>45971</v>
      </c>
      <c r="D10612" t="inlineStr">
        <is>
          <t>VÄSTERBOTTENS LÄN</t>
        </is>
      </c>
      <c r="E10612" t="inlineStr">
        <is>
          <t>SKELLEFTEÅ</t>
        </is>
      </c>
      <c r="F10612" t="inlineStr">
        <is>
          <t>Kommuner</t>
        </is>
      </c>
      <c r="G10612" t="n">
        <v>8.9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3143-2024</t>
        </is>
      </c>
      <c r="B10613" s="1" t="n">
        <v>45316.58484953704</v>
      </c>
      <c r="C10613" s="1" t="n">
        <v>45971</v>
      </c>
      <c r="D10613" t="inlineStr">
        <is>
          <t>VÄSTERBOTTENS LÄN</t>
        </is>
      </c>
      <c r="E10613" t="inlineStr">
        <is>
          <t>SKELLEFTEÅ</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12365-2025</t>
        </is>
      </c>
      <c r="B10614" s="1" t="n">
        <v>45730.37549768519</v>
      </c>
      <c r="C10614" s="1" t="n">
        <v>45971</v>
      </c>
      <c r="D10614" t="inlineStr">
        <is>
          <t>VÄSTERBOTTENS LÄN</t>
        </is>
      </c>
      <c r="E10614" t="inlineStr">
        <is>
          <t>VILHELMINA</t>
        </is>
      </c>
      <c r="F10614" t="inlineStr">
        <is>
          <t>Övriga statliga verk och myndigheter</t>
        </is>
      </c>
      <c r="G10614" t="n">
        <v>11.5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12370-2025</t>
        </is>
      </c>
      <c r="B10615" s="1" t="n">
        <v>45730.37681712963</v>
      </c>
      <c r="C10615" s="1" t="n">
        <v>45971</v>
      </c>
      <c r="D10615" t="inlineStr">
        <is>
          <t>VÄSTERBOTTENS LÄN</t>
        </is>
      </c>
      <c r="E10615" t="inlineStr">
        <is>
          <t>VILHELMINA</t>
        </is>
      </c>
      <c r="F10615" t="inlineStr">
        <is>
          <t>Övriga statliga verk och myndigheter</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2811-2025</t>
        </is>
      </c>
      <c r="B10616" s="1" t="n">
        <v>45677.59689814815</v>
      </c>
      <c r="C10616" s="1" t="n">
        <v>45971</v>
      </c>
      <c r="D10616" t="inlineStr">
        <is>
          <t>VÄSTERBOTTENS LÄN</t>
        </is>
      </c>
      <c r="E10616" t="inlineStr">
        <is>
          <t>SKELLEFTEÅ</t>
        </is>
      </c>
      <c r="F10616" t="inlineStr">
        <is>
          <t>Holmen skog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26027-2025</t>
        </is>
      </c>
      <c r="B10617" s="1" t="n">
        <v>45804</v>
      </c>
      <c r="C10617" s="1" t="n">
        <v>45971</v>
      </c>
      <c r="D10617" t="inlineStr">
        <is>
          <t>VÄSTERBOTTENS LÄN</t>
        </is>
      </c>
      <c r="E10617" t="inlineStr">
        <is>
          <t>SORSELE</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51874-2022</t>
        </is>
      </c>
      <c r="B10618" s="1" t="n">
        <v>44872.59645833333</v>
      </c>
      <c r="C10618" s="1" t="n">
        <v>45971</v>
      </c>
      <c r="D10618" t="inlineStr">
        <is>
          <t>VÄSTERBOTTENS LÄN</t>
        </is>
      </c>
      <c r="E10618" t="inlineStr">
        <is>
          <t>SKELLEFTEÅ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36578-2025</t>
        </is>
      </c>
      <c r="B10619" s="1" t="n">
        <v>45870.41876157407</v>
      </c>
      <c r="C10619" s="1" t="n">
        <v>45971</v>
      </c>
      <c r="D10619" t="inlineStr">
        <is>
          <t>VÄSTERBOTTENS LÄN</t>
        </is>
      </c>
      <c r="E10619" t="inlineStr">
        <is>
          <t>UMEÅ</t>
        </is>
      </c>
      <c r="F10619" t="inlineStr">
        <is>
          <t>Holmen skog AB</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5726-2024</t>
        </is>
      </c>
      <c r="B10620" s="1" t="n">
        <v>45334.9250925926</v>
      </c>
      <c r="C10620" s="1" t="n">
        <v>45971</v>
      </c>
      <c r="D10620" t="inlineStr">
        <is>
          <t>VÄSTERBOTTENS LÄN</t>
        </is>
      </c>
      <c r="E10620" t="inlineStr">
        <is>
          <t>ÅSELE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26861-2024</t>
        </is>
      </c>
      <c r="B10621" s="1" t="n">
        <v>45470</v>
      </c>
      <c r="C10621" s="1" t="n">
        <v>45971</v>
      </c>
      <c r="D10621" t="inlineStr">
        <is>
          <t>VÄSTERBOTTENS LÄN</t>
        </is>
      </c>
      <c r="E10621" t="inlineStr">
        <is>
          <t>UMEÅ</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54853-2025</t>
        </is>
      </c>
      <c r="B10622" s="1" t="n">
        <v>45966.72503472222</v>
      </c>
      <c r="C10622" s="1" t="n">
        <v>45971</v>
      </c>
      <c r="D10622" t="inlineStr">
        <is>
          <t>VÄSTERBOTTENS LÄN</t>
        </is>
      </c>
      <c r="E10622" t="inlineStr">
        <is>
          <t>ÅSELE</t>
        </is>
      </c>
      <c r="F10622" t="inlineStr">
        <is>
          <t>Sveaskog</t>
        </is>
      </c>
      <c r="G10622" t="n">
        <v>29.3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36559-2025</t>
        </is>
      </c>
      <c r="B10623" s="1" t="n">
        <v>45870.36071759259</v>
      </c>
      <c r="C10623" s="1" t="n">
        <v>45971</v>
      </c>
      <c r="D10623" t="inlineStr">
        <is>
          <t>VÄSTERBOTTENS LÄN</t>
        </is>
      </c>
      <c r="E10623" t="inlineStr">
        <is>
          <t>ÅSELE</t>
        </is>
      </c>
      <c r="F10623" t="inlineStr">
        <is>
          <t>Holmen skog AB</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36613-2025</t>
        </is>
      </c>
      <c r="B10624" s="1" t="n">
        <v>45870.60596064815</v>
      </c>
      <c r="C10624" s="1" t="n">
        <v>45971</v>
      </c>
      <c r="D10624" t="inlineStr">
        <is>
          <t>VÄSTERBOTTENS LÄN</t>
        </is>
      </c>
      <c r="E10624" t="inlineStr">
        <is>
          <t>NORSJÖ</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33638-2024</t>
        </is>
      </c>
      <c r="B10625" s="1" t="n">
        <v>45520.44297453704</v>
      </c>
      <c r="C10625" s="1" t="n">
        <v>45971</v>
      </c>
      <c r="D10625" t="inlineStr">
        <is>
          <t>VÄSTERBOTTENS LÄN</t>
        </is>
      </c>
      <c r="E10625" t="inlineStr">
        <is>
          <t>SORSELE</t>
        </is>
      </c>
      <c r="F10625" t="inlineStr">
        <is>
          <t>Sveaskog</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3088-2024</t>
        </is>
      </c>
      <c r="B10626" s="1" t="n">
        <v>45316</v>
      </c>
      <c r="C10626" s="1" t="n">
        <v>45971</v>
      </c>
      <c r="D10626" t="inlineStr">
        <is>
          <t>VÄSTERBOTTENS LÄN</t>
        </is>
      </c>
      <c r="E10626" t="inlineStr">
        <is>
          <t>ÅSELE</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3111-2024</t>
        </is>
      </c>
      <c r="B10627" s="1" t="n">
        <v>45316</v>
      </c>
      <c r="C10627" s="1" t="n">
        <v>45971</v>
      </c>
      <c r="D10627" t="inlineStr">
        <is>
          <t>VÄSTERBOTTENS LÄN</t>
        </is>
      </c>
      <c r="E10627" t="inlineStr">
        <is>
          <t>ÅSELE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46062-2025</t>
        </is>
      </c>
      <c r="B10628" s="1" t="n">
        <v>45924.4768287037</v>
      </c>
      <c r="C10628" s="1" t="n">
        <v>45971</v>
      </c>
      <c r="D10628" t="inlineStr">
        <is>
          <t>VÄSTERBOTTENS LÄN</t>
        </is>
      </c>
      <c r="E10628" t="inlineStr">
        <is>
          <t>UMEÅ</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33682-2024</t>
        </is>
      </c>
      <c r="B10629" s="1" t="n">
        <v>45520.50972222222</v>
      </c>
      <c r="C10629" s="1" t="n">
        <v>45971</v>
      </c>
      <c r="D10629" t="inlineStr">
        <is>
          <t>VÄSTERBOTTENS LÄN</t>
        </is>
      </c>
      <c r="E10629" t="inlineStr">
        <is>
          <t>SORSELE</t>
        </is>
      </c>
      <c r="F10629" t="inlineStr">
        <is>
          <t>Sveaskog</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33692-2024</t>
        </is>
      </c>
      <c r="B10630" s="1" t="n">
        <v>45520.51524305555</v>
      </c>
      <c r="C10630" s="1" t="n">
        <v>45971</v>
      </c>
      <c r="D10630" t="inlineStr">
        <is>
          <t>VÄSTERBOTTENS LÄN</t>
        </is>
      </c>
      <c r="E10630" t="inlineStr">
        <is>
          <t>MALÅ</t>
        </is>
      </c>
      <c r="F10630" t="inlineStr">
        <is>
          <t>Sveaskog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45779-2025</t>
        </is>
      </c>
      <c r="B10631" s="1" t="n">
        <v>45923</v>
      </c>
      <c r="C10631" s="1" t="n">
        <v>45971</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65178-2023</t>
        </is>
      </c>
      <c r="B10632" s="1" t="n">
        <v>45288.93209490741</v>
      </c>
      <c r="C10632" s="1" t="n">
        <v>45971</v>
      </c>
      <c r="D10632" t="inlineStr">
        <is>
          <t>VÄSTERBOTTENS LÄN</t>
        </is>
      </c>
      <c r="E10632" t="inlineStr">
        <is>
          <t>SKELLEFTEÅ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52956-2022</t>
        </is>
      </c>
      <c r="B10633" s="1" t="n">
        <v>44875</v>
      </c>
      <c r="C10633" s="1" t="n">
        <v>45971</v>
      </c>
      <c r="D10633" t="inlineStr">
        <is>
          <t>VÄSTERBOTTENS LÄN</t>
        </is>
      </c>
      <c r="E10633" t="inlineStr">
        <is>
          <t>LYCKSELE</t>
        </is>
      </c>
      <c r="F10633" t="inlineStr">
        <is>
          <t>Holmen skog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36634-2025</t>
        </is>
      </c>
      <c r="B10634" s="1" t="n">
        <v>45870.69335648148</v>
      </c>
      <c r="C10634" s="1" t="n">
        <v>45971</v>
      </c>
      <c r="D10634" t="inlineStr">
        <is>
          <t>VÄSTERBOTTENS LÄN</t>
        </is>
      </c>
      <c r="E10634" t="inlineStr">
        <is>
          <t>ÅSELE</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33699-2024</t>
        </is>
      </c>
      <c r="B10635" s="1" t="n">
        <v>45520.52138888889</v>
      </c>
      <c r="C10635" s="1" t="n">
        <v>45971</v>
      </c>
      <c r="D10635" t="inlineStr">
        <is>
          <t>VÄSTERBOTTENS LÄN</t>
        </is>
      </c>
      <c r="E10635" t="inlineStr">
        <is>
          <t>LYCKSELE</t>
        </is>
      </c>
      <c r="F10635" t="inlineStr">
        <is>
          <t>Sveaskog</t>
        </is>
      </c>
      <c r="G10635" t="n">
        <v>16.3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33716-2024</t>
        </is>
      </c>
      <c r="B10636" s="1" t="n">
        <v>45520.53516203703</v>
      </c>
      <c r="C10636" s="1" t="n">
        <v>45971</v>
      </c>
      <c r="D10636" t="inlineStr">
        <is>
          <t>VÄSTERBOTTENS LÄN</t>
        </is>
      </c>
      <c r="E10636" t="inlineStr">
        <is>
          <t>LYCKSELE</t>
        </is>
      </c>
      <c r="F10636" t="inlineStr">
        <is>
          <t>Sveaskog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36569-2025</t>
        </is>
      </c>
      <c r="B10637" s="1" t="n">
        <v>45870</v>
      </c>
      <c r="C10637" s="1" t="n">
        <v>45971</v>
      </c>
      <c r="D10637" t="inlineStr">
        <is>
          <t>VÄSTERBOTTENS LÄN</t>
        </is>
      </c>
      <c r="E10637" t="inlineStr">
        <is>
          <t>VILHELMINA</t>
        </is>
      </c>
      <c r="F10637" t="inlineStr">
        <is>
          <t>SCA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36576-2025</t>
        </is>
      </c>
      <c r="B10638" s="1" t="n">
        <v>45870.41331018518</v>
      </c>
      <c r="C10638" s="1" t="n">
        <v>45971</v>
      </c>
      <c r="D10638" t="inlineStr">
        <is>
          <t>VÄSTERBOTTENS LÄN</t>
        </is>
      </c>
      <c r="E10638" t="inlineStr">
        <is>
          <t>ÅSELE</t>
        </is>
      </c>
      <c r="F10638" t="inlineStr">
        <is>
          <t>Holmen skog AB</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33717-2024</t>
        </is>
      </c>
      <c r="B10639" s="1" t="n">
        <v>45520.53523148148</v>
      </c>
      <c r="C10639" s="1" t="n">
        <v>45971</v>
      </c>
      <c r="D10639" t="inlineStr">
        <is>
          <t>VÄSTERBOTTENS LÄN</t>
        </is>
      </c>
      <c r="E10639" t="inlineStr">
        <is>
          <t>LYCKSELE</t>
        </is>
      </c>
      <c r="F10639" t="inlineStr">
        <is>
          <t>Sveaskog</t>
        </is>
      </c>
      <c r="G10639" t="n">
        <v>13.6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36583-2025</t>
        </is>
      </c>
      <c r="B10640" s="1" t="n">
        <v>45870.43251157407</v>
      </c>
      <c r="C10640" s="1" t="n">
        <v>45971</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58852-2024</t>
        </is>
      </c>
      <c r="B10641" s="1" t="n">
        <v>45635</v>
      </c>
      <c r="C10641" s="1" t="n">
        <v>45971</v>
      </c>
      <c r="D10641" t="inlineStr">
        <is>
          <t>VÄSTERBOTTENS LÄN</t>
        </is>
      </c>
      <c r="E10641" t="inlineStr">
        <is>
          <t>STORUMAN</t>
        </is>
      </c>
      <c r="F10641" t="inlineStr">
        <is>
          <t>Allmännings- och besparingsskogar</t>
        </is>
      </c>
      <c r="G10641" t="n">
        <v>454.3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59730-2024</t>
        </is>
      </c>
      <c r="B10642" s="1" t="n">
        <v>45639</v>
      </c>
      <c r="C10642" s="1" t="n">
        <v>45971</v>
      </c>
      <c r="D10642" t="inlineStr">
        <is>
          <t>VÄSTERBOTTENS LÄN</t>
        </is>
      </c>
      <c r="E10642" t="inlineStr">
        <is>
          <t>SORSELE</t>
        </is>
      </c>
      <c r="G10642" t="n">
        <v>68.2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2022-2024</t>
        </is>
      </c>
      <c r="B10643" s="1" t="n">
        <v>45308</v>
      </c>
      <c r="C10643" s="1" t="n">
        <v>45971</v>
      </c>
      <c r="D10643" t="inlineStr">
        <is>
          <t>VÄSTERBOTTENS LÄN</t>
        </is>
      </c>
      <c r="E10643" t="inlineStr">
        <is>
          <t>VILHELMINA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56807-2021</t>
        </is>
      </c>
      <c r="B10644" s="1" t="n">
        <v>44481</v>
      </c>
      <c r="C10644" s="1" t="n">
        <v>45971</v>
      </c>
      <c r="D10644" t="inlineStr">
        <is>
          <t>VÄSTERBOTTENS LÄN</t>
        </is>
      </c>
      <c r="E10644" t="inlineStr">
        <is>
          <t>DOROTEA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36495-2025</t>
        </is>
      </c>
      <c r="B10645" s="1" t="n">
        <v>45869</v>
      </c>
      <c r="C10645" s="1" t="n">
        <v>45971</v>
      </c>
      <c r="D10645" t="inlineStr">
        <is>
          <t>VÄSTERBOTTENS LÄN</t>
        </is>
      </c>
      <c r="E10645" t="inlineStr">
        <is>
          <t>SORSELE</t>
        </is>
      </c>
      <c r="F10645" t="inlineStr">
        <is>
          <t>Sveaskog</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17732-2024</t>
        </is>
      </c>
      <c r="B10646" s="1" t="n">
        <v>45415</v>
      </c>
      <c r="C10646" s="1" t="n">
        <v>45971</v>
      </c>
      <c r="D10646" t="inlineStr">
        <is>
          <t>VÄSTERBOTTENS LÄN</t>
        </is>
      </c>
      <c r="E10646" t="inlineStr">
        <is>
          <t>VILHELMINA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44622-2024</t>
        </is>
      </c>
      <c r="B10647" s="1" t="n">
        <v>45574.51344907407</v>
      </c>
      <c r="C10647" s="1" t="n">
        <v>45971</v>
      </c>
      <c r="D10647" t="inlineStr">
        <is>
          <t>VÄSTERBOTTENS LÄN</t>
        </is>
      </c>
      <c r="E10647" t="inlineStr">
        <is>
          <t>ÅSELE</t>
        </is>
      </c>
      <c r="F10647" t="inlineStr">
        <is>
          <t>SCA</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45876-2025</t>
        </is>
      </c>
      <c r="B10648" s="1" t="n">
        <v>45923.65701388889</v>
      </c>
      <c r="C10648" s="1" t="n">
        <v>45971</v>
      </c>
      <c r="D10648" t="inlineStr">
        <is>
          <t>VÄSTERBOTTENS LÄN</t>
        </is>
      </c>
      <c r="E10648" t="inlineStr">
        <is>
          <t>UMEÅ</t>
        </is>
      </c>
      <c r="G10648" t="n">
        <v>12.7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44672-2024</t>
        </is>
      </c>
      <c r="B10649" s="1" t="n">
        <v>45574.53748842593</v>
      </c>
      <c r="C10649" s="1" t="n">
        <v>45971</v>
      </c>
      <c r="D10649" t="inlineStr">
        <is>
          <t>VÄSTERBOTTENS LÄN</t>
        </is>
      </c>
      <c r="E10649" t="inlineStr">
        <is>
          <t>LYCKSELE</t>
        </is>
      </c>
      <c r="F10649" t="inlineStr">
        <is>
          <t>Sveaskog</t>
        </is>
      </c>
      <c r="G10649" t="n">
        <v>11.6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36792-2024</t>
        </is>
      </c>
      <c r="B10650" s="1" t="n">
        <v>45538.44001157407</v>
      </c>
      <c r="C10650" s="1" t="n">
        <v>45971</v>
      </c>
      <c r="D10650" t="inlineStr">
        <is>
          <t>VÄSTERBOTTENS LÄN</t>
        </is>
      </c>
      <c r="E10650" t="inlineStr">
        <is>
          <t>SKELLEFTEÅ</t>
        </is>
      </c>
      <c r="F10650" t="inlineStr">
        <is>
          <t>Sveaskog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36794-2024</t>
        </is>
      </c>
      <c r="B10651" s="1" t="n">
        <v>45538.44354166667</v>
      </c>
      <c r="C10651" s="1" t="n">
        <v>45971</v>
      </c>
      <c r="D10651" t="inlineStr">
        <is>
          <t>VÄSTERBOTTENS LÄN</t>
        </is>
      </c>
      <c r="E10651" t="inlineStr">
        <is>
          <t>SKELLEFTEÅ</t>
        </is>
      </c>
      <c r="F10651" t="inlineStr">
        <is>
          <t>Sveaskog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36845-2025</t>
        </is>
      </c>
      <c r="B10652" s="1" t="n">
        <v>45874.38578703703</v>
      </c>
      <c r="C10652" s="1" t="n">
        <v>45971</v>
      </c>
      <c r="D10652" t="inlineStr">
        <is>
          <t>VÄSTERBOTTENS LÄN</t>
        </is>
      </c>
      <c r="E10652" t="inlineStr">
        <is>
          <t>DOROTEA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36901-2025</t>
        </is>
      </c>
      <c r="B10653" s="1" t="n">
        <v>45874.48631944445</v>
      </c>
      <c r="C10653" s="1" t="n">
        <v>45971</v>
      </c>
      <c r="D10653" t="inlineStr">
        <is>
          <t>VÄSTERBOTTENS LÄN</t>
        </is>
      </c>
      <c r="E10653" t="inlineStr">
        <is>
          <t>BJURHOLM</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36903-2025</t>
        </is>
      </c>
      <c r="B10654" s="1" t="n">
        <v>45874.48923611111</v>
      </c>
      <c r="C10654" s="1" t="n">
        <v>45971</v>
      </c>
      <c r="D10654" t="inlineStr">
        <is>
          <t>VÄSTERBOTTENS LÄN</t>
        </is>
      </c>
      <c r="E10654" t="inlineStr">
        <is>
          <t>SKELLEFTEÅ</t>
        </is>
      </c>
      <c r="F10654" t="inlineStr">
        <is>
          <t>Sveaskog</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36905-2025</t>
        </is>
      </c>
      <c r="B10655" s="1" t="n">
        <v>45874.49083333334</v>
      </c>
      <c r="C10655" s="1" t="n">
        <v>45971</v>
      </c>
      <c r="D10655" t="inlineStr">
        <is>
          <t>VÄSTERBOTTENS LÄN</t>
        </is>
      </c>
      <c r="E10655" t="inlineStr">
        <is>
          <t>UMEÅ</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28808-2024</t>
        </is>
      </c>
      <c r="B10656" s="1" t="n">
        <v>45478</v>
      </c>
      <c r="C10656" s="1" t="n">
        <v>45971</v>
      </c>
      <c r="D10656" t="inlineStr">
        <is>
          <t>VÄSTERBOTTENS LÄN</t>
        </is>
      </c>
      <c r="E10656" t="inlineStr">
        <is>
          <t>NORSJÖ</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54570-2025</t>
        </is>
      </c>
      <c r="B10657" s="1" t="n">
        <v>45965.67487268519</v>
      </c>
      <c r="C10657" s="1" t="n">
        <v>45971</v>
      </c>
      <c r="D10657" t="inlineStr">
        <is>
          <t>VÄSTERBOTTENS LÄN</t>
        </is>
      </c>
      <c r="E10657" t="inlineStr">
        <is>
          <t>VÄNNÄS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45655-2025</t>
        </is>
      </c>
      <c r="B10658" s="1" t="n">
        <v>45923.34252314815</v>
      </c>
      <c r="C10658" s="1" t="n">
        <v>45971</v>
      </c>
      <c r="D10658" t="inlineStr">
        <is>
          <t>VÄSTERBOTTENS LÄN</t>
        </is>
      </c>
      <c r="E10658" t="inlineStr">
        <is>
          <t>SKELLEFTEÅ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45658-2025</t>
        </is>
      </c>
      <c r="B10659" s="1" t="n">
        <v>45923.34459490741</v>
      </c>
      <c r="C10659" s="1" t="n">
        <v>45971</v>
      </c>
      <c r="D10659" t="inlineStr">
        <is>
          <t>VÄSTERBOTTENS LÄN</t>
        </is>
      </c>
      <c r="E10659" t="inlineStr">
        <is>
          <t>SKELLEFTEÅ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41980-2024</t>
        </is>
      </c>
      <c r="B10660" s="1" t="n">
        <v>45561.63130787037</v>
      </c>
      <c r="C10660" s="1" t="n">
        <v>45971</v>
      </c>
      <c r="D10660" t="inlineStr">
        <is>
          <t>VÄSTERBOTTENS LÄN</t>
        </is>
      </c>
      <c r="E10660" t="inlineStr">
        <is>
          <t>LYCKSELE</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54690-2025</t>
        </is>
      </c>
      <c r="B10661" s="1" t="n">
        <v>45966.45320601852</v>
      </c>
      <c r="C10661" s="1" t="n">
        <v>45971</v>
      </c>
      <c r="D10661" t="inlineStr">
        <is>
          <t>VÄSTERBOTTENS LÄN</t>
        </is>
      </c>
      <c r="E10661" t="inlineStr">
        <is>
          <t>SKELLEFTEÅ</t>
        </is>
      </c>
      <c r="F10661" t="inlineStr">
        <is>
          <t>Sveaskog</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23170-2024</t>
        </is>
      </c>
      <c r="B10662" s="1" t="n">
        <v>45450.92833333334</v>
      </c>
      <c r="C10662" s="1" t="n">
        <v>45971</v>
      </c>
      <c r="D10662" t="inlineStr">
        <is>
          <t>VÄSTERBOTTENS LÄN</t>
        </is>
      </c>
      <c r="E10662" t="inlineStr">
        <is>
          <t>NORSJÖ</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36888-2025</t>
        </is>
      </c>
      <c r="B10663" s="1" t="n">
        <v>45874.44873842593</v>
      </c>
      <c r="C10663" s="1" t="n">
        <v>45971</v>
      </c>
      <c r="D10663" t="inlineStr">
        <is>
          <t>VÄSTERBOTTENS LÄN</t>
        </is>
      </c>
      <c r="E10663" t="inlineStr">
        <is>
          <t>SKELLEFTEÅ</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10696-2023</t>
        </is>
      </c>
      <c r="B10664" s="1" t="n">
        <v>44984</v>
      </c>
      <c r="C10664" s="1" t="n">
        <v>45971</v>
      </c>
      <c r="D10664" t="inlineStr">
        <is>
          <t>VÄSTERBOTTENS LÄN</t>
        </is>
      </c>
      <c r="E10664" t="inlineStr">
        <is>
          <t>SKELLEFTEÅ</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31486-2024</t>
        </is>
      </c>
      <c r="B10665" s="1" t="n">
        <v>45505.95335648148</v>
      </c>
      <c r="C10665" s="1" t="n">
        <v>45971</v>
      </c>
      <c r="D10665" t="inlineStr">
        <is>
          <t>VÄSTERBOTTENS LÄN</t>
        </is>
      </c>
      <c r="E10665" t="inlineStr">
        <is>
          <t>NORDMALING</t>
        </is>
      </c>
      <c r="F10665" t="inlineStr">
        <is>
          <t>SCA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36739-2025</t>
        </is>
      </c>
      <c r="B10666" s="1" t="n">
        <v>45873.53224537037</v>
      </c>
      <c r="C10666" s="1" t="n">
        <v>45971</v>
      </c>
      <c r="D10666" t="inlineStr">
        <is>
          <t>VÄSTERBOTTENS LÄN</t>
        </is>
      </c>
      <c r="E10666" t="inlineStr">
        <is>
          <t>UMEÅ</t>
        </is>
      </c>
      <c r="F10666" t="inlineStr">
        <is>
          <t>Kommuner</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36762-2025</t>
        </is>
      </c>
      <c r="B10667" s="1" t="n">
        <v>45873.57332175926</v>
      </c>
      <c r="C10667" s="1" t="n">
        <v>45971</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34130-2024</t>
        </is>
      </c>
      <c r="B10668" s="1" t="n">
        <v>45524.34668981482</v>
      </c>
      <c r="C10668" s="1" t="n">
        <v>45971</v>
      </c>
      <c r="D10668" t="inlineStr">
        <is>
          <t>VÄSTERBOTTENS LÄN</t>
        </is>
      </c>
      <c r="E10668" t="inlineStr">
        <is>
          <t>VILHELMINA</t>
        </is>
      </c>
      <c r="F10668" t="inlineStr">
        <is>
          <t>Sveaskog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31872-2024</t>
        </is>
      </c>
      <c r="B10669" s="1" t="n">
        <v>45509.9290625</v>
      </c>
      <c r="C10669" s="1" t="n">
        <v>45971</v>
      </c>
      <c r="D10669" t="inlineStr">
        <is>
          <t>VÄSTERBOTTENS LÄN</t>
        </is>
      </c>
      <c r="E10669" t="inlineStr">
        <is>
          <t>SKELLEFTEÅ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54795-2025</t>
        </is>
      </c>
      <c r="B10670" s="1" t="n">
        <v>45966.63616898148</v>
      </c>
      <c r="C10670" s="1" t="n">
        <v>45971</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54796-2025</t>
        </is>
      </c>
      <c r="B10671" s="1" t="n">
        <v>45966.63635416667</v>
      </c>
      <c r="C10671" s="1" t="n">
        <v>45971</v>
      </c>
      <c r="D10671" t="inlineStr">
        <is>
          <t>VÄSTERBOTTENS LÄN</t>
        </is>
      </c>
      <c r="E10671" t="inlineStr">
        <is>
          <t>UMEÅ</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36801-2025</t>
        </is>
      </c>
      <c r="B10672" s="1" t="n">
        <v>45873.66607638889</v>
      </c>
      <c r="C10672" s="1" t="n">
        <v>45971</v>
      </c>
      <c r="D10672" t="inlineStr">
        <is>
          <t>VÄSTERBOTTENS LÄN</t>
        </is>
      </c>
      <c r="E10672" t="inlineStr">
        <is>
          <t>VÄNNÄS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31903-2024</t>
        </is>
      </c>
      <c r="B10673" s="1" t="n">
        <v>45510.32447916667</v>
      </c>
      <c r="C10673" s="1" t="n">
        <v>45971</v>
      </c>
      <c r="D10673" t="inlineStr">
        <is>
          <t>VÄSTERBOTTENS LÄN</t>
        </is>
      </c>
      <c r="E10673" t="inlineStr">
        <is>
          <t>UMEÅ</t>
        </is>
      </c>
      <c r="F10673" t="inlineStr">
        <is>
          <t>Holmen skog AB</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31905-2024</t>
        </is>
      </c>
      <c r="B10674" s="1" t="n">
        <v>45510.34210648148</v>
      </c>
      <c r="C10674" s="1" t="n">
        <v>45971</v>
      </c>
      <c r="D10674" t="inlineStr">
        <is>
          <t>VÄSTERBOTTENS LÄN</t>
        </is>
      </c>
      <c r="E10674" t="inlineStr">
        <is>
          <t>ROBERTSFORS</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33704-2024</t>
        </is>
      </c>
      <c r="B10675" s="1" t="n">
        <v>45520.52381944445</v>
      </c>
      <c r="C10675" s="1" t="n">
        <v>45971</v>
      </c>
      <c r="D10675" t="inlineStr">
        <is>
          <t>VÄSTERBOTTENS LÄN</t>
        </is>
      </c>
      <c r="E10675" t="inlineStr">
        <is>
          <t>LYCKSELE</t>
        </is>
      </c>
      <c r="F10675" t="inlineStr">
        <is>
          <t>Sveaskog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54846-2025</t>
        </is>
      </c>
      <c r="B10676" s="1" t="n">
        <v>45966.70601851852</v>
      </c>
      <c r="C10676" s="1" t="n">
        <v>45971</v>
      </c>
      <c r="D10676" t="inlineStr">
        <is>
          <t>VÄSTERBOTTENS LÄN</t>
        </is>
      </c>
      <c r="E10676" t="inlineStr">
        <is>
          <t>ÅSELE</t>
        </is>
      </c>
      <c r="F10676" t="inlineStr">
        <is>
          <t>Sveaskog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54849-2025</t>
        </is>
      </c>
      <c r="B10677" s="1" t="n">
        <v>45966.71070601852</v>
      </c>
      <c r="C10677" s="1" t="n">
        <v>45971</v>
      </c>
      <c r="D10677" t="inlineStr">
        <is>
          <t>VÄSTERBOTTENS LÄN</t>
        </is>
      </c>
      <c r="E10677" t="inlineStr">
        <is>
          <t>ÅSELE</t>
        </is>
      </c>
      <c r="F10677" t="inlineStr">
        <is>
          <t>Sveaskog</t>
        </is>
      </c>
      <c r="G10677" t="n">
        <v>19.3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36925-2025</t>
        </is>
      </c>
      <c r="B10678" s="1" t="n">
        <v>45874.5504050926</v>
      </c>
      <c r="C10678" s="1" t="n">
        <v>45971</v>
      </c>
      <c r="D10678" t="inlineStr">
        <is>
          <t>VÄSTERBOTTENS LÄN</t>
        </is>
      </c>
      <c r="E10678" t="inlineStr">
        <is>
          <t>SKELLEFTEÅ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36952-2025</t>
        </is>
      </c>
      <c r="B10679" s="1" t="n">
        <v>45874.6078587963</v>
      </c>
      <c r="C10679" s="1" t="n">
        <v>45971</v>
      </c>
      <c r="D10679" t="inlineStr">
        <is>
          <t>VÄSTERBOTTENS LÄN</t>
        </is>
      </c>
      <c r="E10679" t="inlineStr">
        <is>
          <t>ÅSELE</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45708-2024</t>
        </is>
      </c>
      <c r="B10680" s="1" t="n">
        <v>45579.5771875</v>
      </c>
      <c r="C10680" s="1" t="n">
        <v>45971</v>
      </c>
      <c r="D10680" t="inlineStr">
        <is>
          <t>VÄSTERBOTTENS LÄN</t>
        </is>
      </c>
      <c r="E10680" t="inlineStr">
        <is>
          <t>LYCKSELE</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55066-2024</t>
        </is>
      </c>
      <c r="B10681" s="1" t="n">
        <v>45621.41215277778</v>
      </c>
      <c r="C10681" s="1" t="n">
        <v>45971</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46206-2025</t>
        </is>
      </c>
      <c r="B10682" s="1" t="n">
        <v>45924.7058912037</v>
      </c>
      <c r="C10682" s="1" t="n">
        <v>45971</v>
      </c>
      <c r="D10682" t="inlineStr">
        <is>
          <t>VÄSTERBOTTENS LÄN</t>
        </is>
      </c>
      <c r="E10682" t="inlineStr">
        <is>
          <t>VINDELN</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49275-2024</t>
        </is>
      </c>
      <c r="B10683" s="1" t="n">
        <v>45595.50810185185</v>
      </c>
      <c r="C10683" s="1" t="n">
        <v>45971</v>
      </c>
      <c r="D10683" t="inlineStr">
        <is>
          <t>VÄSTERBOTTENS LÄN</t>
        </is>
      </c>
      <c r="E10683" t="inlineStr">
        <is>
          <t>MALÅ</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36832-2025</t>
        </is>
      </c>
      <c r="B10684" s="1" t="n">
        <v>45874.34928240741</v>
      </c>
      <c r="C10684" s="1" t="n">
        <v>45971</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49279-2024</t>
        </is>
      </c>
      <c r="B10685" s="1" t="n">
        <v>45595.50831018519</v>
      </c>
      <c r="C10685" s="1" t="n">
        <v>45971</v>
      </c>
      <c r="D10685" t="inlineStr">
        <is>
          <t>VÄSTERBOTTENS LÄN</t>
        </is>
      </c>
      <c r="E10685" t="inlineStr">
        <is>
          <t>SKELLEFTEÅ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36813-2025</t>
        </is>
      </c>
      <c r="B10686" s="1" t="n">
        <v>45873</v>
      </c>
      <c r="C10686" s="1" t="n">
        <v>45971</v>
      </c>
      <c r="D10686" t="inlineStr">
        <is>
          <t>VÄSTERBOTTENS LÄN</t>
        </is>
      </c>
      <c r="E10686" t="inlineStr">
        <is>
          <t>ROBERTSFORS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36848-2025</t>
        </is>
      </c>
      <c r="B10687" s="1" t="n">
        <v>45874.38707175926</v>
      </c>
      <c r="C10687" s="1" t="n">
        <v>45971</v>
      </c>
      <c r="D10687" t="inlineStr">
        <is>
          <t>VÄSTERBOTTENS LÄN</t>
        </is>
      </c>
      <c r="E10687" t="inlineStr">
        <is>
          <t>SKELLEFTEÅ</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54557-2025</t>
        </is>
      </c>
      <c r="B10688" s="1" t="n">
        <v>45965.66099537037</v>
      </c>
      <c r="C10688" s="1" t="n">
        <v>45971</v>
      </c>
      <c r="D10688" t="inlineStr">
        <is>
          <t>VÄSTERBOTTENS LÄN</t>
        </is>
      </c>
      <c r="E10688" t="inlineStr">
        <is>
          <t>SKELLEFTEÅ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44616-2022</t>
        </is>
      </c>
      <c r="B10689" s="1" t="n">
        <v>44839</v>
      </c>
      <c r="C10689" s="1" t="n">
        <v>45971</v>
      </c>
      <c r="D10689" t="inlineStr">
        <is>
          <t>VÄSTERBOTTENS LÄN</t>
        </is>
      </c>
      <c r="E10689" t="inlineStr">
        <is>
          <t>SKELLEFTEÅ</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46541-2022</t>
        </is>
      </c>
      <c r="B10690" s="1" t="n">
        <v>44847</v>
      </c>
      <c r="C10690" s="1" t="n">
        <v>45971</v>
      </c>
      <c r="D10690" t="inlineStr">
        <is>
          <t>VÄSTERBOTTENS LÄN</t>
        </is>
      </c>
      <c r="E10690" t="inlineStr">
        <is>
          <t>LYCKSELE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50944-2024</t>
        </is>
      </c>
      <c r="B10691" s="1" t="n">
        <v>45602</v>
      </c>
      <c r="C10691" s="1" t="n">
        <v>45971</v>
      </c>
      <c r="D10691" t="inlineStr">
        <is>
          <t>VÄSTERBOTTENS LÄN</t>
        </is>
      </c>
      <c r="E10691" t="inlineStr">
        <is>
          <t>SORSELE</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54588-2025</t>
        </is>
      </c>
      <c r="B10692" s="1" t="n">
        <v>45965.73465277778</v>
      </c>
      <c r="C10692" s="1" t="n">
        <v>45971</v>
      </c>
      <c r="D10692" t="inlineStr">
        <is>
          <t>VÄSTERBOTTENS LÄN</t>
        </is>
      </c>
      <c r="E10692" t="inlineStr">
        <is>
          <t>ROBERTSFORS</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54589-2025</t>
        </is>
      </c>
      <c r="B10693" s="1" t="n">
        <v>45965.74070601852</v>
      </c>
      <c r="C10693" s="1" t="n">
        <v>45971</v>
      </c>
      <c r="D10693" t="inlineStr">
        <is>
          <t>VÄSTERBOTTENS LÄN</t>
        </is>
      </c>
      <c r="E10693" t="inlineStr">
        <is>
          <t>ROBERTSFORS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23022-2021</t>
        </is>
      </c>
      <c r="B10694" s="1" t="n">
        <v>44328</v>
      </c>
      <c r="C10694" s="1" t="n">
        <v>45971</v>
      </c>
      <c r="D10694" t="inlineStr">
        <is>
          <t>VÄSTERBOTTENS LÄN</t>
        </is>
      </c>
      <c r="E10694" t="inlineStr">
        <is>
          <t>ÅSELE</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53148-2024</t>
        </is>
      </c>
      <c r="B10695" s="1" t="n">
        <v>45611</v>
      </c>
      <c r="C10695" s="1" t="n">
        <v>45971</v>
      </c>
      <c r="D10695" t="inlineStr">
        <is>
          <t>VÄSTERBOTTENS LÄN</t>
        </is>
      </c>
      <c r="E10695" t="inlineStr">
        <is>
          <t>STORUMAN</t>
        </is>
      </c>
      <c r="F10695" t="inlineStr">
        <is>
          <t>Allmännings- och besparingsskogar</t>
        </is>
      </c>
      <c r="G10695" t="n">
        <v>117.5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55717-2024</t>
        </is>
      </c>
      <c r="B10696" s="1" t="n">
        <v>45622</v>
      </c>
      <c r="C10696" s="1" t="n">
        <v>45971</v>
      </c>
      <c r="D10696" t="inlineStr">
        <is>
          <t>VÄSTERBOTTENS LÄN</t>
        </is>
      </c>
      <c r="E10696" t="inlineStr">
        <is>
          <t>ROBERTSFORS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23205-2024</t>
        </is>
      </c>
      <c r="B10697" s="1" t="n">
        <v>45451</v>
      </c>
      <c r="C10697" s="1" t="n">
        <v>45971</v>
      </c>
      <c r="D10697" t="inlineStr">
        <is>
          <t>VÄSTERBOTTENS LÄN</t>
        </is>
      </c>
      <c r="E10697" t="inlineStr">
        <is>
          <t>BJURHOLM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36942-2025</t>
        </is>
      </c>
      <c r="B10698" s="1" t="n">
        <v>45874.59280092592</v>
      </c>
      <c r="C10698" s="1" t="n">
        <v>45971</v>
      </c>
      <c r="D10698" t="inlineStr">
        <is>
          <t>VÄSTERBOTTENS LÄN</t>
        </is>
      </c>
      <c r="E10698" t="inlineStr">
        <is>
          <t>STORUMAN</t>
        </is>
      </c>
      <c r="G10698" t="n">
        <v>14.4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58829-2024</t>
        </is>
      </c>
      <c r="B10699" s="1" t="n">
        <v>45636</v>
      </c>
      <c r="C10699" s="1" t="n">
        <v>45971</v>
      </c>
      <c r="D10699" t="inlineStr">
        <is>
          <t>VÄSTERBOTTENS LÄN</t>
        </is>
      </c>
      <c r="E10699" t="inlineStr">
        <is>
          <t>SKELLEFTEÅ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36945-2025</t>
        </is>
      </c>
      <c r="B10700" s="1" t="n">
        <v>45874.5946875</v>
      </c>
      <c r="C10700" s="1" t="n">
        <v>45971</v>
      </c>
      <c r="D10700" t="inlineStr">
        <is>
          <t>VÄSTERBOTTENS LÄN</t>
        </is>
      </c>
      <c r="E10700" t="inlineStr">
        <is>
          <t>DOROTEA</t>
        </is>
      </c>
      <c r="F10700" t="inlineStr">
        <is>
          <t>SCA</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36973-2025</t>
        </is>
      </c>
      <c r="B10701" s="1" t="n">
        <v>45874.63747685185</v>
      </c>
      <c r="C10701" s="1" t="n">
        <v>45971</v>
      </c>
      <c r="D10701" t="inlineStr">
        <is>
          <t>VÄSTERBOTTENS LÄN</t>
        </is>
      </c>
      <c r="E10701" t="inlineStr">
        <is>
          <t>VILHELMINA</t>
        </is>
      </c>
      <c r="F10701" t="inlineStr">
        <is>
          <t>SCA</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36977-2025</t>
        </is>
      </c>
      <c r="B10702" s="1" t="n">
        <v>45874.6445949074</v>
      </c>
      <c r="C10702" s="1" t="n">
        <v>45971</v>
      </c>
      <c r="D10702" t="inlineStr">
        <is>
          <t>VÄSTERBOTTENS LÄN</t>
        </is>
      </c>
      <c r="E10702" t="inlineStr">
        <is>
          <t>DOROTEA</t>
        </is>
      </c>
      <c r="G10702" t="n">
        <v>20.5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17867-2025</t>
        </is>
      </c>
      <c r="B10703" s="1" t="n">
        <v>45758.63064814815</v>
      </c>
      <c r="C10703" s="1" t="n">
        <v>45971</v>
      </c>
      <c r="D10703" t="inlineStr">
        <is>
          <t>VÄSTERBOTTENS LÄN</t>
        </is>
      </c>
      <c r="E10703" t="inlineStr">
        <is>
          <t>BJURHOLM</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1859-2025</t>
        </is>
      </c>
      <c r="B10704" s="1" t="n">
        <v>45671</v>
      </c>
      <c r="C10704" s="1" t="n">
        <v>45971</v>
      </c>
      <c r="D10704" t="inlineStr">
        <is>
          <t>VÄSTERBOTTENS LÄN</t>
        </is>
      </c>
      <c r="E10704" t="inlineStr">
        <is>
          <t>ROBERTSFORS</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36902-2025</t>
        </is>
      </c>
      <c r="B10705" s="1" t="n">
        <v>45874.48899305556</v>
      </c>
      <c r="C10705" s="1" t="n">
        <v>45971</v>
      </c>
      <c r="D10705" t="inlineStr">
        <is>
          <t>VÄSTERBOTTENS LÄN</t>
        </is>
      </c>
      <c r="E10705" t="inlineStr">
        <is>
          <t>UMEÅ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46074-2025</t>
        </is>
      </c>
      <c r="B10706" s="1" t="n">
        <v>45924.50053240741</v>
      </c>
      <c r="C10706" s="1" t="n">
        <v>45971</v>
      </c>
      <c r="D10706" t="inlineStr">
        <is>
          <t>VÄSTERBOTTENS LÄN</t>
        </is>
      </c>
      <c r="E10706" t="inlineStr">
        <is>
          <t>LYCKSELE</t>
        </is>
      </c>
      <c r="F10706" t="inlineStr">
        <is>
          <t>Holmen skog AB</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34406-2025</t>
        </is>
      </c>
      <c r="B10707" s="1" t="n">
        <v>45845</v>
      </c>
      <c r="C10707" s="1" t="n">
        <v>45971</v>
      </c>
      <c r="D10707" t="inlineStr">
        <is>
          <t>VÄSTERBOTTENS LÄN</t>
        </is>
      </c>
      <c r="E10707" t="inlineStr">
        <is>
          <t>DOROTEA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32059-2024</t>
        </is>
      </c>
      <c r="B10708" s="1" t="n">
        <v>45510.97013888889</v>
      </c>
      <c r="C10708" s="1" t="n">
        <v>45971</v>
      </c>
      <c r="D10708" t="inlineStr">
        <is>
          <t>VÄSTERBOTTENS LÄN</t>
        </is>
      </c>
      <c r="E10708" t="inlineStr">
        <is>
          <t>ÅSELE</t>
        </is>
      </c>
      <c r="F10708" t="inlineStr">
        <is>
          <t>SCA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11321-2024</t>
        </is>
      </c>
      <c r="B10709" s="1" t="n">
        <v>45371</v>
      </c>
      <c r="C10709" s="1" t="n">
        <v>45971</v>
      </c>
      <c r="D10709" t="inlineStr">
        <is>
          <t>VÄSTERBOTTENS LÄN</t>
        </is>
      </c>
      <c r="E10709" t="inlineStr">
        <is>
          <t>SORSELE</t>
        </is>
      </c>
      <c r="G10709" t="n">
        <v>12.1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11322-2024</t>
        </is>
      </c>
      <c r="B10710" s="1" t="n">
        <v>45371</v>
      </c>
      <c r="C10710" s="1" t="n">
        <v>45971</v>
      </c>
      <c r="D10710" t="inlineStr">
        <is>
          <t>VÄSTERBOTTENS LÄN</t>
        </is>
      </c>
      <c r="E10710" t="inlineStr">
        <is>
          <t>SORSELE</t>
        </is>
      </c>
      <c r="G10710" t="n">
        <v>18.7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17007-2024</t>
        </is>
      </c>
      <c r="B10711" s="1" t="n">
        <v>45411</v>
      </c>
      <c r="C10711" s="1" t="n">
        <v>45971</v>
      </c>
      <c r="D10711" t="inlineStr">
        <is>
          <t>VÄSTERBOTTENS LÄN</t>
        </is>
      </c>
      <c r="E10711" t="inlineStr">
        <is>
          <t>STORUMAN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48138-2024</t>
        </is>
      </c>
      <c r="B10712" s="1" t="n">
        <v>45589.6599074074</v>
      </c>
      <c r="C10712" s="1" t="n">
        <v>45971</v>
      </c>
      <c r="D10712" t="inlineStr">
        <is>
          <t>VÄSTERBOTTENS LÄN</t>
        </is>
      </c>
      <c r="E10712" t="inlineStr">
        <is>
          <t>VINDELN</t>
        </is>
      </c>
      <c r="F10712" t="inlineStr">
        <is>
          <t>Holmen skog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36357-2024</t>
        </is>
      </c>
      <c r="B10713" s="1" t="n">
        <v>45534.64569444444</v>
      </c>
      <c r="C10713" s="1" t="n">
        <v>45971</v>
      </c>
      <c r="D10713" t="inlineStr">
        <is>
          <t>VÄSTERBOTTENS LÄN</t>
        </is>
      </c>
      <c r="E10713" t="inlineStr">
        <is>
          <t>LYCKSELE</t>
        </is>
      </c>
      <c r="F10713" t="inlineStr">
        <is>
          <t>SCA</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54438-2025</t>
        </is>
      </c>
      <c r="B10714" s="1" t="n">
        <v>45965.50305555556</v>
      </c>
      <c r="C10714" s="1" t="n">
        <v>45971</v>
      </c>
      <c r="D10714" t="inlineStr">
        <is>
          <t>VÄSTERBOTTENS LÄN</t>
        </is>
      </c>
      <c r="E10714" t="inlineStr">
        <is>
          <t>NORDMALING</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45654-2025</t>
        </is>
      </c>
      <c r="B10715" s="1" t="n">
        <v>45923.33994212963</v>
      </c>
      <c r="C10715" s="1" t="n">
        <v>45971</v>
      </c>
      <c r="D10715" t="inlineStr">
        <is>
          <t>VÄSTERBOTTENS LÄN</t>
        </is>
      </c>
      <c r="E10715" t="inlineStr">
        <is>
          <t>SKELLEFTEÅ</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45662-2025</t>
        </is>
      </c>
      <c r="B10716" s="1" t="n">
        <v>45923.34506944445</v>
      </c>
      <c r="C10716" s="1" t="n">
        <v>45971</v>
      </c>
      <c r="D10716" t="inlineStr">
        <is>
          <t>VÄSTERBOTTENS LÄN</t>
        </is>
      </c>
      <c r="E10716" t="inlineStr">
        <is>
          <t>NORSJÖ</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34779-2024</t>
        </is>
      </c>
      <c r="B10717" s="1" t="n">
        <v>45526.63690972222</v>
      </c>
      <c r="C10717" s="1" t="n">
        <v>45971</v>
      </c>
      <c r="D10717" t="inlineStr">
        <is>
          <t>VÄSTERBOTTENS LÄN</t>
        </is>
      </c>
      <c r="E10717" t="inlineStr">
        <is>
          <t>ÅSELE</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23521-2024</t>
        </is>
      </c>
      <c r="B10718" s="1" t="n">
        <v>45453.92469907407</v>
      </c>
      <c r="C10718" s="1" t="n">
        <v>45971</v>
      </c>
      <c r="D10718" t="inlineStr">
        <is>
          <t>VÄSTERBOTTENS LÄN</t>
        </is>
      </c>
      <c r="E10718" t="inlineStr">
        <is>
          <t>SKELLEFTEÅ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61947-2024</t>
        </is>
      </c>
      <c r="B10719" s="1" t="n">
        <v>45646</v>
      </c>
      <c r="C10719" s="1" t="n">
        <v>45971</v>
      </c>
      <c r="D10719" t="inlineStr">
        <is>
          <t>VÄSTERBOTTENS LÄN</t>
        </is>
      </c>
      <c r="E10719" t="inlineStr">
        <is>
          <t>MALÅ</t>
        </is>
      </c>
      <c r="F10719" t="inlineStr">
        <is>
          <t>Sveaskog</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46065-2025</t>
        </is>
      </c>
      <c r="B10720" s="1" t="n">
        <v>45924.48327546296</v>
      </c>
      <c r="C10720" s="1" t="n">
        <v>45971</v>
      </c>
      <c r="D10720" t="inlineStr">
        <is>
          <t>VÄSTERBOTTENS LÄN</t>
        </is>
      </c>
      <c r="E10720" t="inlineStr">
        <is>
          <t>UMEÅ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36969-2025</t>
        </is>
      </c>
      <c r="B10721" s="1" t="n">
        <v>45874.63686342593</v>
      </c>
      <c r="C10721" s="1" t="n">
        <v>45971</v>
      </c>
      <c r="D10721" t="inlineStr">
        <is>
          <t>VÄSTERBOTTENS LÄN</t>
        </is>
      </c>
      <c r="E10721" t="inlineStr">
        <is>
          <t>VINDELN</t>
        </is>
      </c>
      <c r="F10721" t="inlineStr">
        <is>
          <t>SCA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54489-2025</t>
        </is>
      </c>
      <c r="B10722" s="1" t="n">
        <v>45965.59481481482</v>
      </c>
      <c r="C10722" s="1" t="n">
        <v>45971</v>
      </c>
      <c r="D10722" t="inlineStr">
        <is>
          <t>VÄSTERBOTTENS LÄN</t>
        </is>
      </c>
      <c r="E10722" t="inlineStr">
        <is>
          <t>DOROTEA</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43770-2025</t>
        </is>
      </c>
      <c r="B10723" s="1" t="n">
        <v>45912</v>
      </c>
      <c r="C10723" s="1" t="n">
        <v>45971</v>
      </c>
      <c r="D10723" t="inlineStr">
        <is>
          <t>VÄSTERBOTTENS LÄN</t>
        </is>
      </c>
      <c r="E10723" t="inlineStr">
        <is>
          <t>LYCKSELE</t>
        </is>
      </c>
      <c r="F10723" t="inlineStr">
        <is>
          <t>Holmen skog AB</t>
        </is>
      </c>
      <c r="G10723" t="n">
        <v>9.5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20681-2024</t>
        </is>
      </c>
      <c r="B10724" s="1" t="n">
        <v>45436</v>
      </c>
      <c r="C10724" s="1" t="n">
        <v>45971</v>
      </c>
      <c r="D10724" t="inlineStr">
        <is>
          <t>VÄSTERBOTTENS LÄN</t>
        </is>
      </c>
      <c r="E10724" t="inlineStr">
        <is>
          <t>VINDELN</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54562-2025</t>
        </is>
      </c>
      <c r="B10725" s="1" t="n">
        <v>45965.66751157407</v>
      </c>
      <c r="C10725" s="1" t="n">
        <v>45971</v>
      </c>
      <c r="D10725" t="inlineStr">
        <is>
          <t>VÄSTERBOTTENS LÄN</t>
        </is>
      </c>
      <c r="E10725" t="inlineStr">
        <is>
          <t>VÄNNÄS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25327-2024</t>
        </is>
      </c>
      <c r="B10726" s="1" t="n">
        <v>45462.81574074074</v>
      </c>
      <c r="C10726" s="1" t="n">
        <v>45971</v>
      </c>
      <c r="D10726" t="inlineStr">
        <is>
          <t>VÄSTERBOTTENS LÄN</t>
        </is>
      </c>
      <c r="E10726" t="inlineStr">
        <is>
          <t>LYCKSELE</t>
        </is>
      </c>
      <c r="F10726" t="inlineStr">
        <is>
          <t>Sveaskog</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28943-2024</t>
        </is>
      </c>
      <c r="B10727" s="1" t="n">
        <v>45481</v>
      </c>
      <c r="C10727" s="1" t="n">
        <v>45971</v>
      </c>
      <c r="D10727" t="inlineStr">
        <is>
          <t>VÄSTERBOTTENS LÄN</t>
        </is>
      </c>
      <c r="E10727" t="inlineStr">
        <is>
          <t>ÅSELE</t>
        </is>
      </c>
      <c r="F10727" t="inlineStr">
        <is>
          <t>Sveaskog</t>
        </is>
      </c>
      <c r="G10727" t="n">
        <v>24.2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54662-2024</t>
        </is>
      </c>
      <c r="B10728" s="1" t="n">
        <v>45618.31710648148</v>
      </c>
      <c r="C10728" s="1" t="n">
        <v>45971</v>
      </c>
      <c r="D10728" t="inlineStr">
        <is>
          <t>VÄSTERBOTTENS LÄN</t>
        </is>
      </c>
      <c r="E10728" t="inlineStr">
        <is>
          <t>SKELLEFTEÅ</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1815-2025</t>
        </is>
      </c>
      <c r="B10729" s="1" t="n">
        <v>45671</v>
      </c>
      <c r="C10729" s="1" t="n">
        <v>45971</v>
      </c>
      <c r="D10729" t="inlineStr">
        <is>
          <t>VÄSTERBOTTENS LÄN</t>
        </is>
      </c>
      <c r="E10729" t="inlineStr">
        <is>
          <t>ROBERTSFORS</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9305-2023</t>
        </is>
      </c>
      <c r="B10730" s="1" t="n">
        <v>44980</v>
      </c>
      <c r="C10730" s="1" t="n">
        <v>45971</v>
      </c>
      <c r="D10730" t="inlineStr">
        <is>
          <t>VÄSTERBOTTENS LÄN</t>
        </is>
      </c>
      <c r="E10730" t="inlineStr">
        <is>
          <t>ROBERTSFORS</t>
        </is>
      </c>
      <c r="F10730" t="inlineStr">
        <is>
          <t>Holmen skog AB</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36809-2025</t>
        </is>
      </c>
      <c r="B10731" s="1" t="n">
        <v>45873.71912037037</v>
      </c>
      <c r="C10731" s="1" t="n">
        <v>45971</v>
      </c>
      <c r="D10731" t="inlineStr">
        <is>
          <t>VÄSTERBOTTENS LÄN</t>
        </is>
      </c>
      <c r="E10731" t="inlineStr">
        <is>
          <t>BJURHOLM</t>
        </is>
      </c>
      <c r="F10731" t="inlineStr">
        <is>
          <t>SCA</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8839-2025</t>
        </is>
      </c>
      <c r="B10732" s="1" t="n">
        <v>45713</v>
      </c>
      <c r="C10732" s="1" t="n">
        <v>45971</v>
      </c>
      <c r="D10732" t="inlineStr">
        <is>
          <t>VÄSTERBOTTENS LÄN</t>
        </is>
      </c>
      <c r="E10732" t="inlineStr">
        <is>
          <t>SKELLEFTEÅ</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8840-2025</t>
        </is>
      </c>
      <c r="B10733" s="1" t="n">
        <v>45713.30810185185</v>
      </c>
      <c r="C10733" s="1" t="n">
        <v>45971</v>
      </c>
      <c r="D10733" t="inlineStr">
        <is>
          <t>VÄSTERBOTTENS LÄN</t>
        </is>
      </c>
      <c r="E10733" t="inlineStr">
        <is>
          <t>SKELLEFTEÅ</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60169-2024</t>
        </is>
      </c>
      <c r="B10734" s="1" t="n">
        <v>45642.6359837963</v>
      </c>
      <c r="C10734" s="1" t="n">
        <v>45971</v>
      </c>
      <c r="D10734" t="inlineStr">
        <is>
          <t>VÄSTERBOTTENS LÄN</t>
        </is>
      </c>
      <c r="E10734" t="inlineStr">
        <is>
          <t>DOROTEA</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36689-2025</t>
        </is>
      </c>
      <c r="B10735" s="1" t="n">
        <v>45873.42712962963</v>
      </c>
      <c r="C10735" s="1" t="n">
        <v>45971</v>
      </c>
      <c r="D10735" t="inlineStr">
        <is>
          <t>VÄSTERBOTTENS LÄN</t>
        </is>
      </c>
      <c r="E10735" t="inlineStr">
        <is>
          <t>LYCKSELE</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38395-2023</t>
        </is>
      </c>
      <c r="B10736" s="1" t="n">
        <v>45162.31554398148</v>
      </c>
      <c r="C10736" s="1" t="n">
        <v>45971</v>
      </c>
      <c r="D10736" t="inlineStr">
        <is>
          <t>VÄSTERBOTTENS LÄN</t>
        </is>
      </c>
      <c r="E10736" t="inlineStr">
        <is>
          <t>SKELLEFTEÅ</t>
        </is>
      </c>
      <c r="F10736" t="inlineStr">
        <is>
          <t>Sveaskog</t>
        </is>
      </c>
      <c r="G10736" t="n">
        <v>18.9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36709-2025</t>
        </is>
      </c>
      <c r="B10737" s="1" t="n">
        <v>45873.46443287037</v>
      </c>
      <c r="C10737" s="1" t="n">
        <v>45971</v>
      </c>
      <c r="D10737" t="inlineStr">
        <is>
          <t>VÄSTERBOTTENS LÄN</t>
        </is>
      </c>
      <c r="E10737" t="inlineStr">
        <is>
          <t>LYCKSELE</t>
        </is>
      </c>
      <c r="F10737" t="inlineStr">
        <is>
          <t>Holmen skog AB</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36669-2025</t>
        </is>
      </c>
      <c r="B10738" s="1" t="n">
        <v>45873</v>
      </c>
      <c r="C10738" s="1" t="n">
        <v>45971</v>
      </c>
      <c r="D10738" t="inlineStr">
        <is>
          <t>VÄSTERBOTTENS LÄN</t>
        </is>
      </c>
      <c r="E10738" t="inlineStr">
        <is>
          <t>VILHELMINA</t>
        </is>
      </c>
      <c r="G10738" t="n">
        <v>12.5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53376-2023</t>
        </is>
      </c>
      <c r="B10739" s="1" t="n">
        <v>45229</v>
      </c>
      <c r="C10739" s="1" t="n">
        <v>45971</v>
      </c>
      <c r="D10739" t="inlineStr">
        <is>
          <t>VÄSTERBOTTENS LÄN</t>
        </is>
      </c>
      <c r="E10739" t="inlineStr">
        <is>
          <t>MALÅ</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36712-2025</t>
        </is>
      </c>
      <c r="B10740" s="1" t="n">
        <v>45873.46689814814</v>
      </c>
      <c r="C10740" s="1" t="n">
        <v>45971</v>
      </c>
      <c r="D10740" t="inlineStr">
        <is>
          <t>VÄSTERBOTTENS LÄN</t>
        </is>
      </c>
      <c r="E10740" t="inlineStr">
        <is>
          <t>ROBERTSFORS</t>
        </is>
      </c>
      <c r="G10740" t="n">
        <v>10.3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36761-2025</t>
        </is>
      </c>
      <c r="B10741" s="1" t="n">
        <v>45873.57328703703</v>
      </c>
      <c r="C10741" s="1" t="n">
        <v>45971</v>
      </c>
      <c r="D10741" t="inlineStr">
        <is>
          <t>VÄSTERBOTTENS LÄN</t>
        </is>
      </c>
      <c r="E10741" t="inlineStr">
        <is>
          <t>SKELLEFTEÅ</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36791-2025</t>
        </is>
      </c>
      <c r="B10742" s="1" t="n">
        <v>45873</v>
      </c>
      <c r="C10742" s="1" t="n">
        <v>45971</v>
      </c>
      <c r="D10742" t="inlineStr">
        <is>
          <t>VÄSTERBOTTENS LÄN</t>
        </is>
      </c>
      <c r="E10742" t="inlineStr">
        <is>
          <t>DOROTEA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36730-2025</t>
        </is>
      </c>
      <c r="B10743" s="1" t="n">
        <v>45873.49789351852</v>
      </c>
      <c r="C10743" s="1" t="n">
        <v>45971</v>
      </c>
      <c r="D10743" t="inlineStr">
        <is>
          <t>VÄSTERBOTTENS LÄN</t>
        </is>
      </c>
      <c r="E10743" t="inlineStr">
        <is>
          <t>STORUMAN</t>
        </is>
      </c>
      <c r="F10743" t="inlineStr">
        <is>
          <t>Sveaskog</t>
        </is>
      </c>
      <c r="G10743" t="n">
        <v>10.5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59310-2024</t>
        </is>
      </c>
      <c r="B10744" s="1" t="n">
        <v>45637.67841435185</v>
      </c>
      <c r="C10744" s="1" t="n">
        <v>45971</v>
      </c>
      <c r="D10744" t="inlineStr">
        <is>
          <t>VÄSTERBOTTENS LÄN</t>
        </is>
      </c>
      <c r="E10744" t="inlineStr">
        <is>
          <t>MALÅ</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59324-2024</t>
        </is>
      </c>
      <c r="B10745" s="1" t="n">
        <v>45637.72047453704</v>
      </c>
      <c r="C10745" s="1" t="n">
        <v>45971</v>
      </c>
      <c r="D10745" t="inlineStr">
        <is>
          <t>VÄSTERBOTTENS LÄN</t>
        </is>
      </c>
      <c r="E10745" t="inlineStr">
        <is>
          <t>SKELLEFTEÅ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57908-2022</t>
        </is>
      </c>
      <c r="B10746" s="1" t="n">
        <v>44900.35597222222</v>
      </c>
      <c r="C10746" s="1" t="n">
        <v>45971</v>
      </c>
      <c r="D10746" t="inlineStr">
        <is>
          <t>VÄSTERBOTTENS LÄN</t>
        </is>
      </c>
      <c r="E10746" t="inlineStr">
        <is>
          <t>SKELLEFTEÅ</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57914-2022</t>
        </is>
      </c>
      <c r="B10747" s="1" t="n">
        <v>44900.36453703704</v>
      </c>
      <c r="C10747" s="1" t="n">
        <v>45971</v>
      </c>
      <c r="D10747" t="inlineStr">
        <is>
          <t>VÄSTERBOTTENS LÄN</t>
        </is>
      </c>
      <c r="E10747" t="inlineStr">
        <is>
          <t>UMEÅ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28808-2025</t>
        </is>
      </c>
      <c r="B10748" s="1" t="n">
        <v>45820.51743055556</v>
      </c>
      <c r="C10748" s="1" t="n">
        <v>45971</v>
      </c>
      <c r="D10748" t="inlineStr">
        <is>
          <t>VÄSTERBOTTENS LÄN</t>
        </is>
      </c>
      <c r="E10748" t="inlineStr">
        <is>
          <t>NORSJÖ</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45271-2025</t>
        </is>
      </c>
      <c r="B10749" s="1" t="n">
        <v>45919</v>
      </c>
      <c r="C10749" s="1" t="n">
        <v>45971</v>
      </c>
      <c r="D10749" t="inlineStr">
        <is>
          <t>VÄSTERBOTTENS LÄN</t>
        </is>
      </c>
      <c r="E10749" t="inlineStr">
        <is>
          <t>VILHELMINA</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46662-2023</t>
        </is>
      </c>
      <c r="B10750" s="1" t="n">
        <v>45198.47061342592</v>
      </c>
      <c r="C10750" s="1" t="n">
        <v>45971</v>
      </c>
      <c r="D10750" t="inlineStr">
        <is>
          <t>VÄSTERBOTTENS LÄN</t>
        </is>
      </c>
      <c r="E10750" t="inlineStr">
        <is>
          <t>BJURHOLM</t>
        </is>
      </c>
      <c r="F10750" t="inlineStr">
        <is>
          <t>Holmen skog AB</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23176-2024</t>
        </is>
      </c>
      <c r="B10751" s="1" t="n">
        <v>45450.94366898148</v>
      </c>
      <c r="C10751" s="1" t="n">
        <v>45971</v>
      </c>
      <c r="D10751" t="inlineStr">
        <is>
          <t>VÄSTERBOTTENS LÄN</t>
        </is>
      </c>
      <c r="E10751" t="inlineStr">
        <is>
          <t>VILHELMINA</t>
        </is>
      </c>
      <c r="F10751" t="inlineStr">
        <is>
          <t>SCA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23179-2024</t>
        </is>
      </c>
      <c r="B10752" s="1" t="n">
        <v>45450</v>
      </c>
      <c r="C10752" s="1" t="n">
        <v>45971</v>
      </c>
      <c r="D10752" t="inlineStr">
        <is>
          <t>VÄSTERBOTTENS LÄN</t>
        </is>
      </c>
      <c r="E10752" t="inlineStr">
        <is>
          <t>ÅSELE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15709-2023</t>
        </is>
      </c>
      <c r="B10753" s="1" t="n">
        <v>45020</v>
      </c>
      <c r="C10753" s="1" t="n">
        <v>45971</v>
      </c>
      <c r="D10753" t="inlineStr">
        <is>
          <t>VÄSTERBOTTENS LÄN</t>
        </is>
      </c>
      <c r="E10753" t="inlineStr">
        <is>
          <t>SKELLEFTEÅ</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36416-2024</t>
        </is>
      </c>
      <c r="B10754" s="1" t="n">
        <v>45536</v>
      </c>
      <c r="C10754" s="1" t="n">
        <v>45971</v>
      </c>
      <c r="D10754" t="inlineStr">
        <is>
          <t>VÄSTERBOTTENS LÄN</t>
        </is>
      </c>
      <c r="E10754" t="inlineStr">
        <is>
          <t>BJURHOLM</t>
        </is>
      </c>
      <c r="G10754" t="n">
        <v>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41505-2021</t>
        </is>
      </c>
      <c r="B10755" s="1" t="n">
        <v>44424.94164351852</v>
      </c>
      <c r="C10755" s="1" t="n">
        <v>45971</v>
      </c>
      <c r="D10755" t="inlineStr">
        <is>
          <t>VÄSTERBOTTENS LÄN</t>
        </is>
      </c>
      <c r="E10755" t="inlineStr">
        <is>
          <t>BJURHOLM</t>
        </is>
      </c>
      <c r="F10755" t="inlineStr">
        <is>
          <t>SCA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54628-2025</t>
        </is>
      </c>
      <c r="B10756" s="1" t="n">
        <v>45966.34577546296</v>
      </c>
      <c r="C10756" s="1" t="n">
        <v>45971</v>
      </c>
      <c r="D10756" t="inlineStr">
        <is>
          <t>VÄSTERBOTTENS LÄN</t>
        </is>
      </c>
      <c r="E10756" t="inlineStr">
        <is>
          <t>MALÅ</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4925-2025</t>
        </is>
      </c>
      <c r="B10757" s="1" t="n">
        <v>45688.68439814815</v>
      </c>
      <c r="C10757" s="1" t="n">
        <v>45971</v>
      </c>
      <c r="D10757" t="inlineStr">
        <is>
          <t>VÄSTERBOTTENS LÄN</t>
        </is>
      </c>
      <c r="E10757" t="inlineStr">
        <is>
          <t>MALÅ</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4958-2025</t>
        </is>
      </c>
      <c r="B10758" s="1" t="n">
        <v>45689.58603009259</v>
      </c>
      <c r="C10758" s="1" t="n">
        <v>45971</v>
      </c>
      <c r="D10758" t="inlineStr">
        <is>
          <t>VÄSTERBOTTENS LÄN</t>
        </is>
      </c>
      <c r="E10758" t="inlineStr">
        <is>
          <t>SKELLEFTEÅ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4959-2025</t>
        </is>
      </c>
      <c r="B10759" s="1" t="n">
        <v>45689.59054398148</v>
      </c>
      <c r="C10759" s="1" t="n">
        <v>45971</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49888-2024</t>
        </is>
      </c>
      <c r="B10760" s="1" t="n">
        <v>45597.5109837963</v>
      </c>
      <c r="C10760" s="1" t="n">
        <v>45971</v>
      </c>
      <c r="D10760" t="inlineStr">
        <is>
          <t>VÄSTERBOTTENS LÄN</t>
        </is>
      </c>
      <c r="E10760" t="inlineStr">
        <is>
          <t>VILHELMINA</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50014-2024</t>
        </is>
      </c>
      <c r="B10761" s="1" t="n">
        <v>45598.89230324074</v>
      </c>
      <c r="C10761" s="1" t="n">
        <v>45971</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54212-2024</t>
        </is>
      </c>
      <c r="B10762" s="1" t="n">
        <v>45616.65744212963</v>
      </c>
      <c r="C10762" s="1" t="n">
        <v>45971</v>
      </c>
      <c r="D10762" t="inlineStr">
        <is>
          <t>VÄSTERBOTTENS LÄN</t>
        </is>
      </c>
      <c r="E10762" t="inlineStr">
        <is>
          <t>VINDELN</t>
        </is>
      </c>
      <c r="F10762" t="inlineStr">
        <is>
          <t>Holmen skog AB</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54198-2025</t>
        </is>
      </c>
      <c r="B10763" s="1" t="n">
        <v>45964</v>
      </c>
      <c r="C10763" s="1" t="n">
        <v>45971</v>
      </c>
      <c r="D10763" t="inlineStr">
        <is>
          <t>VÄSTERBOTTENS LÄN</t>
        </is>
      </c>
      <c r="E10763" t="inlineStr">
        <is>
          <t>MALÅ</t>
        </is>
      </c>
      <c r="G10763" t="n">
        <v>19.5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46208-2025</t>
        </is>
      </c>
      <c r="B10764" s="1" t="n">
        <v>45924.70636574074</v>
      </c>
      <c r="C10764" s="1" t="n">
        <v>45971</v>
      </c>
      <c r="D10764" t="inlineStr">
        <is>
          <t>VÄSTERBOTTENS LÄN</t>
        </is>
      </c>
      <c r="E10764" t="inlineStr">
        <is>
          <t>VINDELN</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28283-2024</t>
        </is>
      </c>
      <c r="B10765" s="1" t="n">
        <v>45477.46223379629</v>
      </c>
      <c r="C10765" s="1" t="n">
        <v>45971</v>
      </c>
      <c r="D10765" t="inlineStr">
        <is>
          <t>VÄSTERBOTTENS LÄN</t>
        </is>
      </c>
      <c r="E10765" t="inlineStr">
        <is>
          <t>SKELLEFTEÅ</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46300-2024</t>
        </is>
      </c>
      <c r="B10766" s="1" t="n">
        <v>45581.67887731481</v>
      </c>
      <c r="C10766" s="1" t="n">
        <v>45971</v>
      </c>
      <c r="D10766" t="inlineStr">
        <is>
          <t>VÄSTERBOTTENS LÄN</t>
        </is>
      </c>
      <c r="E10766" t="inlineStr">
        <is>
          <t>ROBERTSFORS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66061-2020</t>
        </is>
      </c>
      <c r="B10767" s="1" t="n">
        <v>44173</v>
      </c>
      <c r="C10767" s="1" t="n">
        <v>45971</v>
      </c>
      <c r="D10767" t="inlineStr">
        <is>
          <t>VÄSTERBOTTENS LÄN</t>
        </is>
      </c>
      <c r="E10767" t="inlineStr">
        <is>
          <t>SKELLEFTEÅ</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59744-2022</t>
        </is>
      </c>
      <c r="B10768" s="1" t="n">
        <v>44908</v>
      </c>
      <c r="C10768" s="1" t="n">
        <v>45971</v>
      </c>
      <c r="D10768" t="inlineStr">
        <is>
          <t>VÄSTERBOTTENS LÄN</t>
        </is>
      </c>
      <c r="E10768" t="inlineStr">
        <is>
          <t>SKELLEFTEÅ</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44516-2024</t>
        </is>
      </c>
      <c r="B10769" s="1" t="n">
        <v>45574</v>
      </c>
      <c r="C10769" s="1" t="n">
        <v>45971</v>
      </c>
      <c r="D10769" t="inlineStr">
        <is>
          <t>VÄSTERBOTTENS LÄN</t>
        </is>
      </c>
      <c r="E10769" t="inlineStr">
        <is>
          <t>VILHELMINA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36320-2024</t>
        </is>
      </c>
      <c r="B10770" s="1" t="n">
        <v>45534.63586805556</v>
      </c>
      <c r="C10770" s="1" t="n">
        <v>45971</v>
      </c>
      <c r="D10770" t="inlineStr">
        <is>
          <t>VÄSTERBOTTENS LÄN</t>
        </is>
      </c>
      <c r="E10770" t="inlineStr">
        <is>
          <t>VILHELMINA</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36324-2024</t>
        </is>
      </c>
      <c r="B10771" s="1" t="n">
        <v>45534.6363425926</v>
      </c>
      <c r="C10771" s="1" t="n">
        <v>45971</v>
      </c>
      <c r="D10771" t="inlineStr">
        <is>
          <t>VÄSTERBOTTENS LÄN</t>
        </is>
      </c>
      <c r="E10771" t="inlineStr">
        <is>
          <t>LYCKSELE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36429-2024</t>
        </is>
      </c>
      <c r="B10772" s="1" t="n">
        <v>45536.85508101852</v>
      </c>
      <c r="C10772" s="1" t="n">
        <v>45971</v>
      </c>
      <c r="D10772" t="inlineStr">
        <is>
          <t>VÄSTERBOTTENS LÄN</t>
        </is>
      </c>
      <c r="E10772" t="inlineStr">
        <is>
          <t>NORDMALING</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9080-2023</t>
        </is>
      </c>
      <c r="B10773" s="1" t="n">
        <v>44979</v>
      </c>
      <c r="C10773" s="1" t="n">
        <v>45971</v>
      </c>
      <c r="D10773" t="inlineStr">
        <is>
          <t>VÄSTERBOTTENS LÄN</t>
        </is>
      </c>
      <c r="E10773" t="inlineStr">
        <is>
          <t>SKELLEFTEÅ</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58926-2022</t>
        </is>
      </c>
      <c r="B10774" s="1" t="n">
        <v>44896</v>
      </c>
      <c r="C10774" s="1" t="n">
        <v>45971</v>
      </c>
      <c r="D10774" t="inlineStr">
        <is>
          <t>VÄSTERBOTTENS LÄN</t>
        </is>
      </c>
      <c r="E10774" t="inlineStr">
        <is>
          <t>SKELLEFTEÅ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54327-2025</t>
        </is>
      </c>
      <c r="B10775" s="1" t="n">
        <v>45965.34484953704</v>
      </c>
      <c r="C10775" s="1" t="n">
        <v>45971</v>
      </c>
      <c r="D10775" t="inlineStr">
        <is>
          <t>VÄSTERBOTTENS LÄN</t>
        </is>
      </c>
      <c r="E10775" t="inlineStr">
        <is>
          <t>NORSJÖ</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17858-2023</t>
        </is>
      </c>
      <c r="B10776" s="1" t="n">
        <v>45037.94150462963</v>
      </c>
      <c r="C10776" s="1" t="n">
        <v>45971</v>
      </c>
      <c r="D10776" t="inlineStr">
        <is>
          <t>VÄSTERBOTTENS LÄN</t>
        </is>
      </c>
      <c r="E10776" t="inlineStr">
        <is>
          <t>ÅSELE</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54594-2025</t>
        </is>
      </c>
      <c r="B10777" s="1" t="n">
        <v>45965.7542824074</v>
      </c>
      <c r="C10777" s="1" t="n">
        <v>45971</v>
      </c>
      <c r="D10777" t="inlineStr">
        <is>
          <t>VÄSTERBOTTENS LÄN</t>
        </is>
      </c>
      <c r="E10777" t="inlineStr">
        <is>
          <t>ROBERTSFORS</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34455-2023</t>
        </is>
      </c>
      <c r="B10778" s="1" t="n">
        <v>45139.68733796296</v>
      </c>
      <c r="C10778" s="1" t="n">
        <v>45971</v>
      </c>
      <c r="D10778" t="inlineStr">
        <is>
          <t>VÄSTERBOTTENS LÄN</t>
        </is>
      </c>
      <c r="E10778" t="inlineStr">
        <is>
          <t>SKELLEFTEÅ</t>
        </is>
      </c>
      <c r="F10778" t="inlineStr">
        <is>
          <t>Holmen skog AB</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23996-2022</t>
        </is>
      </c>
      <c r="B10779" s="1" t="n">
        <v>44722</v>
      </c>
      <c r="C10779" s="1" t="n">
        <v>45971</v>
      </c>
      <c r="D10779" t="inlineStr">
        <is>
          <t>VÄSTERBOTTENS LÄN</t>
        </is>
      </c>
      <c r="E10779" t="inlineStr">
        <is>
          <t>ÅSELE</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54832-2025</t>
        </is>
      </c>
      <c r="B10780" s="1" t="n">
        <v>45966.67761574074</v>
      </c>
      <c r="C10780" s="1" t="n">
        <v>45971</v>
      </c>
      <c r="D10780" t="inlineStr">
        <is>
          <t>VÄSTERBOTTENS LÄN</t>
        </is>
      </c>
      <c r="E10780" t="inlineStr">
        <is>
          <t>ÅSELE</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46892-2025</t>
        </is>
      </c>
      <c r="B10781" s="1" t="n">
        <v>45929</v>
      </c>
      <c r="C10781" s="1" t="n">
        <v>45971</v>
      </c>
      <c r="D10781" t="inlineStr">
        <is>
          <t>VÄSTERBOTTENS LÄN</t>
        </is>
      </c>
      <c r="E10781" t="inlineStr">
        <is>
          <t>MALÅ</t>
        </is>
      </c>
      <c r="F10781" t="inlineStr">
        <is>
          <t>Sveaskog</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36844-2025</t>
        </is>
      </c>
      <c r="B10782" s="1" t="n">
        <v>45874.38576388889</v>
      </c>
      <c r="C10782" s="1" t="n">
        <v>45971</v>
      </c>
      <c r="D10782" t="inlineStr">
        <is>
          <t>VÄSTERBOTTENS LÄN</t>
        </is>
      </c>
      <c r="E10782" t="inlineStr">
        <is>
          <t>DOROTEA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13931-2024</t>
        </is>
      </c>
      <c r="B10783" s="1" t="n">
        <v>45391</v>
      </c>
      <c r="C10783" s="1" t="n">
        <v>45971</v>
      </c>
      <c r="D10783" t="inlineStr">
        <is>
          <t>VÄSTERBOTTENS LÄN</t>
        </is>
      </c>
      <c r="E10783" t="inlineStr">
        <is>
          <t>STORUMAN</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14163-2024</t>
        </is>
      </c>
      <c r="B10784" s="1" t="n">
        <v>45392.95734953704</v>
      </c>
      <c r="C10784" s="1" t="n">
        <v>45971</v>
      </c>
      <c r="D10784" t="inlineStr">
        <is>
          <t>VÄSTERBOTTENS LÄN</t>
        </is>
      </c>
      <c r="E10784" t="inlineStr">
        <is>
          <t>DOROTEA</t>
        </is>
      </c>
      <c r="F10784" t="inlineStr">
        <is>
          <t>SCA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58168-2022</t>
        </is>
      </c>
      <c r="B10785" s="1" t="n">
        <v>44900.95491898148</v>
      </c>
      <c r="C10785" s="1" t="n">
        <v>45971</v>
      </c>
      <c r="D10785" t="inlineStr">
        <is>
          <t>VÄSTERBOTTENS LÄN</t>
        </is>
      </c>
      <c r="E10785" t="inlineStr">
        <is>
          <t>DOROTEA</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4379-2024</t>
        </is>
      </c>
      <c r="B10786" s="1" t="n">
        <v>45326.97043981482</v>
      </c>
      <c r="C10786" s="1" t="n">
        <v>45971</v>
      </c>
      <c r="D10786" t="inlineStr">
        <is>
          <t>VÄSTERBOTTENS LÄN</t>
        </is>
      </c>
      <c r="E10786" t="inlineStr">
        <is>
          <t>VINDELN</t>
        </is>
      </c>
      <c r="F10786" t="inlineStr">
        <is>
          <t>Holmen skog AB</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4915-2024</t>
        </is>
      </c>
      <c r="B10787" s="1" t="n">
        <v>45329</v>
      </c>
      <c r="C10787" s="1" t="n">
        <v>45971</v>
      </c>
      <c r="D10787" t="inlineStr">
        <is>
          <t>VÄSTERBOTTENS LÄN</t>
        </is>
      </c>
      <c r="E10787" t="inlineStr">
        <is>
          <t>ÅSELE</t>
        </is>
      </c>
      <c r="F10787" t="inlineStr">
        <is>
          <t>Övriga Aktiebolag</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36702-2025</t>
        </is>
      </c>
      <c r="B10788" s="1" t="n">
        <v>45873.44997685185</v>
      </c>
      <c r="C10788" s="1" t="n">
        <v>45971</v>
      </c>
      <c r="D10788" t="inlineStr">
        <is>
          <t>VÄSTERBOTTENS LÄN</t>
        </is>
      </c>
      <c r="E10788" t="inlineStr">
        <is>
          <t>LYCKSELE</t>
        </is>
      </c>
      <c r="F10788" t="inlineStr">
        <is>
          <t>Sveaskog</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36746-2025</t>
        </is>
      </c>
      <c r="B10789" s="1" t="n">
        <v>45873.54766203704</v>
      </c>
      <c r="C10789" s="1" t="n">
        <v>45971</v>
      </c>
      <c r="D10789" t="inlineStr">
        <is>
          <t>VÄSTERBOTTENS LÄN</t>
        </is>
      </c>
      <c r="E10789" t="inlineStr">
        <is>
          <t>UMEÅ</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36747-2025</t>
        </is>
      </c>
      <c r="B10790" s="1" t="n">
        <v>45873.54780092592</v>
      </c>
      <c r="C10790" s="1" t="n">
        <v>45971</v>
      </c>
      <c r="D10790" t="inlineStr">
        <is>
          <t>VÄSTERBOTTENS LÄN</t>
        </is>
      </c>
      <c r="E10790" t="inlineStr">
        <is>
          <t>UMEÅ</t>
        </is>
      </c>
      <c r="F10790" t="inlineStr">
        <is>
          <t>Holmen skog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51952-2025</t>
        </is>
      </c>
      <c r="B10791" s="1" t="n">
        <v>45952</v>
      </c>
      <c r="C10791" s="1" t="n">
        <v>45971</v>
      </c>
      <c r="D10791" t="inlineStr">
        <is>
          <t>VÄSTERBOTTENS LÄN</t>
        </is>
      </c>
      <c r="E10791" t="inlineStr">
        <is>
          <t>MALÅ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54474-2025</t>
        </is>
      </c>
      <c r="B10792" s="1" t="n">
        <v>45965.57400462963</v>
      </c>
      <c r="C10792" s="1" t="n">
        <v>45971</v>
      </c>
      <c r="D10792" t="inlineStr">
        <is>
          <t>VÄSTERBOTTENS LÄN</t>
        </is>
      </c>
      <c r="E10792" t="inlineStr">
        <is>
          <t>NORDMALING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62159-2022</t>
        </is>
      </c>
      <c r="B10793" s="1" t="n">
        <v>44922.43946759259</v>
      </c>
      <c r="C10793" s="1" t="n">
        <v>45971</v>
      </c>
      <c r="D10793" t="inlineStr">
        <is>
          <t>VÄSTERBOTTENS LÄN</t>
        </is>
      </c>
      <c r="E10793" t="inlineStr">
        <is>
          <t>NORDMALING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36951-2025</t>
        </is>
      </c>
      <c r="B10794" s="1" t="n">
        <v>45874.60371527778</v>
      </c>
      <c r="C10794" s="1" t="n">
        <v>45971</v>
      </c>
      <c r="D10794" t="inlineStr">
        <is>
          <t>VÄSTERBOTTENS LÄN</t>
        </is>
      </c>
      <c r="E10794" t="inlineStr">
        <is>
          <t>STORUMAN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46189-2025</t>
        </is>
      </c>
      <c r="B10795" s="1" t="n">
        <v>45924.66530092592</v>
      </c>
      <c r="C10795" s="1" t="n">
        <v>45971</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53595-2025</t>
        </is>
      </c>
      <c r="B10796" s="1" t="n">
        <v>45960</v>
      </c>
      <c r="C10796" s="1" t="n">
        <v>45971</v>
      </c>
      <c r="D10796" t="inlineStr">
        <is>
          <t>VÄSTERBOTTENS LÄN</t>
        </is>
      </c>
      <c r="E10796" t="inlineStr">
        <is>
          <t>MALÅ</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12939-2025</t>
        </is>
      </c>
      <c r="B10797" s="1" t="n">
        <v>45734.36378472222</v>
      </c>
      <c r="C10797" s="1" t="n">
        <v>45971</v>
      </c>
      <c r="D10797" t="inlineStr">
        <is>
          <t>VÄSTERBOTTENS LÄN</t>
        </is>
      </c>
      <c r="E10797" t="inlineStr">
        <is>
          <t>SKELLEFTEÅ</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36954-2025</t>
        </is>
      </c>
      <c r="B10798" s="1" t="n">
        <v>45874.61121527778</v>
      </c>
      <c r="C10798" s="1" t="n">
        <v>45971</v>
      </c>
      <c r="D10798" t="inlineStr">
        <is>
          <t>VÄSTERBOTTENS LÄN</t>
        </is>
      </c>
      <c r="E10798" t="inlineStr">
        <is>
          <t>SKELLEFTEÅ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36955-2025</t>
        </is>
      </c>
      <c r="B10799" s="1" t="n">
        <v>45874.61203703703</v>
      </c>
      <c r="C10799" s="1" t="n">
        <v>45971</v>
      </c>
      <c r="D10799" t="inlineStr">
        <is>
          <t>VÄSTERBOTTENS LÄN</t>
        </is>
      </c>
      <c r="E10799" t="inlineStr">
        <is>
          <t>ÅSELE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36984-2025</t>
        </is>
      </c>
      <c r="B10800" s="1" t="n">
        <v>45874.64811342592</v>
      </c>
      <c r="C10800" s="1" t="n">
        <v>45971</v>
      </c>
      <c r="D10800" t="inlineStr">
        <is>
          <t>VÄSTERBOTTENS LÄN</t>
        </is>
      </c>
      <c r="E10800" t="inlineStr">
        <is>
          <t>DOROTEA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36763-2025</t>
        </is>
      </c>
      <c r="B10801" s="1" t="n">
        <v>45873.5733912037</v>
      </c>
      <c r="C10801" s="1" t="n">
        <v>45971</v>
      </c>
      <c r="D10801" t="inlineStr">
        <is>
          <t>VÄSTERBOTTENS LÄN</t>
        </is>
      </c>
      <c r="E10801" t="inlineStr">
        <is>
          <t>SKELLEFTEÅ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45769-2025</t>
        </is>
      </c>
      <c r="B10802" s="1" t="n">
        <v>45923.53181712963</v>
      </c>
      <c r="C10802" s="1" t="n">
        <v>45971</v>
      </c>
      <c r="D10802" t="inlineStr">
        <is>
          <t>VÄSTERBOTTENS LÄN</t>
        </is>
      </c>
      <c r="E10802" t="inlineStr">
        <is>
          <t>UMEÅ</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36818-2025</t>
        </is>
      </c>
      <c r="B10803" s="1" t="n">
        <v>45873.78482638889</v>
      </c>
      <c r="C10803" s="1" t="n">
        <v>45971</v>
      </c>
      <c r="D10803" t="inlineStr">
        <is>
          <t>VÄSTERBOTTENS LÄN</t>
        </is>
      </c>
      <c r="E10803" t="inlineStr">
        <is>
          <t>ROBERTSFORS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36828-2025</t>
        </is>
      </c>
      <c r="B10804" s="1" t="n">
        <v>45874.33908564815</v>
      </c>
      <c r="C10804" s="1" t="n">
        <v>45971</v>
      </c>
      <c r="D10804" t="inlineStr">
        <is>
          <t>VÄSTERBOTTENS LÄN</t>
        </is>
      </c>
      <c r="E10804" t="inlineStr">
        <is>
          <t>STORUMAN</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58830-2024</t>
        </is>
      </c>
      <c r="B10805" s="1" t="n">
        <v>45636</v>
      </c>
      <c r="C10805" s="1" t="n">
        <v>45971</v>
      </c>
      <c r="D10805" t="inlineStr">
        <is>
          <t>VÄSTERBOTTENS LÄN</t>
        </is>
      </c>
      <c r="E10805" t="inlineStr">
        <is>
          <t>SKELLEFTEÅ</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36922-2025</t>
        </is>
      </c>
      <c r="B10806" s="1" t="n">
        <v>45874.53983796296</v>
      </c>
      <c r="C10806" s="1" t="n">
        <v>45971</v>
      </c>
      <c r="D10806" t="inlineStr">
        <is>
          <t>VÄSTERBOTTENS LÄN</t>
        </is>
      </c>
      <c r="E10806" t="inlineStr">
        <is>
          <t>STORUMAN</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36787-2025</t>
        </is>
      </c>
      <c r="B10807" s="1" t="n">
        <v>45873.6340162037</v>
      </c>
      <c r="C10807" s="1" t="n">
        <v>45971</v>
      </c>
      <c r="D10807" t="inlineStr">
        <is>
          <t>VÄSTERBOTTENS LÄN</t>
        </is>
      </c>
      <c r="E10807" t="inlineStr">
        <is>
          <t>LYCKSELE</t>
        </is>
      </c>
      <c r="F10807" t="inlineStr">
        <is>
          <t>Sveaskog</t>
        </is>
      </c>
      <c r="G10807" t="n">
        <v>20.1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36837-2025</t>
        </is>
      </c>
      <c r="B10808" s="1" t="n">
        <v>45874.36677083333</v>
      </c>
      <c r="C10808" s="1" t="n">
        <v>45971</v>
      </c>
      <c r="D10808" t="inlineStr">
        <is>
          <t>VÄSTERBOTTENS LÄN</t>
        </is>
      </c>
      <c r="E10808" t="inlineStr">
        <is>
          <t>ÅSELE</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36871-2025</t>
        </is>
      </c>
      <c r="B10809" s="1" t="n">
        <v>45874.42888888889</v>
      </c>
      <c r="C10809" s="1" t="n">
        <v>45971</v>
      </c>
      <c r="D10809" t="inlineStr">
        <is>
          <t>VÄSTERBOTTENS LÄN</t>
        </is>
      </c>
      <c r="E10809" t="inlineStr">
        <is>
          <t>DOROTEA</t>
        </is>
      </c>
      <c r="F10809" t="inlineStr">
        <is>
          <t>SCA</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34111-2025</t>
        </is>
      </c>
      <c r="B10810" s="1" t="n">
        <v>45845.50052083333</v>
      </c>
      <c r="C10810" s="1" t="n">
        <v>45971</v>
      </c>
      <c r="D10810" t="inlineStr">
        <is>
          <t>VÄSTERBOTTENS LÄN</t>
        </is>
      </c>
      <c r="E10810" t="inlineStr">
        <is>
          <t>LYCKSELE</t>
        </is>
      </c>
      <c r="F10810" t="inlineStr">
        <is>
          <t>Holmen skog AB</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36687-2025</t>
        </is>
      </c>
      <c r="B10811" s="1" t="n">
        <v>45873.41922453704</v>
      </c>
      <c r="C10811" s="1" t="n">
        <v>45971</v>
      </c>
      <c r="D10811" t="inlineStr">
        <is>
          <t>VÄSTERBOTTENS LÄN</t>
        </is>
      </c>
      <c r="E10811" t="inlineStr">
        <is>
          <t>LYCKSELE</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36716-2025</t>
        </is>
      </c>
      <c r="B10812" s="1" t="n">
        <v>45873.46920138889</v>
      </c>
      <c r="C10812" s="1" t="n">
        <v>45971</v>
      </c>
      <c r="D10812" t="inlineStr">
        <is>
          <t>VÄSTERBOTTENS LÄN</t>
        </is>
      </c>
      <c r="E10812" t="inlineStr">
        <is>
          <t>NORDMALING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36720-2025</t>
        </is>
      </c>
      <c r="B10813" s="1" t="n">
        <v>45873.47204861111</v>
      </c>
      <c r="C10813" s="1" t="n">
        <v>45971</v>
      </c>
      <c r="D10813" t="inlineStr">
        <is>
          <t>VÄSTERBOTTENS LÄN</t>
        </is>
      </c>
      <c r="E10813" t="inlineStr">
        <is>
          <t>ROBERTSFORS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36736-2025</t>
        </is>
      </c>
      <c r="B10814" s="1" t="n">
        <v>45873.52534722222</v>
      </c>
      <c r="C10814" s="1" t="n">
        <v>45971</v>
      </c>
      <c r="D10814" t="inlineStr">
        <is>
          <t>VÄSTERBOTTENS LÄN</t>
        </is>
      </c>
      <c r="E10814" t="inlineStr">
        <is>
          <t>LYCKSELE</t>
        </is>
      </c>
      <c r="F10814" t="inlineStr">
        <is>
          <t>Sveaskog</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36860-2025</t>
        </is>
      </c>
      <c r="B10815" s="1" t="n">
        <v>45874.40981481481</v>
      </c>
      <c r="C10815" s="1" t="n">
        <v>45971</v>
      </c>
      <c r="D10815" t="inlineStr">
        <is>
          <t>VÄSTERBOTTENS LÄN</t>
        </is>
      </c>
      <c r="E10815" t="inlineStr">
        <is>
          <t>NORDMALING</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36944-2025</t>
        </is>
      </c>
      <c r="B10816" s="1" t="n">
        <v>45874.59450231482</v>
      </c>
      <c r="C10816" s="1" t="n">
        <v>45971</v>
      </c>
      <c r="D10816" t="inlineStr">
        <is>
          <t>VÄSTERBOTTENS LÄN</t>
        </is>
      </c>
      <c r="E10816" t="inlineStr">
        <is>
          <t>VILHELMINA</t>
        </is>
      </c>
      <c r="F10816" t="inlineStr">
        <is>
          <t>SCA</t>
        </is>
      </c>
      <c r="G10816" t="n">
        <v>17.4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36962-2025</t>
        </is>
      </c>
      <c r="B10817" s="1" t="n">
        <v>45874.63052083334</v>
      </c>
      <c r="C10817" s="1" t="n">
        <v>45971</v>
      </c>
      <c r="D10817" t="inlineStr">
        <is>
          <t>VÄSTERBOTTENS LÄN</t>
        </is>
      </c>
      <c r="E10817" t="inlineStr">
        <is>
          <t>SKELLEFTEÅ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36996-2025</t>
        </is>
      </c>
      <c r="B10818" s="1" t="n">
        <v>45874.67782407408</v>
      </c>
      <c r="C10818" s="1" t="n">
        <v>45971</v>
      </c>
      <c r="D10818" t="inlineStr">
        <is>
          <t>VÄSTERBOTTENS LÄN</t>
        </is>
      </c>
      <c r="E10818" t="inlineStr">
        <is>
          <t>BJURHOLM</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29709-2025</t>
        </is>
      </c>
      <c r="B10819" s="1" t="n">
        <v>45825.56317129629</v>
      </c>
      <c r="C10819" s="1" t="n">
        <v>45971</v>
      </c>
      <c r="D10819" t="inlineStr">
        <is>
          <t>VÄSTERBOTTENS LÄN</t>
        </is>
      </c>
      <c r="E10819" t="inlineStr">
        <is>
          <t>LYCKSELE</t>
        </is>
      </c>
      <c r="F10819" t="inlineStr">
        <is>
          <t>Holmen skog AB</t>
        </is>
      </c>
      <c r="G10819" t="n">
        <v>52.4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46181-2025</t>
        </is>
      </c>
      <c r="B10820" s="1" t="n">
        <v>45924.65697916667</v>
      </c>
      <c r="C10820" s="1" t="n">
        <v>45971</v>
      </c>
      <c r="D10820" t="inlineStr">
        <is>
          <t>VÄSTERBOTTENS LÄN</t>
        </is>
      </c>
      <c r="E10820" t="inlineStr">
        <is>
          <t>LYCKSELE</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46197-2025</t>
        </is>
      </c>
      <c r="B10821" s="1" t="n">
        <v>45924.68833333333</v>
      </c>
      <c r="C10821" s="1" t="n">
        <v>45971</v>
      </c>
      <c r="D10821" t="inlineStr">
        <is>
          <t>VÄSTERBOTTENS LÄN</t>
        </is>
      </c>
      <c r="E10821" t="inlineStr">
        <is>
          <t>VINDELN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36640-2025</t>
        </is>
      </c>
      <c r="B10822" s="1" t="n">
        <v>45871.05299768518</v>
      </c>
      <c r="C10822" s="1" t="n">
        <v>45971</v>
      </c>
      <c r="D10822" t="inlineStr">
        <is>
          <t>VÄSTERBOTTENS LÄN</t>
        </is>
      </c>
      <c r="E10822" t="inlineStr">
        <is>
          <t>SKELLEFTEÅ</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36651-2025</t>
        </is>
      </c>
      <c r="B10823" s="1" t="n">
        <v>45872.63649305556</v>
      </c>
      <c r="C10823" s="1" t="n">
        <v>45971</v>
      </c>
      <c r="D10823" t="inlineStr">
        <is>
          <t>VÄSTERBOTTENS LÄN</t>
        </is>
      </c>
      <c r="E10823" t="inlineStr">
        <is>
          <t>ROBERTSFORS</t>
        </is>
      </c>
      <c r="G10823" t="n">
        <v>14.4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37015-2025</t>
        </is>
      </c>
      <c r="B10824" s="1" t="n">
        <v>45874.71912037037</v>
      </c>
      <c r="C10824" s="1" t="n">
        <v>45971</v>
      </c>
      <c r="D10824" t="inlineStr">
        <is>
          <t>VÄSTERBOTTENS LÄN</t>
        </is>
      </c>
      <c r="E10824" t="inlineStr">
        <is>
          <t>VILHELMINA</t>
        </is>
      </c>
      <c r="F10824" t="inlineStr">
        <is>
          <t>SCA</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37007-2025</t>
        </is>
      </c>
      <c r="B10825" s="1" t="n">
        <v>45874.69827546296</v>
      </c>
      <c r="C10825" s="1" t="n">
        <v>45971</v>
      </c>
      <c r="D10825" t="inlineStr">
        <is>
          <t>VÄSTERBOTTENS LÄN</t>
        </is>
      </c>
      <c r="E10825" t="inlineStr">
        <is>
          <t>BJURHOLM</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37020-2025</t>
        </is>
      </c>
      <c r="B10826" s="1" t="n">
        <v>45874</v>
      </c>
      <c r="C10826" s="1" t="n">
        <v>45971</v>
      </c>
      <c r="D10826" t="inlineStr">
        <is>
          <t>VÄSTERBOTTENS LÄN</t>
        </is>
      </c>
      <c r="E10826" t="inlineStr">
        <is>
          <t>STORUMAN</t>
        </is>
      </c>
      <c r="G10826" t="n">
        <v>13.3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13768-2024</t>
        </is>
      </c>
      <c r="B10827" s="1" t="n">
        <v>45390.95230324074</v>
      </c>
      <c r="C10827" s="1" t="n">
        <v>45971</v>
      </c>
      <c r="D10827" t="inlineStr">
        <is>
          <t>VÄSTERBOTTENS LÄN</t>
        </is>
      </c>
      <c r="E10827" t="inlineStr">
        <is>
          <t>VILHELMINA</t>
        </is>
      </c>
      <c r="F10827" t="inlineStr">
        <is>
          <t>SCA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64500-2023</t>
        </is>
      </c>
      <c r="B10828" s="1" t="n">
        <v>45280.94303240741</v>
      </c>
      <c r="C10828" s="1" t="n">
        <v>45971</v>
      </c>
      <c r="D10828" t="inlineStr">
        <is>
          <t>VÄSTERBOTTENS LÄN</t>
        </is>
      </c>
      <c r="E10828" t="inlineStr">
        <is>
          <t>BJURHOLM</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13835-2024</t>
        </is>
      </c>
      <c r="B10829" s="1" t="n">
        <v>45390</v>
      </c>
      <c r="C10829" s="1" t="n">
        <v>45971</v>
      </c>
      <c r="D10829" t="inlineStr">
        <is>
          <t>VÄSTERBOTTENS LÄN</t>
        </is>
      </c>
      <c r="E10829" t="inlineStr">
        <is>
          <t>VINDELN</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46193-2025</t>
        </is>
      </c>
      <c r="B10830" s="1" t="n">
        <v>45924.67805555555</v>
      </c>
      <c r="C10830" s="1" t="n">
        <v>45971</v>
      </c>
      <c r="D10830" t="inlineStr">
        <is>
          <t>VÄSTERBOTTENS LÄN</t>
        </is>
      </c>
      <c r="E10830" t="inlineStr">
        <is>
          <t>BJURHOLM</t>
        </is>
      </c>
      <c r="F10830" t="inlineStr">
        <is>
          <t>SCA</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54435-2025</t>
        </is>
      </c>
      <c r="B10831" s="1" t="n">
        <v>45965.49858796296</v>
      </c>
      <c r="C10831" s="1" t="n">
        <v>45971</v>
      </c>
      <c r="D10831" t="inlineStr">
        <is>
          <t>VÄSTERBOTTENS LÄN</t>
        </is>
      </c>
      <c r="E10831" t="inlineStr">
        <is>
          <t>VINDELN</t>
        </is>
      </c>
      <c r="G10831" t="n">
        <v>14.8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45787-2025</t>
        </is>
      </c>
      <c r="B10832" s="1" t="n">
        <v>45923.5621875</v>
      </c>
      <c r="C10832" s="1" t="n">
        <v>45971</v>
      </c>
      <c r="D10832" t="inlineStr">
        <is>
          <t>VÄSTERBOTTENS LÄN</t>
        </is>
      </c>
      <c r="E10832" t="inlineStr">
        <is>
          <t>SKELLEFTEÅ</t>
        </is>
      </c>
      <c r="F10832" t="inlineStr">
        <is>
          <t>Holmen skog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37105-2025</t>
        </is>
      </c>
      <c r="B10833" s="1" t="n">
        <v>45875.47822916666</v>
      </c>
      <c r="C10833" s="1" t="n">
        <v>45971</v>
      </c>
      <c r="D10833" t="inlineStr">
        <is>
          <t>VÄSTERBOTTENS LÄN</t>
        </is>
      </c>
      <c r="E10833" t="inlineStr">
        <is>
          <t>LYCKSELE</t>
        </is>
      </c>
      <c r="F10833" t="inlineStr">
        <is>
          <t>Holmen skog AB</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41592-2023</t>
        </is>
      </c>
      <c r="B10834" s="1" t="n">
        <v>45175.63826388889</v>
      </c>
      <c r="C10834" s="1" t="n">
        <v>45971</v>
      </c>
      <c r="D10834" t="inlineStr">
        <is>
          <t>VÄSTERBOTTENS LÄN</t>
        </is>
      </c>
      <c r="E10834" t="inlineStr">
        <is>
          <t>BJURHOLM</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37134-2025</t>
        </is>
      </c>
      <c r="B10835" s="1" t="n">
        <v>45875.54960648148</v>
      </c>
      <c r="C10835" s="1" t="n">
        <v>45971</v>
      </c>
      <c r="D10835" t="inlineStr">
        <is>
          <t>VÄSTERBOTTENS LÄN</t>
        </is>
      </c>
      <c r="E10835" t="inlineStr">
        <is>
          <t>VINDELN</t>
        </is>
      </c>
      <c r="F10835" t="inlineStr">
        <is>
          <t>Sveaskog</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16002-2024</t>
        </is>
      </c>
      <c r="B10836" s="1" t="n">
        <v>45405</v>
      </c>
      <c r="C10836" s="1" t="n">
        <v>45971</v>
      </c>
      <c r="D10836" t="inlineStr">
        <is>
          <t>VÄSTERBOTTENS LÄN</t>
        </is>
      </c>
      <c r="E10836" t="inlineStr">
        <is>
          <t>VINDELN</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58557-2024</t>
        </is>
      </c>
      <c r="B10837" s="1" t="n">
        <v>45635.46780092592</v>
      </c>
      <c r="C10837" s="1" t="n">
        <v>45971</v>
      </c>
      <c r="D10837" t="inlineStr">
        <is>
          <t>VÄSTERBOTTENS LÄN</t>
        </is>
      </c>
      <c r="E10837" t="inlineStr">
        <is>
          <t>SKELLEFTEÅ</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37240-2025</t>
        </is>
      </c>
      <c r="B10838" s="1" t="n">
        <v>45876.38582175926</v>
      </c>
      <c r="C10838" s="1" t="n">
        <v>45971</v>
      </c>
      <c r="D10838" t="inlineStr">
        <is>
          <t>VÄSTERBOTTENS LÄN</t>
        </is>
      </c>
      <c r="E10838" t="inlineStr">
        <is>
          <t>DOROTEA</t>
        </is>
      </c>
      <c r="F10838" t="inlineStr">
        <is>
          <t>SCA</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3268-2022</t>
        </is>
      </c>
      <c r="B10839" s="1" t="n">
        <v>44583.89641203704</v>
      </c>
      <c r="C10839" s="1" t="n">
        <v>45971</v>
      </c>
      <c r="D10839" t="inlineStr">
        <is>
          <t>VÄSTERBOTTENS LÄN</t>
        </is>
      </c>
      <c r="E10839" t="inlineStr">
        <is>
          <t>SKELLEFTEÅ</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37259-2025</t>
        </is>
      </c>
      <c r="B10840" s="1" t="n">
        <v>45876.4483912037</v>
      </c>
      <c r="C10840" s="1" t="n">
        <v>45971</v>
      </c>
      <c r="D10840" t="inlineStr">
        <is>
          <t>VÄSTERBOTTENS LÄN</t>
        </is>
      </c>
      <c r="E10840" t="inlineStr">
        <is>
          <t>DOROTEA</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37282-2025</t>
        </is>
      </c>
      <c r="B10841" s="1" t="n">
        <v>45876.49122685185</v>
      </c>
      <c r="C10841" s="1" t="n">
        <v>45971</v>
      </c>
      <c r="D10841" t="inlineStr">
        <is>
          <t>VÄSTERBOTTENS LÄN</t>
        </is>
      </c>
      <c r="E10841" t="inlineStr">
        <is>
          <t>DOROTEA</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37130-2025</t>
        </is>
      </c>
      <c r="B10842" s="1" t="n">
        <v>45875.54311342593</v>
      </c>
      <c r="C10842" s="1" t="n">
        <v>45971</v>
      </c>
      <c r="D10842" t="inlineStr">
        <is>
          <t>VÄSTERBOTTENS LÄN</t>
        </is>
      </c>
      <c r="E10842" t="inlineStr">
        <is>
          <t>VINDELN</t>
        </is>
      </c>
      <c r="F10842" t="inlineStr">
        <is>
          <t>Sveaskog</t>
        </is>
      </c>
      <c r="G10842" t="n">
        <v>14.3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37135-2025</t>
        </is>
      </c>
      <c r="B10843" s="1" t="n">
        <v>45875.5525462963</v>
      </c>
      <c r="C10843" s="1" t="n">
        <v>45971</v>
      </c>
      <c r="D10843" t="inlineStr">
        <is>
          <t>VÄSTERBOTTENS LÄN</t>
        </is>
      </c>
      <c r="E10843" t="inlineStr">
        <is>
          <t>DOROTEA</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37302-2025</t>
        </is>
      </c>
      <c r="B10844" s="1" t="n">
        <v>45876</v>
      </c>
      <c r="C10844" s="1" t="n">
        <v>45971</v>
      </c>
      <c r="D10844" t="inlineStr">
        <is>
          <t>VÄSTERBOTTENS LÄN</t>
        </is>
      </c>
      <c r="E10844" t="inlineStr">
        <is>
          <t>VILHELMINA</t>
        </is>
      </c>
      <c r="F10844" t="inlineStr">
        <is>
          <t>SCA</t>
        </is>
      </c>
      <c r="G10844" t="n">
        <v>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38700-2024</t>
        </is>
      </c>
      <c r="B10845" s="1" t="n">
        <v>45547</v>
      </c>
      <c r="C10845" s="1" t="n">
        <v>45971</v>
      </c>
      <c r="D10845" t="inlineStr">
        <is>
          <t>VÄSTERBOTTENS LÄN</t>
        </is>
      </c>
      <c r="E10845" t="inlineStr">
        <is>
          <t>DOROTEA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37309-2025</t>
        </is>
      </c>
      <c r="B10846" s="1" t="n">
        <v>45876.595</v>
      </c>
      <c r="C10846" s="1" t="n">
        <v>45971</v>
      </c>
      <c r="D10846" t="inlineStr">
        <is>
          <t>VÄSTERBOTTENS LÄN</t>
        </is>
      </c>
      <c r="E10846" t="inlineStr">
        <is>
          <t>UMEÅ</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37039-2025</t>
        </is>
      </c>
      <c r="B10847" s="1" t="n">
        <v>45875.32471064815</v>
      </c>
      <c r="C10847" s="1" t="n">
        <v>45971</v>
      </c>
      <c r="D10847" t="inlineStr">
        <is>
          <t>VÄSTERBOTTENS LÄN</t>
        </is>
      </c>
      <c r="E10847" t="inlineStr">
        <is>
          <t>UMEÅ</t>
        </is>
      </c>
      <c r="F10847" t="inlineStr">
        <is>
          <t>Holmen skog AB</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36814-2025</t>
        </is>
      </c>
      <c r="B10848" s="1" t="n">
        <v>45872</v>
      </c>
      <c r="C10848" s="1" t="n">
        <v>45971</v>
      </c>
      <c r="D10848" t="inlineStr">
        <is>
          <t>VÄSTERBOTTENS LÄN</t>
        </is>
      </c>
      <c r="E10848" t="inlineStr">
        <is>
          <t>UMEÅ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14957-2025</t>
        </is>
      </c>
      <c r="B10849" s="1" t="n">
        <v>45743.58413194444</v>
      </c>
      <c r="C10849" s="1" t="n">
        <v>45971</v>
      </c>
      <c r="D10849" t="inlineStr">
        <is>
          <t>VÄSTERBOTTENS LÄN</t>
        </is>
      </c>
      <c r="E10849" t="inlineStr">
        <is>
          <t>VINDELN</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33745-2024</t>
        </is>
      </c>
      <c r="B10850" s="1" t="n">
        <v>45520.56268518518</v>
      </c>
      <c r="C10850" s="1" t="n">
        <v>45971</v>
      </c>
      <c r="D10850" t="inlineStr">
        <is>
          <t>VÄSTERBOTTENS LÄN</t>
        </is>
      </c>
      <c r="E10850" t="inlineStr">
        <is>
          <t>VINDELN</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33776-2024</t>
        </is>
      </c>
      <c r="B10851" s="1" t="n">
        <v>45520.57944444445</v>
      </c>
      <c r="C10851" s="1" t="n">
        <v>45971</v>
      </c>
      <c r="D10851" t="inlineStr">
        <is>
          <t>VÄSTERBOTTENS LÄN</t>
        </is>
      </c>
      <c r="E10851" t="inlineStr">
        <is>
          <t>SKELLEFTEÅ</t>
        </is>
      </c>
      <c r="F10851" t="inlineStr">
        <is>
          <t>Sveaskog</t>
        </is>
      </c>
      <c r="G10851" t="n">
        <v>16.4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19865-2024</t>
        </is>
      </c>
      <c r="B10852" s="1" t="n">
        <v>45433</v>
      </c>
      <c r="C10852" s="1" t="n">
        <v>45971</v>
      </c>
      <c r="D10852" t="inlineStr">
        <is>
          <t>VÄSTERBOTTENS LÄN</t>
        </is>
      </c>
      <c r="E10852" t="inlineStr">
        <is>
          <t>NORDMALING</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54321-2025</t>
        </is>
      </c>
      <c r="B10853" s="1" t="n">
        <v>45965.34315972222</v>
      </c>
      <c r="C10853" s="1" t="n">
        <v>45971</v>
      </c>
      <c r="D10853" t="inlineStr">
        <is>
          <t>VÄSTERBOTTENS LÄN</t>
        </is>
      </c>
      <c r="E10853" t="inlineStr">
        <is>
          <t>UMEÅ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69502-2020</t>
        </is>
      </c>
      <c r="B10854" s="1" t="n">
        <v>44193</v>
      </c>
      <c r="C10854" s="1" t="n">
        <v>45971</v>
      </c>
      <c r="D10854" t="inlineStr">
        <is>
          <t>VÄSTERBOTTENS LÄN</t>
        </is>
      </c>
      <c r="E10854" t="inlineStr">
        <is>
          <t>VILHELMINA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37239-2025</t>
        </is>
      </c>
      <c r="B10855" s="1" t="n">
        <v>45876</v>
      </c>
      <c r="C10855" s="1" t="n">
        <v>45971</v>
      </c>
      <c r="D10855" t="inlineStr">
        <is>
          <t>VÄSTERBOTTENS LÄN</t>
        </is>
      </c>
      <c r="E10855" t="inlineStr">
        <is>
          <t>STORUMAN</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16653-2022</t>
        </is>
      </c>
      <c r="B10856" s="1" t="n">
        <v>44672</v>
      </c>
      <c r="C10856" s="1" t="n">
        <v>45971</v>
      </c>
      <c r="D10856" t="inlineStr">
        <is>
          <t>VÄSTERBOTTENS LÄN</t>
        </is>
      </c>
      <c r="E10856" t="inlineStr">
        <is>
          <t>SKELLEFTEÅ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37269-2025</t>
        </is>
      </c>
      <c r="B10857" s="1" t="n">
        <v>45876</v>
      </c>
      <c r="C10857" s="1" t="n">
        <v>45971</v>
      </c>
      <c r="D10857" t="inlineStr">
        <is>
          <t>VÄSTERBOTTENS LÄN</t>
        </is>
      </c>
      <c r="E10857" t="inlineStr">
        <is>
          <t>VILHELMINA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37276-2025</t>
        </is>
      </c>
      <c r="B10858" s="1" t="n">
        <v>45876.49024305555</v>
      </c>
      <c r="C10858" s="1" t="n">
        <v>45971</v>
      </c>
      <c r="D10858" t="inlineStr">
        <is>
          <t>VÄSTERBOTTENS LÄN</t>
        </is>
      </c>
      <c r="E10858" t="inlineStr">
        <is>
          <t>DOROTEA</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37289-2025</t>
        </is>
      </c>
      <c r="B10859" s="1" t="n">
        <v>45876.51096064815</v>
      </c>
      <c r="C10859" s="1" t="n">
        <v>45971</v>
      </c>
      <c r="D10859" t="inlineStr">
        <is>
          <t>VÄSTERBOTTENS LÄN</t>
        </is>
      </c>
      <c r="E10859" t="inlineStr">
        <is>
          <t>DOROTEA</t>
        </is>
      </c>
      <c r="F10859" t="inlineStr">
        <is>
          <t>SCA</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4490-2021</t>
        </is>
      </c>
      <c r="B10860" s="1" t="n">
        <v>44222</v>
      </c>
      <c r="C10860" s="1" t="n">
        <v>45971</v>
      </c>
      <c r="D10860" t="inlineStr">
        <is>
          <t>VÄSTERBOTTENS LÄN</t>
        </is>
      </c>
      <c r="E10860" t="inlineStr">
        <is>
          <t>SORSELE</t>
        </is>
      </c>
      <c r="F10860" t="inlineStr">
        <is>
          <t>Övriga Aktiebolag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61506-2021</t>
        </is>
      </c>
      <c r="B10861" s="1" t="n">
        <v>44501</v>
      </c>
      <c r="C10861" s="1" t="n">
        <v>45971</v>
      </c>
      <c r="D10861" t="inlineStr">
        <is>
          <t>VÄSTERBOTTENS LÄN</t>
        </is>
      </c>
      <c r="E10861" t="inlineStr">
        <is>
          <t>LYCKSELE</t>
        </is>
      </c>
      <c r="F10861" t="inlineStr">
        <is>
          <t>Sveaskog</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37318-2025</t>
        </is>
      </c>
      <c r="B10862" s="1" t="n">
        <v>45876.61952546296</v>
      </c>
      <c r="C10862" s="1" t="n">
        <v>45971</v>
      </c>
      <c r="D10862" t="inlineStr">
        <is>
          <t>VÄSTERBOTTENS LÄN</t>
        </is>
      </c>
      <c r="E10862" t="inlineStr">
        <is>
          <t>SKELLEFTEÅ</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37322-2025</t>
        </is>
      </c>
      <c r="B10863" s="1" t="n">
        <v>45876.62466435185</v>
      </c>
      <c r="C10863" s="1" t="n">
        <v>45971</v>
      </c>
      <c r="D10863" t="inlineStr">
        <is>
          <t>VÄSTERBOTTENS LÄN</t>
        </is>
      </c>
      <c r="E10863" t="inlineStr">
        <is>
          <t>SKELLEFTEÅ</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31741-2022</t>
        </is>
      </c>
      <c r="B10864" s="1" t="n">
        <v>44776.51278935185</v>
      </c>
      <c r="C10864" s="1" t="n">
        <v>45971</v>
      </c>
      <c r="D10864" t="inlineStr">
        <is>
          <t>VÄSTERBOTTENS LÄN</t>
        </is>
      </c>
      <c r="E10864" t="inlineStr">
        <is>
          <t>STORUMAN</t>
        </is>
      </c>
      <c r="F10864" t="inlineStr">
        <is>
          <t>Sveaskog</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42216-2022</t>
        </is>
      </c>
      <c r="B10865" s="1" t="n">
        <v>44830</v>
      </c>
      <c r="C10865" s="1" t="n">
        <v>45971</v>
      </c>
      <c r="D10865" t="inlineStr">
        <is>
          <t>VÄSTERBOTTENS LÄN</t>
        </is>
      </c>
      <c r="E10865" t="inlineStr">
        <is>
          <t>LYCKSELE</t>
        </is>
      </c>
      <c r="G10865" t="n">
        <v>15.9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2929-2025</t>
        </is>
      </c>
      <c r="B10866" s="1" t="n">
        <v>45678</v>
      </c>
      <c r="C10866" s="1" t="n">
        <v>45971</v>
      </c>
      <c r="D10866" t="inlineStr">
        <is>
          <t>VÄSTERBOTTENS LÄN</t>
        </is>
      </c>
      <c r="E10866" t="inlineStr">
        <is>
          <t>SORSELE</t>
        </is>
      </c>
      <c r="G10866" t="n">
        <v>49.7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38946-2024</t>
        </is>
      </c>
      <c r="B10867" s="1" t="n">
        <v>45548.34542824074</v>
      </c>
      <c r="C10867" s="1" t="n">
        <v>45971</v>
      </c>
      <c r="D10867" t="inlineStr">
        <is>
          <t>VÄSTERBOTTENS LÄN</t>
        </is>
      </c>
      <c r="E10867" t="inlineStr">
        <is>
          <t>SORSELE</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38951-2024</t>
        </is>
      </c>
      <c r="B10868" s="1" t="n">
        <v>45548</v>
      </c>
      <c r="C10868" s="1" t="n">
        <v>45971</v>
      </c>
      <c r="D10868" t="inlineStr">
        <is>
          <t>VÄSTERBOTTENS LÄN</t>
        </is>
      </c>
      <c r="E10868" t="inlineStr">
        <is>
          <t>ROBERTSFORS</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38957-2024</t>
        </is>
      </c>
      <c r="B10869" s="1" t="n">
        <v>45548.35662037037</v>
      </c>
      <c r="C10869" s="1" t="n">
        <v>45971</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37174-2025</t>
        </is>
      </c>
      <c r="B10870" s="1" t="n">
        <v>45875.61515046296</v>
      </c>
      <c r="C10870" s="1" t="n">
        <v>45971</v>
      </c>
      <c r="D10870" t="inlineStr">
        <is>
          <t>VÄSTERBOTTENS LÄN</t>
        </is>
      </c>
      <c r="E10870" t="inlineStr">
        <is>
          <t>VINDELN</t>
        </is>
      </c>
      <c r="F10870" t="inlineStr">
        <is>
          <t>SCA</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37175-2025</t>
        </is>
      </c>
      <c r="B10871" s="1" t="n">
        <v>45875.61523148148</v>
      </c>
      <c r="C10871" s="1" t="n">
        <v>45971</v>
      </c>
      <c r="D10871" t="inlineStr">
        <is>
          <t>VÄSTERBOTTENS LÄN</t>
        </is>
      </c>
      <c r="E10871" t="inlineStr">
        <is>
          <t>VINDELN</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45672-2025</t>
        </is>
      </c>
      <c r="B10872" s="1" t="n">
        <v>45923.35769675926</v>
      </c>
      <c r="C10872" s="1" t="n">
        <v>45971</v>
      </c>
      <c r="D10872" t="inlineStr">
        <is>
          <t>VÄSTERBOTTENS LÄN</t>
        </is>
      </c>
      <c r="E10872" t="inlineStr">
        <is>
          <t>UMEÅ</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71798-2021</t>
        </is>
      </c>
      <c r="B10873" s="1" t="n">
        <v>44543.56943287037</v>
      </c>
      <c r="C10873" s="1" t="n">
        <v>45971</v>
      </c>
      <c r="D10873" t="inlineStr">
        <is>
          <t>VÄSTERBOTTENS LÄN</t>
        </is>
      </c>
      <c r="E10873" t="inlineStr">
        <is>
          <t>SKELLEFTEÅ</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40059-2024</t>
        </is>
      </c>
      <c r="B10874" s="1" t="n">
        <v>45553.91163194444</v>
      </c>
      <c r="C10874" s="1" t="n">
        <v>45971</v>
      </c>
      <c r="D10874" t="inlineStr">
        <is>
          <t>VÄSTERBOTTENS LÄN</t>
        </is>
      </c>
      <c r="E10874" t="inlineStr">
        <is>
          <t>STORUMAN</t>
        </is>
      </c>
      <c r="G10874" t="n">
        <v>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40115-2024</t>
        </is>
      </c>
      <c r="B10875" s="1" t="n">
        <v>45554.4563425926</v>
      </c>
      <c r="C10875" s="1" t="n">
        <v>45971</v>
      </c>
      <c r="D10875" t="inlineStr">
        <is>
          <t>VÄSTERBOTTENS LÄN</t>
        </is>
      </c>
      <c r="E10875" t="inlineStr">
        <is>
          <t>LYCKSELE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37199-2025</t>
        </is>
      </c>
      <c r="B10876" s="1" t="n">
        <v>45875.67760416667</v>
      </c>
      <c r="C10876" s="1" t="n">
        <v>45971</v>
      </c>
      <c r="D10876" t="inlineStr">
        <is>
          <t>VÄSTERBOTTENS LÄN</t>
        </is>
      </c>
      <c r="E10876" t="inlineStr">
        <is>
          <t>BJURHOLM</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41455-2024</t>
        </is>
      </c>
      <c r="B10877" s="1" t="n">
        <v>45560</v>
      </c>
      <c r="C10877" s="1" t="n">
        <v>45971</v>
      </c>
      <c r="D10877" t="inlineStr">
        <is>
          <t>VÄSTERBOTTENS LÄN</t>
        </is>
      </c>
      <c r="E10877" t="inlineStr">
        <is>
          <t>VINDELN</t>
        </is>
      </c>
      <c r="F10877" t="inlineStr">
        <is>
          <t>Holmen skog AB</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41462-2024</t>
        </is>
      </c>
      <c r="B10878" s="1" t="n">
        <v>45560</v>
      </c>
      <c r="C10878" s="1" t="n">
        <v>45971</v>
      </c>
      <c r="D10878" t="inlineStr">
        <is>
          <t>VÄSTERBOTTENS LÄN</t>
        </is>
      </c>
      <c r="E10878" t="inlineStr">
        <is>
          <t>VINDELN</t>
        </is>
      </c>
      <c r="F10878" t="inlineStr">
        <is>
          <t>Sveaskog</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37078-2025</t>
        </is>
      </c>
      <c r="B10879" s="1" t="n">
        <v>45875.42446759259</v>
      </c>
      <c r="C10879" s="1" t="n">
        <v>45971</v>
      </c>
      <c r="D10879" t="inlineStr">
        <is>
          <t>VÄSTERBOTTENS LÄN</t>
        </is>
      </c>
      <c r="E10879" t="inlineStr">
        <is>
          <t>LYCKSELE</t>
        </is>
      </c>
      <c r="F10879" t="inlineStr">
        <is>
          <t>Sveaskog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37119-2025</t>
        </is>
      </c>
      <c r="B10880" s="1" t="n">
        <v>45875</v>
      </c>
      <c r="C10880" s="1" t="n">
        <v>45971</v>
      </c>
      <c r="D10880" t="inlineStr">
        <is>
          <t>VÄSTERBOTTENS LÄN</t>
        </is>
      </c>
      <c r="E10880" t="inlineStr">
        <is>
          <t>MALÅ</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54320-2025</t>
        </is>
      </c>
      <c r="B10881" s="1" t="n">
        <v>45965.34202546296</v>
      </c>
      <c r="C10881" s="1" t="n">
        <v>45971</v>
      </c>
      <c r="D10881" t="inlineStr">
        <is>
          <t>VÄSTERBOTTENS LÄN</t>
        </is>
      </c>
      <c r="E10881" t="inlineStr">
        <is>
          <t>UMEÅ</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54324-2025</t>
        </is>
      </c>
      <c r="B10882" s="1" t="n">
        <v>45965.3446875</v>
      </c>
      <c r="C10882" s="1" t="n">
        <v>45971</v>
      </c>
      <c r="D10882" t="inlineStr">
        <is>
          <t>VÄSTERBOTTENS LÄN</t>
        </is>
      </c>
      <c r="E10882" t="inlineStr">
        <is>
          <t>NORSJÖ</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54325-2025</t>
        </is>
      </c>
      <c r="B10883" s="1" t="n">
        <v>45965.34471064815</v>
      </c>
      <c r="C10883" s="1" t="n">
        <v>45971</v>
      </c>
      <c r="D10883" t="inlineStr">
        <is>
          <t>VÄSTERBOTTENS LÄN</t>
        </is>
      </c>
      <c r="E10883" t="inlineStr">
        <is>
          <t>NORSJÖ</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61451-2020</t>
        </is>
      </c>
      <c r="B10884" s="1" t="n">
        <v>44158.03034722222</v>
      </c>
      <c r="C10884" s="1" t="n">
        <v>45971</v>
      </c>
      <c r="D10884" t="inlineStr">
        <is>
          <t>VÄSTERBOTTENS LÄN</t>
        </is>
      </c>
      <c r="E10884" t="inlineStr">
        <is>
          <t>UMEÅ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37038-2025</t>
        </is>
      </c>
      <c r="B10885" s="1" t="n">
        <v>45875.31435185186</v>
      </c>
      <c r="C10885" s="1" t="n">
        <v>45971</v>
      </c>
      <c r="D10885" t="inlineStr">
        <is>
          <t>VÄSTERBOTTENS LÄN</t>
        </is>
      </c>
      <c r="E10885" t="inlineStr">
        <is>
          <t>UMEÅ</t>
        </is>
      </c>
      <c r="F10885" t="inlineStr">
        <is>
          <t>Holmen skog AB</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37046-2025</t>
        </is>
      </c>
      <c r="B10886" s="1" t="n">
        <v>45875.34476851852</v>
      </c>
      <c r="C10886" s="1" t="n">
        <v>45971</v>
      </c>
      <c r="D10886" t="inlineStr">
        <is>
          <t>VÄSTERBOTTENS LÄN</t>
        </is>
      </c>
      <c r="E10886" t="inlineStr">
        <is>
          <t>BJURHOLM</t>
        </is>
      </c>
      <c r="F10886" t="inlineStr">
        <is>
          <t>SCA</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37277-2025</t>
        </is>
      </c>
      <c r="B10887" s="1" t="n">
        <v>45876.49045138889</v>
      </c>
      <c r="C10887" s="1" t="n">
        <v>45971</v>
      </c>
      <c r="D10887" t="inlineStr">
        <is>
          <t>VÄSTERBOTTENS LÄN</t>
        </is>
      </c>
      <c r="E10887" t="inlineStr">
        <is>
          <t>DOROTEA</t>
        </is>
      </c>
      <c r="F10887" t="inlineStr">
        <is>
          <t>SCA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37280-2025</t>
        </is>
      </c>
      <c r="B10888" s="1" t="n">
        <v>45876.4909837963</v>
      </c>
      <c r="C10888" s="1" t="n">
        <v>45971</v>
      </c>
      <c r="D10888" t="inlineStr">
        <is>
          <t>VÄSTERBOTTENS LÄN</t>
        </is>
      </c>
      <c r="E10888" t="inlineStr">
        <is>
          <t>DOROTEA</t>
        </is>
      </c>
      <c r="F10888" t="inlineStr">
        <is>
          <t>SCA</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68385-2020</t>
        </is>
      </c>
      <c r="B10889" s="1" t="n">
        <v>44186</v>
      </c>
      <c r="C10889" s="1" t="n">
        <v>45971</v>
      </c>
      <c r="D10889" t="inlineStr">
        <is>
          <t>VÄSTERBOTTENS LÄN</t>
        </is>
      </c>
      <c r="E10889" t="inlineStr">
        <is>
          <t>ROBERTSFORS</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46076-2022</t>
        </is>
      </c>
      <c r="B10890" s="1" t="n">
        <v>44845</v>
      </c>
      <c r="C10890" s="1" t="n">
        <v>45971</v>
      </c>
      <c r="D10890" t="inlineStr">
        <is>
          <t>VÄSTERBOTTENS LÄN</t>
        </is>
      </c>
      <c r="E10890" t="inlineStr">
        <is>
          <t>SORSELE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37284-2025</t>
        </is>
      </c>
      <c r="B10891" s="1" t="n">
        <v>45876.49138888889</v>
      </c>
      <c r="C10891" s="1" t="n">
        <v>45971</v>
      </c>
      <c r="D10891" t="inlineStr">
        <is>
          <t>VÄSTERBOTTENS LÄN</t>
        </is>
      </c>
      <c r="E10891" t="inlineStr">
        <is>
          <t>DOROTEA</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54552-2025</t>
        </is>
      </c>
      <c r="B10892" s="1" t="n">
        <v>45965.658125</v>
      </c>
      <c r="C10892" s="1" t="n">
        <v>45971</v>
      </c>
      <c r="D10892" t="inlineStr">
        <is>
          <t>VÄSTERBOTTENS LÄN</t>
        </is>
      </c>
      <c r="E10892" t="inlineStr">
        <is>
          <t>SKELLEFTEÅ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37035-2025</t>
        </is>
      </c>
      <c r="B10893" s="1" t="n">
        <v>45875.28846064815</v>
      </c>
      <c r="C10893" s="1" t="n">
        <v>45971</v>
      </c>
      <c r="D10893" t="inlineStr">
        <is>
          <t>VÄSTERBOTTENS LÄN</t>
        </is>
      </c>
      <c r="E10893" t="inlineStr">
        <is>
          <t>STORUMAN</t>
        </is>
      </c>
      <c r="G10893" t="n">
        <v>14.8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11260-2022</t>
        </is>
      </c>
      <c r="B10894" s="1" t="n">
        <v>44629</v>
      </c>
      <c r="C10894" s="1" t="n">
        <v>45971</v>
      </c>
      <c r="D10894" t="inlineStr">
        <is>
          <t>VÄSTERBOTTENS LÄN</t>
        </is>
      </c>
      <c r="E10894" t="inlineStr">
        <is>
          <t>SKELLEFTEÅ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37037-2025</t>
        </is>
      </c>
      <c r="B10895" s="1" t="n">
        <v>45875.30196759259</v>
      </c>
      <c r="C10895" s="1" t="n">
        <v>45971</v>
      </c>
      <c r="D10895" t="inlineStr">
        <is>
          <t>VÄSTERBOTTENS LÄN</t>
        </is>
      </c>
      <c r="E10895" t="inlineStr">
        <is>
          <t>SORSELE</t>
        </is>
      </c>
      <c r="G10895" t="n">
        <v>17.9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45885-2025</t>
        </is>
      </c>
      <c r="B10896" s="1" t="n">
        <v>45923.66508101852</v>
      </c>
      <c r="C10896" s="1" t="n">
        <v>45971</v>
      </c>
      <c r="D10896" t="inlineStr">
        <is>
          <t>VÄSTERBOTTENS LÄN</t>
        </is>
      </c>
      <c r="E10896" t="inlineStr">
        <is>
          <t>SKELLEFTEÅ</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37176-2025</t>
        </is>
      </c>
      <c r="B10897" s="1" t="n">
        <v>45875.61525462963</v>
      </c>
      <c r="C10897" s="1" t="n">
        <v>45971</v>
      </c>
      <c r="D10897" t="inlineStr">
        <is>
          <t>VÄSTERBOTTENS LÄN</t>
        </is>
      </c>
      <c r="E10897" t="inlineStr">
        <is>
          <t>VINDELN</t>
        </is>
      </c>
      <c r="F10897" t="inlineStr">
        <is>
          <t>SCA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37308-2025</t>
        </is>
      </c>
      <c r="B10898" s="1" t="n">
        <v>45876.59497685185</v>
      </c>
      <c r="C10898" s="1" t="n">
        <v>45971</v>
      </c>
      <c r="D10898" t="inlineStr">
        <is>
          <t>VÄSTERBOTTENS LÄN</t>
        </is>
      </c>
      <c r="E10898" t="inlineStr">
        <is>
          <t>UMEÅ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37313-2025</t>
        </is>
      </c>
      <c r="B10899" s="1" t="n">
        <v>45876.60814814815</v>
      </c>
      <c r="C10899" s="1" t="n">
        <v>45971</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57714-2021</t>
        </is>
      </c>
      <c r="B10900" s="1" t="n">
        <v>44484.48947916667</v>
      </c>
      <c r="C10900" s="1" t="n">
        <v>45971</v>
      </c>
      <c r="D10900" t="inlineStr">
        <is>
          <t>VÄSTERBOTTENS LÄN</t>
        </is>
      </c>
      <c r="E10900" t="inlineStr">
        <is>
          <t>SKELLEFTEÅ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37192-2025</t>
        </is>
      </c>
      <c r="B10901" s="1" t="n">
        <v>45875.65143518519</v>
      </c>
      <c r="C10901" s="1" t="n">
        <v>45971</v>
      </c>
      <c r="D10901" t="inlineStr">
        <is>
          <t>VÄSTERBOTTENS LÄN</t>
        </is>
      </c>
      <c r="E10901" t="inlineStr">
        <is>
          <t>SKELLEFTEÅ</t>
        </is>
      </c>
      <c r="F10901" t="inlineStr">
        <is>
          <t>Sveaskog</t>
        </is>
      </c>
      <c r="G10901" t="n">
        <v>24.8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37193-2025</t>
        </is>
      </c>
      <c r="B10902" s="1" t="n">
        <v>45875.65556712963</v>
      </c>
      <c r="C10902" s="1" t="n">
        <v>45971</v>
      </c>
      <c r="D10902" t="inlineStr">
        <is>
          <t>VÄSTERBOTTENS LÄN</t>
        </is>
      </c>
      <c r="E10902" t="inlineStr">
        <is>
          <t>VINDELN</t>
        </is>
      </c>
      <c r="F10902" t="inlineStr">
        <is>
          <t>Sveaskog</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61396-2022</t>
        </is>
      </c>
      <c r="B10903" s="1" t="n">
        <v>44915</v>
      </c>
      <c r="C10903" s="1" t="n">
        <v>45971</v>
      </c>
      <c r="D10903" t="inlineStr">
        <is>
          <t>VÄSTERBOTTENS LÄN</t>
        </is>
      </c>
      <c r="E10903" t="inlineStr">
        <is>
          <t>VINDELN</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37162-2025</t>
        </is>
      </c>
      <c r="B10904" s="1" t="n">
        <v>45875.60013888889</v>
      </c>
      <c r="C10904" s="1" t="n">
        <v>45971</v>
      </c>
      <c r="D10904" t="inlineStr">
        <is>
          <t>VÄSTERBOTTENS LÄN</t>
        </is>
      </c>
      <c r="E10904" t="inlineStr">
        <is>
          <t>VINDELN</t>
        </is>
      </c>
      <c r="F10904" t="inlineStr">
        <is>
          <t>Sveaskog</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33204-2021</t>
        </is>
      </c>
      <c r="B10905" s="1" t="n">
        <v>44376.93355324074</v>
      </c>
      <c r="C10905" s="1" t="n">
        <v>45971</v>
      </c>
      <c r="D10905" t="inlineStr">
        <is>
          <t>VÄSTERBOTTENS LÄN</t>
        </is>
      </c>
      <c r="E10905" t="inlineStr">
        <is>
          <t>ÅSELE</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37441-2025</t>
        </is>
      </c>
      <c r="B10906" s="1" t="n">
        <v>45877.54078703704</v>
      </c>
      <c r="C10906" s="1" t="n">
        <v>45971</v>
      </c>
      <c r="D10906" t="inlineStr">
        <is>
          <t>VÄSTERBOTTENS LÄN</t>
        </is>
      </c>
      <c r="E10906" t="inlineStr">
        <is>
          <t>NORSJÖ</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7063-2022</t>
        </is>
      </c>
      <c r="B10907" s="1" t="n">
        <v>44603</v>
      </c>
      <c r="C10907" s="1" t="n">
        <v>45971</v>
      </c>
      <c r="D10907" t="inlineStr">
        <is>
          <t>VÄSTERBOTTENS LÄN</t>
        </is>
      </c>
      <c r="E10907" t="inlineStr">
        <is>
          <t>LYCKSELE</t>
        </is>
      </c>
      <c r="G10907" t="n">
        <v>14.2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1249-2025</t>
        </is>
      </c>
      <c r="B10908" s="1" t="n">
        <v>45667.4634375</v>
      </c>
      <c r="C10908" s="1" t="n">
        <v>45971</v>
      </c>
      <c r="D10908" t="inlineStr">
        <is>
          <t>VÄSTERBOTTENS LÄN</t>
        </is>
      </c>
      <c r="E10908" t="inlineStr">
        <is>
          <t>SKELLEFTEÅ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37429-2025</t>
        </is>
      </c>
      <c r="B10909" s="1" t="n">
        <v>45877.50601851852</v>
      </c>
      <c r="C10909" s="1" t="n">
        <v>45971</v>
      </c>
      <c r="D10909" t="inlineStr">
        <is>
          <t>VÄSTERBOTTENS LÄN</t>
        </is>
      </c>
      <c r="E10909" t="inlineStr">
        <is>
          <t>SKELLEFTEÅ</t>
        </is>
      </c>
      <c r="F10909" t="inlineStr">
        <is>
          <t>Holmen skog AB</t>
        </is>
      </c>
      <c r="G10909" t="n">
        <v>13.4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46035-2025</t>
        </is>
      </c>
      <c r="B10910" s="1" t="n">
        <v>45924</v>
      </c>
      <c r="C10910" s="1" t="n">
        <v>45971</v>
      </c>
      <c r="D10910" t="inlineStr">
        <is>
          <t>VÄSTERBOTTENS LÄN</t>
        </is>
      </c>
      <c r="E10910" t="inlineStr">
        <is>
          <t>NORSJÖ</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54464-2025</t>
        </is>
      </c>
      <c r="B10911" s="1" t="n">
        <v>45965.56611111111</v>
      </c>
      <c r="C10911" s="1" t="n">
        <v>45971</v>
      </c>
      <c r="D10911" t="inlineStr">
        <is>
          <t>VÄSTERBOTTENS LÄN</t>
        </is>
      </c>
      <c r="E10911" t="inlineStr">
        <is>
          <t>SKELLEFTEÅ</t>
        </is>
      </c>
      <c r="F10911" t="inlineStr">
        <is>
          <t>Sveaskog</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54483-2025</t>
        </is>
      </c>
      <c r="B10912" s="1" t="n">
        <v>45965.59125</v>
      </c>
      <c r="C10912" s="1" t="n">
        <v>45971</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50166-2025</t>
        </is>
      </c>
      <c r="B10913" s="1" t="n">
        <v>45943</v>
      </c>
      <c r="C10913" s="1" t="n">
        <v>45971</v>
      </c>
      <c r="D10913" t="inlineStr">
        <is>
          <t>VÄSTERBOTTENS LÄN</t>
        </is>
      </c>
      <c r="E10913" t="inlineStr">
        <is>
          <t>SKELLEFTEÅ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38405-2024</t>
        </is>
      </c>
      <c r="B10914" s="1" t="n">
        <v>45546.34490740741</v>
      </c>
      <c r="C10914" s="1" t="n">
        <v>45971</v>
      </c>
      <c r="D10914" t="inlineStr">
        <is>
          <t>VÄSTERBOTTENS LÄN</t>
        </is>
      </c>
      <c r="E10914" t="inlineStr">
        <is>
          <t>ÅSELE</t>
        </is>
      </c>
      <c r="F10914" t="inlineStr">
        <is>
          <t>SCA</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37483-2021</t>
        </is>
      </c>
      <c r="B10915" s="1" t="n">
        <v>44398.93342592593</v>
      </c>
      <c r="C10915" s="1" t="n">
        <v>45971</v>
      </c>
      <c r="D10915" t="inlineStr">
        <is>
          <t>VÄSTERBOTTENS LÄN</t>
        </is>
      </c>
      <c r="E10915" t="inlineStr">
        <is>
          <t>ÅSELE</t>
        </is>
      </c>
      <c r="F10915" t="inlineStr">
        <is>
          <t>SCA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50915-2022</t>
        </is>
      </c>
      <c r="B10916" s="1" t="n">
        <v>44867</v>
      </c>
      <c r="C10916" s="1" t="n">
        <v>45971</v>
      </c>
      <c r="D10916" t="inlineStr">
        <is>
          <t>VÄSTERBOTTENS LÄN</t>
        </is>
      </c>
      <c r="E10916" t="inlineStr">
        <is>
          <t>STORUMAN</t>
        </is>
      </c>
      <c r="F10916" t="inlineStr">
        <is>
          <t>Sveaskog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58918-2024</t>
        </is>
      </c>
      <c r="B10917" s="1" t="n">
        <v>45635</v>
      </c>
      <c r="C10917" s="1" t="n">
        <v>45971</v>
      </c>
      <c r="D10917" t="inlineStr">
        <is>
          <t>VÄSTERBOTTENS LÄN</t>
        </is>
      </c>
      <c r="E10917" t="inlineStr">
        <is>
          <t>STORUMAN</t>
        </is>
      </c>
      <c r="F10917" t="inlineStr">
        <is>
          <t>Allmännings- och besparingsskogar</t>
        </is>
      </c>
      <c r="G10917" t="n">
        <v>75.59999999999999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37643-2025</t>
        </is>
      </c>
      <c r="B10918" s="1" t="n">
        <v>45880.47910879629</v>
      </c>
      <c r="C10918" s="1" t="n">
        <v>45971</v>
      </c>
      <c r="D10918" t="inlineStr">
        <is>
          <t>VÄSTERBOTTENS LÄN</t>
        </is>
      </c>
      <c r="E10918" t="inlineStr">
        <is>
          <t>ROBERTSFORS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62714-2022</t>
        </is>
      </c>
      <c r="B10919" s="1" t="n">
        <v>44925.62908564815</v>
      </c>
      <c r="C10919" s="1" t="n">
        <v>45971</v>
      </c>
      <c r="D10919" t="inlineStr">
        <is>
          <t>VÄSTERBOTTENS LÄN</t>
        </is>
      </c>
      <c r="E10919" t="inlineStr">
        <is>
          <t>VINDELN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62718-2022</t>
        </is>
      </c>
      <c r="B10920" s="1" t="n">
        <v>44925.63877314814</v>
      </c>
      <c r="C10920" s="1" t="n">
        <v>45971</v>
      </c>
      <c r="D10920" t="inlineStr">
        <is>
          <t>VÄSTERBOTTENS LÄN</t>
        </is>
      </c>
      <c r="E10920" t="inlineStr">
        <is>
          <t>VINDELN</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62748-2022</t>
        </is>
      </c>
      <c r="B10921" s="1" t="n">
        <v>44925.93875</v>
      </c>
      <c r="C10921" s="1" t="n">
        <v>45971</v>
      </c>
      <c r="D10921" t="inlineStr">
        <is>
          <t>VÄSTERBOTTENS LÄN</t>
        </is>
      </c>
      <c r="E10921" t="inlineStr">
        <is>
          <t>ÅSELE</t>
        </is>
      </c>
      <c r="F10921" t="inlineStr">
        <is>
          <t>SCA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62752-2022</t>
        </is>
      </c>
      <c r="B10922" s="1" t="n">
        <v>44925.93988425926</v>
      </c>
      <c r="C10922" s="1" t="n">
        <v>45971</v>
      </c>
      <c r="D10922" t="inlineStr">
        <is>
          <t>VÄSTERBOTTENS LÄN</t>
        </is>
      </c>
      <c r="E10922" t="inlineStr">
        <is>
          <t>SORSELE</t>
        </is>
      </c>
      <c r="F10922" t="inlineStr">
        <is>
          <t>SCA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41497-2021</t>
        </is>
      </c>
      <c r="B10923" s="1" t="n">
        <v>44424</v>
      </c>
      <c r="C10923" s="1" t="n">
        <v>45971</v>
      </c>
      <c r="D10923" t="inlineStr">
        <is>
          <t>VÄSTERBOTTENS LÄN</t>
        </is>
      </c>
      <c r="E10923" t="inlineStr">
        <is>
          <t>LYCKSELE</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4086-2023</t>
        </is>
      </c>
      <c r="B10924" s="1" t="n">
        <v>44952</v>
      </c>
      <c r="C10924" s="1" t="n">
        <v>45971</v>
      </c>
      <c r="D10924" t="inlineStr">
        <is>
          <t>VÄSTERBOTTENS LÄN</t>
        </is>
      </c>
      <c r="E10924" t="inlineStr">
        <is>
          <t>ÅSELE</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54311-2025</t>
        </is>
      </c>
      <c r="B10925" s="1" t="n">
        <v>45965.31461805556</v>
      </c>
      <c r="C10925" s="1" t="n">
        <v>45971</v>
      </c>
      <c r="D10925" t="inlineStr">
        <is>
          <t>VÄSTERBOTTENS LÄN</t>
        </is>
      </c>
      <c r="E10925" t="inlineStr">
        <is>
          <t>ROBERTSFORS</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53987-2021</t>
        </is>
      </c>
      <c r="B10926" s="1" t="n">
        <v>44470.31884259259</v>
      </c>
      <c r="C10926" s="1" t="n">
        <v>45971</v>
      </c>
      <c r="D10926" t="inlineStr">
        <is>
          <t>VÄSTERBOTTENS LÄN</t>
        </is>
      </c>
      <c r="E10926" t="inlineStr">
        <is>
          <t>VILHELMINA</t>
        </is>
      </c>
      <c r="F10926" t="inlineStr">
        <is>
          <t>Kommuner</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17874-2025</t>
        </is>
      </c>
      <c r="B10927" s="1" t="n">
        <v>45758.64266203704</v>
      </c>
      <c r="C10927" s="1" t="n">
        <v>45971</v>
      </c>
      <c r="D10927" t="inlineStr">
        <is>
          <t>VÄSTERBOTTENS LÄN</t>
        </is>
      </c>
      <c r="E10927" t="inlineStr">
        <is>
          <t>SKELLEFTEÅ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5994-2025</t>
        </is>
      </c>
      <c r="B10928" s="1" t="n">
        <v>45695</v>
      </c>
      <c r="C10928" s="1" t="n">
        <v>45971</v>
      </c>
      <c r="D10928" t="inlineStr">
        <is>
          <t>VÄSTERBOTTENS LÄN</t>
        </is>
      </c>
      <c r="E10928" t="inlineStr">
        <is>
          <t>UMEÅ</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13207-2025</t>
        </is>
      </c>
      <c r="B10929" s="1" t="n">
        <v>45735.43693287037</v>
      </c>
      <c r="C10929" s="1" t="n">
        <v>45971</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37905-2025</t>
        </is>
      </c>
      <c r="B10930" s="1" t="n">
        <v>45880</v>
      </c>
      <c r="C10930" s="1" t="n">
        <v>45971</v>
      </c>
      <c r="D10930" t="inlineStr">
        <is>
          <t>VÄSTERBOTTENS LÄN</t>
        </is>
      </c>
      <c r="E10930" t="inlineStr">
        <is>
          <t>LYCKSELE</t>
        </is>
      </c>
      <c r="G10930" t="n">
        <v>12.9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37928-2025</t>
        </is>
      </c>
      <c r="B10931" s="1" t="n">
        <v>45880</v>
      </c>
      <c r="C10931" s="1" t="n">
        <v>45971</v>
      </c>
      <c r="D10931" t="inlineStr">
        <is>
          <t>VÄSTERBOTTENS LÄN</t>
        </is>
      </c>
      <c r="E10931" t="inlineStr">
        <is>
          <t>BJURHOLM</t>
        </is>
      </c>
      <c r="G10931" t="n">
        <v>16.5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28436-2025</t>
        </is>
      </c>
      <c r="B10932" s="1" t="n">
        <v>45819.38614583333</v>
      </c>
      <c r="C10932" s="1" t="n">
        <v>45971</v>
      </c>
      <c r="D10932" t="inlineStr">
        <is>
          <t>VÄSTERBOTTENS LÄN</t>
        </is>
      </c>
      <c r="E10932" t="inlineStr">
        <is>
          <t>UMEÅ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37881-2025</t>
        </is>
      </c>
      <c r="B10933" s="1" t="n">
        <v>45880</v>
      </c>
      <c r="C10933" s="1" t="n">
        <v>45971</v>
      </c>
      <c r="D10933" t="inlineStr">
        <is>
          <t>VÄSTERBOTTENS LÄN</t>
        </is>
      </c>
      <c r="E10933" t="inlineStr">
        <is>
          <t>BJURHOLM</t>
        </is>
      </c>
      <c r="G10933" t="n">
        <v>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37943-2025</t>
        </is>
      </c>
      <c r="B10934" s="1" t="n">
        <v>45880</v>
      </c>
      <c r="C10934" s="1" t="n">
        <v>45971</v>
      </c>
      <c r="D10934" t="inlineStr">
        <is>
          <t>VÄSTERBOTTENS LÄN</t>
        </is>
      </c>
      <c r="E10934" t="inlineStr">
        <is>
          <t>BJURHOLM</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37369-2025</t>
        </is>
      </c>
      <c r="B10935" s="1" t="n">
        <v>45877.34444444445</v>
      </c>
      <c r="C10935" s="1" t="n">
        <v>45971</v>
      </c>
      <c r="D10935" t="inlineStr">
        <is>
          <t>VÄSTERBOTTENS LÄN</t>
        </is>
      </c>
      <c r="E10935" t="inlineStr">
        <is>
          <t>VILHELMINA</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803-2022</t>
        </is>
      </c>
      <c r="B10936" s="1" t="n">
        <v>44568</v>
      </c>
      <c r="C10936" s="1" t="n">
        <v>45971</v>
      </c>
      <c r="D10936" t="inlineStr">
        <is>
          <t>VÄSTERBOTTENS LÄN</t>
        </is>
      </c>
      <c r="E10936" t="inlineStr">
        <is>
          <t>SKELLEFTEÅ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37376-2025</t>
        </is>
      </c>
      <c r="B10937" s="1" t="n">
        <v>45877.36513888889</v>
      </c>
      <c r="C10937" s="1" t="n">
        <v>45971</v>
      </c>
      <c r="D10937" t="inlineStr">
        <is>
          <t>VÄSTERBOTTENS LÄN</t>
        </is>
      </c>
      <c r="E10937" t="inlineStr">
        <is>
          <t>VILHELMINA</t>
        </is>
      </c>
      <c r="F10937" t="inlineStr">
        <is>
          <t>SCA</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37421-2025</t>
        </is>
      </c>
      <c r="B10938" s="1" t="n">
        <v>45877.48462962963</v>
      </c>
      <c r="C10938" s="1" t="n">
        <v>45971</v>
      </c>
      <c r="D10938" t="inlineStr">
        <is>
          <t>VÄSTERBOTTENS LÄN</t>
        </is>
      </c>
      <c r="E10938" t="inlineStr">
        <is>
          <t>NORSJÖ</t>
        </is>
      </c>
      <c r="F10938" t="inlineStr">
        <is>
          <t>Holmen skog AB</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5368-2024</t>
        </is>
      </c>
      <c r="B10939" s="1" t="n">
        <v>45331</v>
      </c>
      <c r="C10939" s="1" t="n">
        <v>45971</v>
      </c>
      <c r="D10939" t="inlineStr">
        <is>
          <t>VÄSTERBOTTENS LÄN</t>
        </is>
      </c>
      <c r="E10939" t="inlineStr">
        <is>
          <t>VINDELN</t>
        </is>
      </c>
      <c r="F10939" t="inlineStr">
        <is>
          <t>Sveaskog</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41823-2024</t>
        </is>
      </c>
      <c r="B10940" s="1" t="n">
        <v>45561.39728009259</v>
      </c>
      <c r="C10940" s="1" t="n">
        <v>45971</v>
      </c>
      <c r="D10940" t="inlineStr">
        <is>
          <t>VÄSTERBOTTENS LÄN</t>
        </is>
      </c>
      <c r="E10940" t="inlineStr">
        <is>
          <t>STORUMAN</t>
        </is>
      </c>
      <c r="F10940" t="inlineStr">
        <is>
          <t>Sveaskog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6621-2023</t>
        </is>
      </c>
      <c r="B10941" s="1" t="n">
        <v>44960</v>
      </c>
      <c r="C10941" s="1" t="n">
        <v>45971</v>
      </c>
      <c r="D10941" t="inlineStr">
        <is>
          <t>VÄSTERBOTTENS LÄN</t>
        </is>
      </c>
      <c r="E10941" t="inlineStr">
        <is>
          <t>DOROTEA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54421-2025</t>
        </is>
      </c>
      <c r="B10942" s="1" t="n">
        <v>45965.48461805555</v>
      </c>
      <c r="C10942" s="1" t="n">
        <v>45971</v>
      </c>
      <c r="D10942" t="inlineStr">
        <is>
          <t>VÄSTERBOTTENS LÄN</t>
        </is>
      </c>
      <c r="E10942" t="inlineStr">
        <is>
          <t>VÄNNÄS</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37689-2025</t>
        </is>
      </c>
      <c r="B10943" s="1" t="n">
        <v>45880.56694444444</v>
      </c>
      <c r="C10943" s="1" t="n">
        <v>45971</v>
      </c>
      <c r="D10943" t="inlineStr">
        <is>
          <t>VÄSTERBOTTENS LÄN</t>
        </is>
      </c>
      <c r="E10943" t="inlineStr">
        <is>
          <t>SKELLEFTEÅ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37692-2025</t>
        </is>
      </c>
      <c r="B10944" s="1" t="n">
        <v>45880.57291666666</v>
      </c>
      <c r="C10944" s="1" t="n">
        <v>45971</v>
      </c>
      <c r="D10944" t="inlineStr">
        <is>
          <t>VÄSTERBOTTENS LÄN</t>
        </is>
      </c>
      <c r="E10944" t="inlineStr">
        <is>
          <t>SKELLEFTEÅ</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37363-2025</t>
        </is>
      </c>
      <c r="B10945" s="1" t="n">
        <v>45877.31953703704</v>
      </c>
      <c r="C10945" s="1" t="n">
        <v>45971</v>
      </c>
      <c r="D10945" t="inlineStr">
        <is>
          <t>VÄSTERBOTTENS LÄN</t>
        </is>
      </c>
      <c r="E10945" t="inlineStr">
        <is>
          <t>ÅSELE</t>
        </is>
      </c>
      <c r="F10945" t="inlineStr">
        <is>
          <t>Naturvårdsverket</t>
        </is>
      </c>
      <c r="G10945" t="n">
        <v>19.4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37368-2025</t>
        </is>
      </c>
      <c r="B10946" s="1" t="n">
        <v>45877.34436342592</v>
      </c>
      <c r="C10946" s="1" t="n">
        <v>45971</v>
      </c>
      <c r="D10946" t="inlineStr">
        <is>
          <t>VÄSTERBOTTENS LÄN</t>
        </is>
      </c>
      <c r="E10946" t="inlineStr">
        <is>
          <t>VILHELMINA</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37702-2025</t>
        </is>
      </c>
      <c r="B10947" s="1" t="n">
        <v>45880.58201388889</v>
      </c>
      <c r="C10947" s="1" t="n">
        <v>45971</v>
      </c>
      <c r="D10947" t="inlineStr">
        <is>
          <t>VÄSTERBOTTENS LÄN</t>
        </is>
      </c>
      <c r="E10947" t="inlineStr">
        <is>
          <t>SKELLEFTEÅ</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37711-2025</t>
        </is>
      </c>
      <c r="B10948" s="1" t="n">
        <v>45880.59618055556</v>
      </c>
      <c r="C10948" s="1" t="n">
        <v>45971</v>
      </c>
      <c r="D10948" t="inlineStr">
        <is>
          <t>VÄSTERBOTTENS LÄN</t>
        </is>
      </c>
      <c r="E10948" t="inlineStr">
        <is>
          <t>SKELLEFTEÅ</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54733-2025</t>
        </is>
      </c>
      <c r="B10949" s="1" t="n">
        <v>45966.56216435185</v>
      </c>
      <c r="C10949" s="1" t="n">
        <v>45971</v>
      </c>
      <c r="D10949" t="inlineStr">
        <is>
          <t>VÄSTERBOTTENS LÄN</t>
        </is>
      </c>
      <c r="E10949" t="inlineStr">
        <is>
          <t>SORSELE</t>
        </is>
      </c>
      <c r="F10949" t="inlineStr">
        <is>
          <t>Sveaskog</t>
        </is>
      </c>
      <c r="G10949" t="n">
        <v>17.4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15352-2025</t>
        </is>
      </c>
      <c r="B10950" s="1" t="n">
        <v>45747</v>
      </c>
      <c r="C10950" s="1" t="n">
        <v>45971</v>
      </c>
      <c r="D10950" t="inlineStr">
        <is>
          <t>VÄSTERBOTTENS LÄN</t>
        </is>
      </c>
      <c r="E10950" t="inlineStr">
        <is>
          <t>DOROTEA</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37364-2025</t>
        </is>
      </c>
      <c r="B10951" s="1" t="n">
        <v>45877.32516203704</v>
      </c>
      <c r="C10951" s="1" t="n">
        <v>45971</v>
      </c>
      <c r="D10951" t="inlineStr">
        <is>
          <t>VÄSTERBOTTENS LÄN</t>
        </is>
      </c>
      <c r="E10951" t="inlineStr">
        <is>
          <t>VÄNNÄS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37482-2025</t>
        </is>
      </c>
      <c r="B10952" s="1" t="n">
        <v>45877.61789351852</v>
      </c>
      <c r="C10952" s="1" t="n">
        <v>45971</v>
      </c>
      <c r="D10952" t="inlineStr">
        <is>
          <t>VÄSTERBOTTENS LÄN</t>
        </is>
      </c>
      <c r="E10952" t="inlineStr">
        <is>
          <t>UMEÅ</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37926-2025</t>
        </is>
      </c>
      <c r="B10953" s="1" t="n">
        <v>45880</v>
      </c>
      <c r="C10953" s="1" t="n">
        <v>45971</v>
      </c>
      <c r="D10953" t="inlineStr">
        <is>
          <t>VÄSTERBOTTENS LÄN</t>
        </is>
      </c>
      <c r="E10953" t="inlineStr">
        <is>
          <t>BJURHOLM</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25699-2025</t>
        </is>
      </c>
      <c r="B10954" s="1" t="n">
        <v>45803.66822916667</v>
      </c>
      <c r="C10954" s="1" t="n">
        <v>45971</v>
      </c>
      <c r="D10954" t="inlineStr">
        <is>
          <t>VÄSTERBOTTENS LÄN</t>
        </is>
      </c>
      <c r="E10954" t="inlineStr">
        <is>
          <t>UMEÅ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54624-2025</t>
        </is>
      </c>
      <c r="B10955" s="1" t="n">
        <v>45966.34540509259</v>
      </c>
      <c r="C10955" s="1" t="n">
        <v>45971</v>
      </c>
      <c r="D10955" t="inlineStr">
        <is>
          <t>VÄSTERBOTTENS LÄN</t>
        </is>
      </c>
      <c r="E10955" t="inlineStr">
        <is>
          <t>DOROTEA</t>
        </is>
      </c>
      <c r="F10955" t="inlineStr">
        <is>
          <t>SCA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46077-2025</t>
        </is>
      </c>
      <c r="B10956" s="1" t="n">
        <v>45924.50491898148</v>
      </c>
      <c r="C10956" s="1" t="n">
        <v>45971</v>
      </c>
      <c r="D10956" t="inlineStr">
        <is>
          <t>VÄSTERBOTTENS LÄN</t>
        </is>
      </c>
      <c r="E10956" t="inlineStr">
        <is>
          <t>LYCKSELE</t>
        </is>
      </c>
      <c r="F10956" t="inlineStr">
        <is>
          <t>Holmen skog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3193-2025</t>
        </is>
      </c>
      <c r="B10957" s="1" t="n">
        <v>45679.42042824074</v>
      </c>
      <c r="C10957" s="1" t="n">
        <v>45971</v>
      </c>
      <c r="D10957" t="inlineStr">
        <is>
          <t>VÄSTERBOTTENS LÄN</t>
        </is>
      </c>
      <c r="E10957" t="inlineStr">
        <is>
          <t>SKELLEFTEÅ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13552-2024</t>
        </is>
      </c>
      <c r="B10958" s="1" t="n">
        <v>45387.95409722222</v>
      </c>
      <c r="C10958" s="1" t="n">
        <v>45971</v>
      </c>
      <c r="D10958" t="inlineStr">
        <is>
          <t>VÄSTERBOTTENS LÄN</t>
        </is>
      </c>
      <c r="E10958" t="inlineStr">
        <is>
          <t>ÅSELE</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13553-2024</t>
        </is>
      </c>
      <c r="B10959" s="1" t="n">
        <v>45387.95421296296</v>
      </c>
      <c r="C10959" s="1" t="n">
        <v>45971</v>
      </c>
      <c r="D10959" t="inlineStr">
        <is>
          <t>VÄSTERBOTTENS LÄN</t>
        </is>
      </c>
      <c r="E10959" t="inlineStr">
        <is>
          <t>ÅSELE</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21812-2024</t>
        </is>
      </c>
      <c r="B10960" s="1" t="n">
        <v>45442.67990740741</v>
      </c>
      <c r="C10960" s="1" t="n">
        <v>45971</v>
      </c>
      <c r="D10960" t="inlineStr">
        <is>
          <t>VÄSTERBOTTENS LÄN</t>
        </is>
      </c>
      <c r="E10960" t="inlineStr">
        <is>
          <t>SKELLEFTEÅ</t>
        </is>
      </c>
      <c r="F10960" t="inlineStr">
        <is>
          <t>Holmen skog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37697-2025</t>
        </is>
      </c>
      <c r="B10961" s="1" t="n">
        <v>45880.5738425926</v>
      </c>
      <c r="C10961" s="1" t="n">
        <v>45971</v>
      </c>
      <c r="D10961" t="inlineStr">
        <is>
          <t>VÄSTERBOTTENS LÄN</t>
        </is>
      </c>
      <c r="E10961" t="inlineStr">
        <is>
          <t>VINDELN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13403-2025</t>
        </is>
      </c>
      <c r="B10962" s="1" t="n">
        <v>45735</v>
      </c>
      <c r="C10962" s="1" t="n">
        <v>45971</v>
      </c>
      <c r="D10962" t="inlineStr">
        <is>
          <t>VÄSTERBOTTENS LÄN</t>
        </is>
      </c>
      <c r="E10962" t="inlineStr">
        <is>
          <t>ÅSELE</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13493-2025</t>
        </is>
      </c>
      <c r="B10963" s="1" t="n">
        <v>45736.43454861111</v>
      </c>
      <c r="C10963" s="1" t="n">
        <v>45971</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14088-2022</t>
        </is>
      </c>
      <c r="B10964" s="1" t="n">
        <v>44650</v>
      </c>
      <c r="C10964" s="1" t="n">
        <v>45971</v>
      </c>
      <c r="D10964" t="inlineStr">
        <is>
          <t>VÄSTERBOTTENS LÄN</t>
        </is>
      </c>
      <c r="E10964" t="inlineStr">
        <is>
          <t>SKELLEFTEÅ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59174-2024</t>
        </is>
      </c>
      <c r="B10965" s="1" t="n">
        <v>45637.49741898148</v>
      </c>
      <c r="C10965" s="1" t="n">
        <v>45971</v>
      </c>
      <c r="D10965" t="inlineStr">
        <is>
          <t>VÄSTERBOTTENS LÄN</t>
        </is>
      </c>
      <c r="E10965" t="inlineStr">
        <is>
          <t>LYCKSELE</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59176-2024</t>
        </is>
      </c>
      <c r="B10966" s="1" t="n">
        <v>45637.50048611111</v>
      </c>
      <c r="C10966" s="1" t="n">
        <v>45971</v>
      </c>
      <c r="D10966" t="inlineStr">
        <is>
          <t>VÄSTERBOTTENS LÄN</t>
        </is>
      </c>
      <c r="E10966" t="inlineStr">
        <is>
          <t>NORDMALING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5864-2025</t>
        </is>
      </c>
      <c r="B10967" s="1" t="n">
        <v>45695.35236111111</v>
      </c>
      <c r="C10967" s="1" t="n">
        <v>45971</v>
      </c>
      <c r="D10967" t="inlineStr">
        <is>
          <t>VÄSTERBOTTENS LÄN</t>
        </is>
      </c>
      <c r="E10967" t="inlineStr">
        <is>
          <t>ROBERTSFORS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46304-2024</t>
        </is>
      </c>
      <c r="B10968" s="1" t="n">
        <v>45581</v>
      </c>
      <c r="C10968" s="1" t="n">
        <v>45971</v>
      </c>
      <c r="D10968" t="inlineStr">
        <is>
          <t>VÄSTERBOTTENS LÄN</t>
        </is>
      </c>
      <c r="E10968" t="inlineStr">
        <is>
          <t>SKELLEFTEÅ</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46114-2025</t>
        </is>
      </c>
      <c r="B10969" s="1" t="n">
        <v>45924</v>
      </c>
      <c r="C10969" s="1" t="n">
        <v>45971</v>
      </c>
      <c r="D10969" t="inlineStr">
        <is>
          <t>VÄSTERBOTTENS LÄN</t>
        </is>
      </c>
      <c r="E10969" t="inlineStr">
        <is>
          <t>VINDELN</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25691-2025</t>
        </is>
      </c>
      <c r="B10970" s="1" t="n">
        <v>45803.66194444444</v>
      </c>
      <c r="C10970" s="1" t="n">
        <v>45971</v>
      </c>
      <c r="D10970" t="inlineStr">
        <is>
          <t>VÄSTERBOTTENS LÄN</t>
        </is>
      </c>
      <c r="E10970" t="inlineStr">
        <is>
          <t>UMEÅ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9671-2024</t>
        </is>
      </c>
      <c r="B10971" s="1" t="n">
        <v>45362.46013888889</v>
      </c>
      <c r="C10971" s="1" t="n">
        <v>45971</v>
      </c>
      <c r="D10971" t="inlineStr">
        <is>
          <t>VÄSTERBOTTENS LÄN</t>
        </is>
      </c>
      <c r="E10971" t="inlineStr">
        <is>
          <t>UMEÅ</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29897-2023</t>
        </is>
      </c>
      <c r="B10972" s="1" t="n">
        <v>45107</v>
      </c>
      <c r="C10972" s="1" t="n">
        <v>45971</v>
      </c>
      <c r="D10972" t="inlineStr">
        <is>
          <t>VÄSTERBOTTENS LÄN</t>
        </is>
      </c>
      <c r="E10972" t="inlineStr">
        <is>
          <t>MALÅ</t>
        </is>
      </c>
      <c r="F10972" t="inlineStr">
        <is>
          <t>Sveaskog</t>
        </is>
      </c>
      <c r="G10972" t="n">
        <v>14.7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65206-2023</t>
        </is>
      </c>
      <c r="B10973" s="1" t="n">
        <v>45289.45186342593</v>
      </c>
      <c r="C10973" s="1" t="n">
        <v>45971</v>
      </c>
      <c r="D10973" t="inlineStr">
        <is>
          <t>VÄSTERBOTTENS LÄN</t>
        </is>
      </c>
      <c r="E10973" t="inlineStr">
        <is>
          <t>SKELLEFTEÅ</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46817-2022</t>
        </is>
      </c>
      <c r="B10974" s="1" t="n">
        <v>44848</v>
      </c>
      <c r="C10974" s="1" t="n">
        <v>45971</v>
      </c>
      <c r="D10974" t="inlineStr">
        <is>
          <t>VÄSTERBOTTENS LÄN</t>
        </is>
      </c>
      <c r="E10974" t="inlineStr">
        <is>
          <t>DOROTEA</t>
        </is>
      </c>
      <c r="G10974" t="n">
        <v>29.8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37478-2025</t>
        </is>
      </c>
      <c r="B10975" s="1" t="n">
        <v>45877</v>
      </c>
      <c r="C10975" s="1" t="n">
        <v>45971</v>
      </c>
      <c r="D10975" t="inlineStr">
        <is>
          <t>VÄSTERBOTTENS LÄN</t>
        </is>
      </c>
      <c r="E10975" t="inlineStr">
        <is>
          <t>DOROTEA</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37479-2025</t>
        </is>
      </c>
      <c r="B10976" s="1" t="n">
        <v>45877.61532407408</v>
      </c>
      <c r="C10976" s="1" t="n">
        <v>45971</v>
      </c>
      <c r="D10976" t="inlineStr">
        <is>
          <t>VÄSTERBOTTENS LÄN</t>
        </is>
      </c>
      <c r="E10976" t="inlineStr">
        <is>
          <t>DOROTEA</t>
        </is>
      </c>
      <c r="F10976" t="inlineStr">
        <is>
          <t>SCA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13093-2023</t>
        </is>
      </c>
      <c r="B10977" s="1" t="n">
        <v>45002</v>
      </c>
      <c r="C10977" s="1" t="n">
        <v>45971</v>
      </c>
      <c r="D10977" t="inlineStr">
        <is>
          <t>VÄSTERBOTTENS LÄN</t>
        </is>
      </c>
      <c r="E10977" t="inlineStr">
        <is>
          <t>SORSELE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58607-2020</t>
        </is>
      </c>
      <c r="B10978" s="1" t="n">
        <v>44145</v>
      </c>
      <c r="C10978" s="1" t="n">
        <v>45971</v>
      </c>
      <c r="D10978" t="inlineStr">
        <is>
          <t>VÄSTERBOTTENS LÄN</t>
        </is>
      </c>
      <c r="E10978" t="inlineStr">
        <is>
          <t>SORSELE</t>
        </is>
      </c>
      <c r="G10978" t="n">
        <v>48.4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62052-2024</t>
        </is>
      </c>
      <c r="B10979" s="1" t="n">
        <v>45656.3674537037</v>
      </c>
      <c r="C10979" s="1" t="n">
        <v>45971</v>
      </c>
      <c r="D10979" t="inlineStr">
        <is>
          <t>VÄSTERBOTTENS LÄN</t>
        </is>
      </c>
      <c r="E10979" t="inlineStr">
        <is>
          <t>SKELLEFTEÅ</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45971</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19752-2025</t>
        </is>
      </c>
      <c r="B10981" s="1" t="n">
        <v>45771.38605324074</v>
      </c>
      <c r="C10981" s="1" t="n">
        <v>45971</v>
      </c>
      <c r="D10981" t="inlineStr">
        <is>
          <t>VÄSTERBOTTENS LÄN</t>
        </is>
      </c>
      <c r="E10981" t="inlineStr">
        <is>
          <t>SKELLEFTEÅ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20471-2025</t>
        </is>
      </c>
      <c r="B10982" s="1" t="n">
        <v>45775.54582175926</v>
      </c>
      <c r="C10982" s="1" t="n">
        <v>45971</v>
      </c>
      <c r="D10982" t="inlineStr">
        <is>
          <t>VÄSTERBOTTENS LÄN</t>
        </is>
      </c>
      <c r="E10982" t="inlineStr">
        <is>
          <t>NORDMALING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24050-2025</t>
        </is>
      </c>
      <c r="B10983" s="1" t="n">
        <v>45796.49869212963</v>
      </c>
      <c r="C10983" s="1" t="n">
        <v>45971</v>
      </c>
      <c r="D10983" t="inlineStr">
        <is>
          <t>VÄSTERBOTTENS LÄN</t>
        </is>
      </c>
      <c r="E10983" t="inlineStr">
        <is>
          <t>NORDMALING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24079-2025</t>
        </is>
      </c>
      <c r="B10984" s="1" t="n">
        <v>45796.5531712963</v>
      </c>
      <c r="C10984" s="1" t="n">
        <v>45971</v>
      </c>
      <c r="D10984" t="inlineStr">
        <is>
          <t>VÄSTERBOTTENS LÄN</t>
        </is>
      </c>
      <c r="E10984" t="inlineStr">
        <is>
          <t>SKELLEFTEÅ</t>
        </is>
      </c>
      <c r="F10984" t="inlineStr">
        <is>
          <t>Holmen skog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30432-2025</t>
        </is>
      </c>
      <c r="B10985" s="1" t="n">
        <v>45827.6325462963</v>
      </c>
      <c r="C10985" s="1" t="n">
        <v>45971</v>
      </c>
      <c r="D10985" t="inlineStr">
        <is>
          <t>VÄSTERBOTTENS LÄN</t>
        </is>
      </c>
      <c r="E10985" t="inlineStr">
        <is>
          <t>SKELLEFTEÅ</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34408-2025</t>
        </is>
      </c>
      <c r="B10986" s="1" t="n">
        <v>45845</v>
      </c>
      <c r="C10986" s="1" t="n">
        <v>45971</v>
      </c>
      <c r="D10986" t="inlineStr">
        <is>
          <t>VÄSTERBOTTENS LÄN</t>
        </is>
      </c>
      <c r="E10986" t="inlineStr">
        <is>
          <t>DOROTEA</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37469-2025</t>
        </is>
      </c>
      <c r="B10987" s="1" t="n">
        <v>45877.57869212963</v>
      </c>
      <c r="C10987" s="1" t="n">
        <v>45971</v>
      </c>
      <c r="D10987" t="inlineStr">
        <is>
          <t>VÄSTERBOTTENS LÄN</t>
        </is>
      </c>
      <c r="E10987" t="inlineStr">
        <is>
          <t>NORSJÖ</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6197-2021</t>
        </is>
      </c>
      <c r="B10988" s="1" t="n">
        <v>44234</v>
      </c>
      <c r="C10988" s="1" t="n">
        <v>45971</v>
      </c>
      <c r="D10988" t="inlineStr">
        <is>
          <t>VÄSTERBOTTENS LÄN</t>
        </is>
      </c>
      <c r="E10988" t="inlineStr">
        <is>
          <t>SORSELE</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65772-2021</t>
        </is>
      </c>
      <c r="B10989" s="1" t="n">
        <v>44516</v>
      </c>
      <c r="C10989" s="1" t="n">
        <v>45971</v>
      </c>
      <c r="D10989" t="inlineStr">
        <is>
          <t>VÄSTERBOTTENS LÄN</t>
        </is>
      </c>
      <c r="E10989" t="inlineStr">
        <is>
          <t>ROBERTSFORS</t>
        </is>
      </c>
      <c r="G10989" t="n">
        <v>18.2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9981-2022</t>
        </is>
      </c>
      <c r="B10990" s="1" t="n">
        <v>44606</v>
      </c>
      <c r="C10990" s="1" t="n">
        <v>45971</v>
      </c>
      <c r="D10990" t="inlineStr">
        <is>
          <t>VÄSTERBOTTENS LÄN</t>
        </is>
      </c>
      <c r="E10990" t="inlineStr">
        <is>
          <t>SORSELE</t>
        </is>
      </c>
      <c r="G10990" t="n">
        <v>18.4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54658-2025</t>
        </is>
      </c>
      <c r="B10991" s="1" t="n">
        <v>45966.40230324074</v>
      </c>
      <c r="C10991" s="1" t="n">
        <v>45971</v>
      </c>
      <c r="D10991" t="inlineStr">
        <is>
          <t>VÄSTERBOTTENS LÄN</t>
        </is>
      </c>
      <c r="E10991" t="inlineStr">
        <is>
          <t>SKELLEFTEÅ</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45963-2025</t>
        </is>
      </c>
      <c r="B10992" s="1" t="n">
        <v>45924.35145833333</v>
      </c>
      <c r="C10992" s="1" t="n">
        <v>45971</v>
      </c>
      <c r="D10992" t="inlineStr">
        <is>
          <t>VÄSTERBOTTENS LÄN</t>
        </is>
      </c>
      <c r="E10992" t="inlineStr">
        <is>
          <t>LYCKSELE</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62592-2020</t>
        </is>
      </c>
      <c r="B10993" s="1" t="n">
        <v>44161</v>
      </c>
      <c r="C10993" s="1" t="n">
        <v>45971</v>
      </c>
      <c r="D10993" t="inlineStr">
        <is>
          <t>VÄSTERBOTTENS LÄN</t>
        </is>
      </c>
      <c r="E10993" t="inlineStr">
        <is>
          <t>SKELLEFTEÅ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10287-2025</t>
        </is>
      </c>
      <c r="B10994" s="1" t="n">
        <v>45720</v>
      </c>
      <c r="C10994" s="1" t="n">
        <v>45971</v>
      </c>
      <c r="D10994" t="inlineStr">
        <is>
          <t>VÄSTERBOTTENS LÄN</t>
        </is>
      </c>
      <c r="E10994" t="inlineStr">
        <is>
          <t>SKELLEFTEÅ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25347-2024</t>
        </is>
      </c>
      <c r="B10995" s="1" t="n">
        <v>45462</v>
      </c>
      <c r="C10995" s="1" t="n">
        <v>45971</v>
      </c>
      <c r="D10995" t="inlineStr">
        <is>
          <t>VÄSTERBOTTENS LÄN</t>
        </is>
      </c>
      <c r="E10995" t="inlineStr">
        <is>
          <t>VÄNNÄS</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45827-2025</t>
        </is>
      </c>
      <c r="B10996" s="1" t="n">
        <v>45923.60094907408</v>
      </c>
      <c r="C10996" s="1" t="n">
        <v>45971</v>
      </c>
      <c r="D10996" t="inlineStr">
        <is>
          <t>VÄSTERBOTTENS LÄN</t>
        </is>
      </c>
      <c r="E10996" t="inlineStr">
        <is>
          <t>SKELLEFTEÅ</t>
        </is>
      </c>
      <c r="F10996" t="inlineStr">
        <is>
          <t>Holmen skog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54319-2025</t>
        </is>
      </c>
      <c r="B10997" s="1" t="n">
        <v>45965.34184027778</v>
      </c>
      <c r="C10997" s="1" t="n">
        <v>45971</v>
      </c>
      <c r="D10997" t="inlineStr">
        <is>
          <t>VÄSTERBOTTENS LÄN</t>
        </is>
      </c>
      <c r="E10997" t="inlineStr">
        <is>
          <t>UMEÅ</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21343-2025</t>
        </is>
      </c>
      <c r="B10998" s="1" t="n">
        <v>45782.39872685185</v>
      </c>
      <c r="C10998" s="1" t="n">
        <v>45971</v>
      </c>
      <c r="D10998" t="inlineStr">
        <is>
          <t>VÄSTERBOTTENS LÄN</t>
        </is>
      </c>
      <c r="E10998" t="inlineStr">
        <is>
          <t>SKELLEFTEÅ</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20489-2025</t>
        </is>
      </c>
      <c r="B10999" s="1" t="n">
        <v>45775.56321759259</v>
      </c>
      <c r="C10999" s="1" t="n">
        <v>45971</v>
      </c>
      <c r="D10999" t="inlineStr">
        <is>
          <t>VÄSTERBOTTENS LÄN</t>
        </is>
      </c>
      <c r="E10999" t="inlineStr">
        <is>
          <t>NORDMALING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14846-2025</t>
        </is>
      </c>
      <c r="B11000" s="1" t="n">
        <v>45743.38820601852</v>
      </c>
      <c r="C11000" s="1" t="n">
        <v>45971</v>
      </c>
      <c r="D11000" t="inlineStr">
        <is>
          <t>VÄSTERBOTTENS LÄN</t>
        </is>
      </c>
      <c r="E11000" t="inlineStr">
        <is>
          <t>SKELLEFTEÅ</t>
        </is>
      </c>
      <c r="F11000" t="inlineStr">
        <is>
          <t>Sveaskog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37362-2025</t>
        </is>
      </c>
      <c r="B11001" s="1" t="n">
        <v>45877.31856481481</v>
      </c>
      <c r="C11001" s="1" t="n">
        <v>45971</v>
      </c>
      <c r="D11001" t="inlineStr">
        <is>
          <t>VÄSTERBOTTENS LÄN</t>
        </is>
      </c>
      <c r="E11001" t="inlineStr">
        <is>
          <t>NORDMALING</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45859-2025</t>
        </is>
      </c>
      <c r="B11002" s="1" t="n">
        <v>45923.6415162037</v>
      </c>
      <c r="C11002" s="1" t="n">
        <v>45971</v>
      </c>
      <c r="D11002" t="inlineStr">
        <is>
          <t>VÄSTERBOTTENS LÄN</t>
        </is>
      </c>
      <c r="E11002" t="inlineStr">
        <is>
          <t>SKELLEFTEÅ</t>
        </is>
      </c>
      <c r="F11002" t="inlineStr">
        <is>
          <t>Holmen skog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11624-2023</t>
        </is>
      </c>
      <c r="B11003" s="1" t="n">
        <v>44994.42565972222</v>
      </c>
      <c r="C11003" s="1" t="n">
        <v>45971</v>
      </c>
      <c r="D11003" t="inlineStr">
        <is>
          <t>VÄSTERBOTTENS LÄN</t>
        </is>
      </c>
      <c r="E11003" t="inlineStr">
        <is>
          <t>SKELLEFTEÅ</t>
        </is>
      </c>
      <c r="G11003" t="n">
        <v>47.6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54745-2025</t>
        </is>
      </c>
      <c r="B11004" s="1" t="n">
        <v>45966</v>
      </c>
      <c r="C11004" s="1" t="n">
        <v>45971</v>
      </c>
      <c r="D11004" t="inlineStr">
        <is>
          <t>VÄSTERBOTTENS LÄN</t>
        </is>
      </c>
      <c r="E11004" t="inlineStr">
        <is>
          <t>NORSJÖ</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54748-2025</t>
        </is>
      </c>
      <c r="B11005" s="1" t="n">
        <v>45966</v>
      </c>
      <c r="C11005" s="1" t="n">
        <v>45971</v>
      </c>
      <c r="D11005" t="inlineStr">
        <is>
          <t>VÄSTERBOTTENS LÄN</t>
        </is>
      </c>
      <c r="E11005" t="inlineStr">
        <is>
          <t>NORSJÖ</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53369-2022</t>
        </is>
      </c>
      <c r="B11006" s="1" t="n">
        <v>44874</v>
      </c>
      <c r="C11006" s="1" t="n">
        <v>45971</v>
      </c>
      <c r="D11006" t="inlineStr">
        <is>
          <t>VÄSTERBOTTENS LÄN</t>
        </is>
      </c>
      <c r="E11006" t="inlineStr">
        <is>
          <t>LYCKSELE</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45644-2025</t>
        </is>
      </c>
      <c r="B11007" s="1" t="n">
        <v>45923.29819444445</v>
      </c>
      <c r="C11007" s="1" t="n">
        <v>45971</v>
      </c>
      <c r="D11007" t="inlineStr">
        <is>
          <t>VÄSTERBOTTENS LÄN</t>
        </is>
      </c>
      <c r="E11007" t="inlineStr">
        <is>
          <t>SKELLEFTEÅ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45651-2025</t>
        </is>
      </c>
      <c r="B11008" s="1" t="n">
        <v>45923.32945601852</v>
      </c>
      <c r="C11008" s="1" t="n">
        <v>45971</v>
      </c>
      <c r="D11008" t="inlineStr">
        <is>
          <t>VÄSTERBOTTENS LÄN</t>
        </is>
      </c>
      <c r="E11008" t="inlineStr">
        <is>
          <t>SKELLEFTEÅ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45661-2025</t>
        </is>
      </c>
      <c r="B11009" s="1" t="n">
        <v>45923.34505787037</v>
      </c>
      <c r="C11009" s="1" t="n">
        <v>45971</v>
      </c>
      <c r="D11009" t="inlineStr">
        <is>
          <t>VÄSTERBOTTENS LÄN</t>
        </is>
      </c>
      <c r="E11009" t="inlineStr">
        <is>
          <t>NORSJÖ</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37756-2025</t>
        </is>
      </c>
      <c r="B11010" s="1" t="n">
        <v>45880.67780092593</v>
      </c>
      <c r="C11010" s="1" t="n">
        <v>45971</v>
      </c>
      <c r="D11010" t="inlineStr">
        <is>
          <t>VÄSTERBOTTENS LÄN</t>
        </is>
      </c>
      <c r="E11010" t="inlineStr">
        <is>
          <t>BJURHOLM</t>
        </is>
      </c>
      <c r="F11010" t="inlineStr">
        <is>
          <t>SCA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37769-2025</t>
        </is>
      </c>
      <c r="B11011" s="1" t="n">
        <v>45880.74818287037</v>
      </c>
      <c r="C11011" s="1" t="n">
        <v>45971</v>
      </c>
      <c r="D11011" t="inlineStr">
        <is>
          <t>VÄSTERBOTTENS LÄN</t>
        </is>
      </c>
      <c r="E11011" t="inlineStr">
        <is>
          <t>ÅSELE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45676-2025</t>
        </is>
      </c>
      <c r="B11012" s="1" t="n">
        <v>45923.36495370371</v>
      </c>
      <c r="C11012" s="1" t="n">
        <v>45971</v>
      </c>
      <c r="D11012" t="inlineStr">
        <is>
          <t>VÄSTERBOTTENS LÄN</t>
        </is>
      </c>
      <c r="E11012" t="inlineStr">
        <is>
          <t>NORDMALING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45678-2025</t>
        </is>
      </c>
      <c r="B11013" s="1" t="n">
        <v>45923.36631944445</v>
      </c>
      <c r="C11013" s="1" t="n">
        <v>45971</v>
      </c>
      <c r="D11013" t="inlineStr">
        <is>
          <t>VÄSTERBOTTENS LÄN</t>
        </is>
      </c>
      <c r="E11013" t="inlineStr">
        <is>
          <t>NORDMALING</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37466-2025</t>
        </is>
      </c>
      <c r="B11014" s="1" t="n">
        <v>45877.57743055555</v>
      </c>
      <c r="C11014" s="1" t="n">
        <v>45971</v>
      </c>
      <c r="D11014" t="inlineStr">
        <is>
          <t>VÄSTERBOTTENS LÄN</t>
        </is>
      </c>
      <c r="E11014" t="inlineStr">
        <is>
          <t>VINDELN</t>
        </is>
      </c>
      <c r="F11014" t="inlineStr">
        <is>
          <t>Holmen skog AB</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37476-2025</t>
        </is>
      </c>
      <c r="B11015" s="1" t="n">
        <v>45877.61496527777</v>
      </c>
      <c r="C11015" s="1" t="n">
        <v>45971</v>
      </c>
      <c r="D11015" t="inlineStr">
        <is>
          <t>VÄSTERBOTTENS LÄN</t>
        </is>
      </c>
      <c r="E11015" t="inlineStr">
        <is>
          <t>DOROTEA</t>
        </is>
      </c>
      <c r="F11015" t="inlineStr">
        <is>
          <t>SCA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22108-2024</t>
        </is>
      </c>
      <c r="B11016" s="1" t="n">
        <v>45443</v>
      </c>
      <c r="C11016" s="1" t="n">
        <v>45971</v>
      </c>
      <c r="D11016" t="inlineStr">
        <is>
          <t>VÄSTERBOTTENS LÄN</t>
        </is>
      </c>
      <c r="E11016" t="inlineStr">
        <is>
          <t>VILHELMINA</t>
        </is>
      </c>
      <c r="F11016" t="inlineStr">
        <is>
          <t>SCA</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38505-2021</t>
        </is>
      </c>
      <c r="B11017" s="1" t="n">
        <v>44407.49136574074</v>
      </c>
      <c r="C11017" s="1" t="n">
        <v>45971</v>
      </c>
      <c r="D11017" t="inlineStr">
        <is>
          <t>VÄSTERBOTTENS LÄN</t>
        </is>
      </c>
      <c r="E11017" t="inlineStr">
        <is>
          <t>SKELLEFTEÅ</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37940-2025</t>
        </is>
      </c>
      <c r="B11018" s="1" t="n">
        <v>45880</v>
      </c>
      <c r="C11018" s="1" t="n">
        <v>45971</v>
      </c>
      <c r="D11018" t="inlineStr">
        <is>
          <t>VÄSTERBOTTENS LÄN</t>
        </is>
      </c>
      <c r="E11018" t="inlineStr">
        <is>
          <t>BJURHOLM</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26232-2024</t>
        </is>
      </c>
      <c r="B11019" s="1" t="n">
        <v>45468</v>
      </c>
      <c r="C11019" s="1" t="n">
        <v>45971</v>
      </c>
      <c r="D11019" t="inlineStr">
        <is>
          <t>VÄSTERBOTTENS LÄN</t>
        </is>
      </c>
      <c r="E11019" t="inlineStr">
        <is>
          <t>VINDELN</t>
        </is>
      </c>
      <c r="F11019" t="inlineStr">
        <is>
          <t>Holmen skog AB</t>
        </is>
      </c>
      <c r="G11019" t="n">
        <v>16.5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27582-2024</t>
        </is>
      </c>
      <c r="B11020" s="1" t="n">
        <v>45474</v>
      </c>
      <c r="C11020" s="1" t="n">
        <v>45971</v>
      </c>
      <c r="D11020" t="inlineStr">
        <is>
          <t>VÄSTERBOTTENS LÄN</t>
        </is>
      </c>
      <c r="E11020" t="inlineStr">
        <is>
          <t>VINDELN</t>
        </is>
      </c>
      <c r="F11020" t="inlineStr">
        <is>
          <t>Holmen skog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45748-2025</t>
        </is>
      </c>
      <c r="B11021" s="1" t="n">
        <v>45923.4805787037</v>
      </c>
      <c r="C11021" s="1" t="n">
        <v>45971</v>
      </c>
      <c r="D11021" t="inlineStr">
        <is>
          <t>VÄSTERBOTTENS LÄN</t>
        </is>
      </c>
      <c r="E11021" t="inlineStr">
        <is>
          <t>DOROTEA</t>
        </is>
      </c>
      <c r="F11021" t="inlineStr">
        <is>
          <t>Sveaskog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45756-2025</t>
        </is>
      </c>
      <c r="B11022" s="1" t="n">
        <v>45923.50300925926</v>
      </c>
      <c r="C11022" s="1" t="n">
        <v>45971</v>
      </c>
      <c r="D11022" t="inlineStr">
        <is>
          <t>VÄSTERBOTTENS LÄN</t>
        </is>
      </c>
      <c r="E11022" t="inlineStr">
        <is>
          <t>STORUMAN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37792-2021</t>
        </is>
      </c>
      <c r="B11023" s="1" t="n">
        <v>44401</v>
      </c>
      <c r="C11023" s="1" t="n">
        <v>45971</v>
      </c>
      <c r="D11023" t="inlineStr">
        <is>
          <t>VÄSTERBOTTENS LÄN</t>
        </is>
      </c>
      <c r="E11023" t="inlineStr">
        <is>
          <t>SKELLEFTEÅ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29347-2021</t>
        </is>
      </c>
      <c r="B11024" s="1" t="n">
        <v>44361</v>
      </c>
      <c r="C11024" s="1" t="n">
        <v>45971</v>
      </c>
      <c r="D11024" t="inlineStr">
        <is>
          <t>VÄSTERBOTTENS LÄN</t>
        </is>
      </c>
      <c r="E11024" t="inlineStr">
        <is>
          <t>VILHELMINA</t>
        </is>
      </c>
      <c r="F11024" t="inlineStr">
        <is>
          <t>Allmännings- och besparingsskogar</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54739-2025</t>
        </is>
      </c>
      <c r="B11025" s="1" t="n">
        <v>45966.56943287037</v>
      </c>
      <c r="C11025" s="1" t="n">
        <v>45971</v>
      </c>
      <c r="D11025" t="inlineStr">
        <is>
          <t>VÄSTERBOTTENS LÄN</t>
        </is>
      </c>
      <c r="E11025" t="inlineStr">
        <is>
          <t>SORSELE</t>
        </is>
      </c>
      <c r="F11025" t="inlineStr">
        <is>
          <t>Sveaskog</t>
        </is>
      </c>
      <c r="G11025" t="n">
        <v>21.1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38146-2025</t>
        </is>
      </c>
      <c r="B11026" s="1" t="n">
        <v>45882.58627314815</v>
      </c>
      <c r="C11026" s="1" t="n">
        <v>45971</v>
      </c>
      <c r="D11026" t="inlineStr">
        <is>
          <t>VÄSTERBOTTENS LÄN</t>
        </is>
      </c>
      <c r="E11026" t="inlineStr">
        <is>
          <t>BJURHOLM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30574-2024</t>
        </is>
      </c>
      <c r="B11027" s="1" t="n">
        <v>45492.9580324074</v>
      </c>
      <c r="C11027" s="1" t="n">
        <v>45971</v>
      </c>
      <c r="D11027" t="inlineStr">
        <is>
          <t>VÄSTERBOTTENS LÄN</t>
        </is>
      </c>
      <c r="E11027" t="inlineStr">
        <is>
          <t>VILHELMINA</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54742-2025</t>
        </is>
      </c>
      <c r="B11028" s="1" t="n">
        <v>45966.57707175926</v>
      </c>
      <c r="C11028" s="1" t="n">
        <v>45971</v>
      </c>
      <c r="D11028" t="inlineStr">
        <is>
          <t>VÄSTERBOTTENS LÄN</t>
        </is>
      </c>
      <c r="E11028" t="inlineStr">
        <is>
          <t>MALÅ</t>
        </is>
      </c>
      <c r="F11028" t="inlineStr">
        <is>
          <t>Sveaskog</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38192-2025</t>
        </is>
      </c>
      <c r="B11029" s="1" t="n">
        <v>45882.65709490741</v>
      </c>
      <c r="C11029" s="1" t="n">
        <v>45971</v>
      </c>
      <c r="D11029" t="inlineStr">
        <is>
          <t>VÄSTERBOTTENS LÄN</t>
        </is>
      </c>
      <c r="E11029" t="inlineStr">
        <is>
          <t>UMEÅ</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38195-2025</t>
        </is>
      </c>
      <c r="B11030" s="1" t="n">
        <v>45882.65986111111</v>
      </c>
      <c r="C11030" s="1" t="n">
        <v>45971</v>
      </c>
      <c r="D11030" t="inlineStr">
        <is>
          <t>VÄSTERBOTTENS LÄN</t>
        </is>
      </c>
      <c r="E11030" t="inlineStr">
        <is>
          <t>ÅSELE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38200-2025</t>
        </is>
      </c>
      <c r="B11031" s="1" t="n">
        <v>45882.67741898148</v>
      </c>
      <c r="C11031" s="1" t="n">
        <v>45971</v>
      </c>
      <c r="D11031" t="inlineStr">
        <is>
          <t>VÄSTERBOTTENS LÄN</t>
        </is>
      </c>
      <c r="E11031" t="inlineStr">
        <is>
          <t>NORSJÖ</t>
        </is>
      </c>
      <c r="F11031" t="inlineStr">
        <is>
          <t>Holmen skog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14195-2024</t>
        </is>
      </c>
      <c r="B11032" s="1" t="n">
        <v>45393</v>
      </c>
      <c r="C11032" s="1" t="n">
        <v>45971</v>
      </c>
      <c r="D11032" t="inlineStr">
        <is>
          <t>VÄSTERBOTTENS LÄN</t>
        </is>
      </c>
      <c r="E11032" t="inlineStr">
        <is>
          <t>LYCKSELE</t>
        </is>
      </c>
      <c r="F11032" t="inlineStr">
        <is>
          <t>Holmen skog AB</t>
        </is>
      </c>
      <c r="G11032" t="n">
        <v>22.9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30681-2024</t>
        </is>
      </c>
      <c r="B11033" s="1" t="n">
        <v>45495.9509837963</v>
      </c>
      <c r="C11033" s="1" t="n">
        <v>45971</v>
      </c>
      <c r="D11033" t="inlineStr">
        <is>
          <t>VÄSTERBOTTENS LÄN</t>
        </is>
      </c>
      <c r="E11033" t="inlineStr">
        <is>
          <t>VILHELMINA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38070-2025</t>
        </is>
      </c>
      <c r="B11034" s="1" t="n">
        <v>45882.43864583333</v>
      </c>
      <c r="C11034" s="1" t="n">
        <v>45971</v>
      </c>
      <c r="D11034" t="inlineStr">
        <is>
          <t>VÄSTERBOTTENS LÄN</t>
        </is>
      </c>
      <c r="E11034" t="inlineStr">
        <is>
          <t>SKELLEFTEÅ</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8709-2025</t>
        </is>
      </c>
      <c r="B11035" s="1" t="n">
        <v>45712</v>
      </c>
      <c r="C11035" s="1" t="n">
        <v>45971</v>
      </c>
      <c r="D11035" t="inlineStr">
        <is>
          <t>VÄSTERBOTTENS LÄN</t>
        </is>
      </c>
      <c r="E11035" t="inlineStr">
        <is>
          <t>DOROTEA</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16993-2023</t>
        </is>
      </c>
      <c r="B11036" s="1" t="n">
        <v>45033.92583333333</v>
      </c>
      <c r="C11036" s="1" t="n">
        <v>45971</v>
      </c>
      <c r="D11036" t="inlineStr">
        <is>
          <t>VÄSTERBOTTENS LÄN</t>
        </is>
      </c>
      <c r="E11036" t="inlineStr">
        <is>
          <t>ROBERTSFORS</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19160-2023</t>
        </is>
      </c>
      <c r="B11037" s="1" t="n">
        <v>45048</v>
      </c>
      <c r="C11037" s="1" t="n">
        <v>45971</v>
      </c>
      <c r="D11037" t="inlineStr">
        <is>
          <t>VÄSTERBOTTENS LÄN</t>
        </is>
      </c>
      <c r="E11037" t="inlineStr">
        <is>
          <t>ROBERTSFORS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54368-2025</t>
        </is>
      </c>
      <c r="B11038" s="1" t="n">
        <v>45965.40554398148</v>
      </c>
      <c r="C11038" s="1" t="n">
        <v>45971</v>
      </c>
      <c r="D11038" t="inlineStr">
        <is>
          <t>VÄSTERBOTTENS LÄN</t>
        </is>
      </c>
      <c r="E11038" t="inlineStr">
        <is>
          <t>NORDMALING</t>
        </is>
      </c>
      <c r="G11038" t="n">
        <v>14.8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54459-2025</t>
        </is>
      </c>
      <c r="B11039" s="1" t="n">
        <v>45965.55995370371</v>
      </c>
      <c r="C11039" s="1" t="n">
        <v>45971</v>
      </c>
      <c r="D11039" t="inlineStr">
        <is>
          <t>VÄSTERBOTTENS LÄN</t>
        </is>
      </c>
      <c r="E11039" t="inlineStr">
        <is>
          <t>SKELLEFTEÅ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54473-2025</t>
        </is>
      </c>
      <c r="B11040" s="1" t="n">
        <v>45965.57398148148</v>
      </c>
      <c r="C11040" s="1" t="n">
        <v>45971</v>
      </c>
      <c r="D11040" t="inlineStr">
        <is>
          <t>VÄSTERBOTTENS LÄN</t>
        </is>
      </c>
      <c r="E11040" t="inlineStr">
        <is>
          <t>NORDMALING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35557-2021</t>
        </is>
      </c>
      <c r="B11041" s="1" t="n">
        <v>44385</v>
      </c>
      <c r="C11041" s="1" t="n">
        <v>45971</v>
      </c>
      <c r="D11041" t="inlineStr">
        <is>
          <t>VÄSTERBOTTENS LÄN</t>
        </is>
      </c>
      <c r="E11041" t="inlineStr">
        <is>
          <t>VÄNNÄS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7384-2022</t>
        </is>
      </c>
      <c r="B11042" s="1" t="n">
        <v>44606.62334490741</v>
      </c>
      <c r="C11042" s="1" t="n">
        <v>45971</v>
      </c>
      <c r="D11042" t="inlineStr">
        <is>
          <t>VÄSTERBOTTENS LÄN</t>
        </is>
      </c>
      <c r="E11042" t="inlineStr">
        <is>
          <t>UMEÅ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57962-2024</t>
        </is>
      </c>
      <c r="B11043" s="1" t="n">
        <v>45631</v>
      </c>
      <c r="C11043" s="1" t="n">
        <v>45971</v>
      </c>
      <c r="D11043" t="inlineStr">
        <is>
          <t>VÄSTERBOTTENS LÄN</t>
        </is>
      </c>
      <c r="E11043" t="inlineStr">
        <is>
          <t>STORUMAN</t>
        </is>
      </c>
      <c r="F11043" t="inlineStr">
        <is>
          <t>Allmännings- och besparingsskogar</t>
        </is>
      </c>
      <c r="G11043" t="n">
        <v>855.7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38004-2025</t>
        </is>
      </c>
      <c r="B11044" s="1" t="n">
        <v>45881.92792824074</v>
      </c>
      <c r="C11044" s="1" t="n">
        <v>45971</v>
      </c>
      <c r="D11044" t="inlineStr">
        <is>
          <t>VÄSTERBOTTENS LÄN</t>
        </is>
      </c>
      <c r="E11044" t="inlineStr">
        <is>
          <t>SKELLEFTEÅ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54354-2021</t>
        </is>
      </c>
      <c r="B11045" s="1" t="n">
        <v>44473</v>
      </c>
      <c r="C11045" s="1" t="n">
        <v>45971</v>
      </c>
      <c r="D11045" t="inlineStr">
        <is>
          <t>VÄSTERBOTTENS LÄN</t>
        </is>
      </c>
      <c r="E11045" t="inlineStr">
        <is>
          <t>UMEÅ</t>
        </is>
      </c>
      <c r="F11045" t="inlineStr">
        <is>
          <t>Holmen skog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38163-2025</t>
        </is>
      </c>
      <c r="B11046" s="1" t="n">
        <v>45882.62724537037</v>
      </c>
      <c r="C11046" s="1" t="n">
        <v>45971</v>
      </c>
      <c r="D11046" t="inlineStr">
        <is>
          <t>VÄSTERBOTTENS LÄN</t>
        </is>
      </c>
      <c r="E11046" t="inlineStr">
        <is>
          <t>NORDMALING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40462-2024</t>
        </is>
      </c>
      <c r="B11047" s="1" t="n">
        <v>45555.51084490741</v>
      </c>
      <c r="C11047" s="1" t="n">
        <v>45971</v>
      </c>
      <c r="D11047" t="inlineStr">
        <is>
          <t>VÄSTERBOTTENS LÄN</t>
        </is>
      </c>
      <c r="E11047" t="inlineStr">
        <is>
          <t>VILHELMINA</t>
        </is>
      </c>
      <c r="F11047" t="inlineStr">
        <is>
          <t>SCA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38100-2025</t>
        </is>
      </c>
      <c r="B11048" s="1" t="n">
        <v>45882.49097222222</v>
      </c>
      <c r="C11048" s="1" t="n">
        <v>45971</v>
      </c>
      <c r="D11048" t="inlineStr">
        <is>
          <t>VÄSTERBOTTENS LÄN</t>
        </is>
      </c>
      <c r="E11048" t="inlineStr">
        <is>
          <t>DOROTEA</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33583-2025</t>
        </is>
      </c>
      <c r="B11049" s="1" t="n">
        <v>45841.5943287037</v>
      </c>
      <c r="C11049" s="1" t="n">
        <v>45971</v>
      </c>
      <c r="D11049" t="inlineStr">
        <is>
          <t>VÄSTERBOTTENS LÄN</t>
        </is>
      </c>
      <c r="E11049" t="inlineStr">
        <is>
          <t>VINDELN</t>
        </is>
      </c>
      <c r="F11049" t="inlineStr">
        <is>
          <t>Holmen skog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37826-2025</t>
        </is>
      </c>
      <c r="B11050" s="1" t="n">
        <v>45881.40806712963</v>
      </c>
      <c r="C11050" s="1" t="n">
        <v>45971</v>
      </c>
      <c r="D11050" t="inlineStr">
        <is>
          <t>VÄSTERBOTTENS LÄN</t>
        </is>
      </c>
      <c r="E11050" t="inlineStr">
        <is>
          <t>BJURHOLM</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37970-2025</t>
        </is>
      </c>
      <c r="B11051" s="1" t="n">
        <v>45881.6677199074</v>
      </c>
      <c r="C11051" s="1" t="n">
        <v>45971</v>
      </c>
      <c r="D11051" t="inlineStr">
        <is>
          <t>VÄSTERBOTTENS LÄN</t>
        </is>
      </c>
      <c r="E11051" t="inlineStr">
        <is>
          <t>LYCKSELE</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37977-2025</t>
        </is>
      </c>
      <c r="B11052" s="1" t="n">
        <v>45881.67791666667</v>
      </c>
      <c r="C11052" s="1" t="n">
        <v>45971</v>
      </c>
      <c r="D11052" t="inlineStr">
        <is>
          <t>VÄSTERBOTTENS LÄN</t>
        </is>
      </c>
      <c r="E11052" t="inlineStr">
        <is>
          <t>LYCKSELE</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38188-2025</t>
        </is>
      </c>
      <c r="B11053" s="1" t="n">
        <v>45882.65447916667</v>
      </c>
      <c r="C11053" s="1" t="n">
        <v>45971</v>
      </c>
      <c r="D11053" t="inlineStr">
        <is>
          <t>VÄSTERBOTTENS LÄN</t>
        </is>
      </c>
      <c r="E11053" t="inlineStr">
        <is>
          <t>NORDMALING</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14071-2023</t>
        </is>
      </c>
      <c r="B11054" s="1" t="n">
        <v>45009.08837962963</v>
      </c>
      <c r="C11054" s="1" t="n">
        <v>45971</v>
      </c>
      <c r="D11054" t="inlineStr">
        <is>
          <t>VÄSTERBOTTENS LÄN</t>
        </is>
      </c>
      <c r="E11054" t="inlineStr">
        <is>
          <t>BJURHOLM</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56343-2022</t>
        </is>
      </c>
      <c r="B11055" s="1" t="n">
        <v>44890</v>
      </c>
      <c r="C11055" s="1" t="n">
        <v>45971</v>
      </c>
      <c r="D11055" t="inlineStr">
        <is>
          <t>VÄSTERBOTTENS LÄN</t>
        </is>
      </c>
      <c r="E11055" t="inlineStr">
        <is>
          <t>LYCKSELE</t>
        </is>
      </c>
      <c r="F11055" t="inlineStr">
        <is>
          <t>Sveaskog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37816-2025</t>
        </is>
      </c>
      <c r="B11056" s="1" t="n">
        <v>45881.38435185186</v>
      </c>
      <c r="C11056" s="1" t="n">
        <v>45971</v>
      </c>
      <c r="D11056" t="inlineStr">
        <is>
          <t>VÄSTERBOTTENS LÄN</t>
        </is>
      </c>
      <c r="E11056" t="inlineStr">
        <is>
          <t>SKELLEFTEÅ</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37829-2025</t>
        </is>
      </c>
      <c r="B11057" s="1" t="n">
        <v>45881.41208333334</v>
      </c>
      <c r="C11057" s="1" t="n">
        <v>45971</v>
      </c>
      <c r="D11057" t="inlineStr">
        <is>
          <t>VÄSTERBOTTENS LÄN</t>
        </is>
      </c>
      <c r="E11057" t="inlineStr">
        <is>
          <t>BJURHOLM</t>
        </is>
      </c>
      <c r="G11057" t="n">
        <v>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45670-2025</t>
        </is>
      </c>
      <c r="B11058" s="1" t="n">
        <v>45923.35368055556</v>
      </c>
      <c r="C11058" s="1" t="n">
        <v>45971</v>
      </c>
      <c r="D11058" t="inlineStr">
        <is>
          <t>VÄSTERBOTTENS LÄN</t>
        </is>
      </c>
      <c r="E11058" t="inlineStr">
        <is>
          <t>UMEÅ</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10833-2022</t>
        </is>
      </c>
      <c r="B11059" s="1" t="n">
        <v>44627</v>
      </c>
      <c r="C11059" s="1" t="n">
        <v>45971</v>
      </c>
      <c r="D11059" t="inlineStr">
        <is>
          <t>VÄSTERBOTTENS LÄN</t>
        </is>
      </c>
      <c r="E11059" t="inlineStr">
        <is>
          <t>VILHELMINA</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38006-2025</t>
        </is>
      </c>
      <c r="B11060" s="1" t="n">
        <v>45882.28542824074</v>
      </c>
      <c r="C11060" s="1" t="n">
        <v>45971</v>
      </c>
      <c r="D11060" t="inlineStr">
        <is>
          <t>VÄSTERBOTTENS LÄN</t>
        </is>
      </c>
      <c r="E11060" t="inlineStr">
        <is>
          <t>BJURHOLM</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68494-2020</t>
        </is>
      </c>
      <c r="B11061" s="1" t="n">
        <v>44186</v>
      </c>
      <c r="C11061" s="1" t="n">
        <v>45971</v>
      </c>
      <c r="D11061" t="inlineStr">
        <is>
          <t>VÄSTERBOTTENS LÄN</t>
        </is>
      </c>
      <c r="E11061" t="inlineStr">
        <is>
          <t>STORUMAN</t>
        </is>
      </c>
      <c r="F11061" t="inlineStr">
        <is>
          <t>Sveaskog</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54439-2021</t>
        </is>
      </c>
      <c r="B11062" s="1" t="n">
        <v>44473</v>
      </c>
      <c r="C11062" s="1" t="n">
        <v>45971</v>
      </c>
      <c r="D11062" t="inlineStr">
        <is>
          <t>VÄSTERBOTTENS LÄN</t>
        </is>
      </c>
      <c r="E11062" t="inlineStr">
        <is>
          <t>UMEÅ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1228-2023</t>
        </is>
      </c>
      <c r="B11063" s="1" t="n">
        <v>44935.97217592593</v>
      </c>
      <c r="C11063" s="1" t="n">
        <v>45971</v>
      </c>
      <c r="D11063" t="inlineStr">
        <is>
          <t>VÄSTERBOTTENS LÄN</t>
        </is>
      </c>
      <c r="E11063" t="inlineStr">
        <is>
          <t>ÅSELE</t>
        </is>
      </c>
      <c r="F11063" t="inlineStr">
        <is>
          <t>SCA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37952-2025</t>
        </is>
      </c>
      <c r="B11064" s="1" t="n">
        <v>45881.63590277778</v>
      </c>
      <c r="C11064" s="1" t="n">
        <v>45971</v>
      </c>
      <c r="D11064" t="inlineStr">
        <is>
          <t>VÄSTERBOTTENS LÄN</t>
        </is>
      </c>
      <c r="E11064" t="inlineStr">
        <is>
          <t>LYCKSELE</t>
        </is>
      </c>
      <c r="F11064" t="inlineStr">
        <is>
          <t>SCA</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37956-2025</t>
        </is>
      </c>
      <c r="B11065" s="1" t="n">
        <v>45881.64329861111</v>
      </c>
      <c r="C11065" s="1" t="n">
        <v>45971</v>
      </c>
      <c r="D11065" t="inlineStr">
        <is>
          <t>VÄSTERBOTTENS LÄN</t>
        </is>
      </c>
      <c r="E11065" t="inlineStr">
        <is>
          <t>SORSELE</t>
        </is>
      </c>
      <c r="G11065" t="n">
        <v>15.7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37964-2025</t>
        </is>
      </c>
      <c r="B11066" s="1" t="n">
        <v>45881</v>
      </c>
      <c r="C11066" s="1" t="n">
        <v>45971</v>
      </c>
      <c r="D11066" t="inlineStr">
        <is>
          <t>VÄSTERBOTTENS LÄN</t>
        </is>
      </c>
      <c r="E11066" t="inlineStr">
        <is>
          <t>SKELLEFTEÅ</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45732-2025</t>
        </is>
      </c>
      <c r="B11067" s="1" t="n">
        <v>45923.46354166666</v>
      </c>
      <c r="C11067" s="1" t="n">
        <v>45971</v>
      </c>
      <c r="D11067" t="inlineStr">
        <is>
          <t>VÄSTERBOTTENS LÄN</t>
        </is>
      </c>
      <c r="E11067" t="inlineStr">
        <is>
          <t>SKELLEFTEÅ</t>
        </is>
      </c>
      <c r="F11067" t="inlineStr">
        <is>
          <t>Holmen skog AB</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45746-2025</t>
        </is>
      </c>
      <c r="B11068" s="1" t="n">
        <v>45923.47857638889</v>
      </c>
      <c r="C11068" s="1" t="n">
        <v>45971</v>
      </c>
      <c r="D11068" t="inlineStr">
        <is>
          <t>VÄSTERBOTTENS LÄN</t>
        </is>
      </c>
      <c r="E11068" t="inlineStr">
        <is>
          <t>ÅSELE</t>
        </is>
      </c>
      <c r="F11068" t="inlineStr">
        <is>
          <t>Sveaskog</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45749-2025</t>
        </is>
      </c>
      <c r="B11069" s="1" t="n">
        <v>45923.48195601852</v>
      </c>
      <c r="C11069" s="1" t="n">
        <v>45971</v>
      </c>
      <c r="D11069" t="inlineStr">
        <is>
          <t>VÄSTERBOTTENS LÄN</t>
        </is>
      </c>
      <c r="E11069" t="inlineStr">
        <is>
          <t>VILHELMINA</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38101-2025</t>
        </is>
      </c>
      <c r="B11070" s="1" t="n">
        <v>45882.49106481481</v>
      </c>
      <c r="C11070" s="1" t="n">
        <v>45971</v>
      </c>
      <c r="D11070" t="inlineStr">
        <is>
          <t>VÄSTERBOTTENS LÄN</t>
        </is>
      </c>
      <c r="E11070" t="inlineStr">
        <is>
          <t>DOROTEA</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45759-2025</t>
        </is>
      </c>
      <c r="B11071" s="1" t="n">
        <v>45923.5107175926</v>
      </c>
      <c r="C11071" s="1" t="n">
        <v>45971</v>
      </c>
      <c r="D11071" t="inlineStr">
        <is>
          <t>VÄSTERBOTTENS LÄN</t>
        </is>
      </c>
      <c r="E11071" t="inlineStr">
        <is>
          <t>UMEÅ</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45760-2025</t>
        </is>
      </c>
      <c r="B11072" s="1" t="n">
        <v>45923.51121527778</v>
      </c>
      <c r="C11072" s="1" t="n">
        <v>45971</v>
      </c>
      <c r="D11072" t="inlineStr">
        <is>
          <t>VÄSTERBOTTENS LÄN</t>
        </is>
      </c>
      <c r="E11072" t="inlineStr">
        <is>
          <t>SKELLEFTEÅ</t>
        </is>
      </c>
      <c r="F11072" t="inlineStr">
        <is>
          <t>Holmen skog AB</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8203-2022</t>
        </is>
      </c>
      <c r="B11073" s="1" t="n">
        <v>44609</v>
      </c>
      <c r="C11073" s="1" t="n">
        <v>45971</v>
      </c>
      <c r="D11073" t="inlineStr">
        <is>
          <t>VÄSTERBOTTENS LÄN</t>
        </is>
      </c>
      <c r="E11073" t="inlineStr">
        <is>
          <t>SKELLEFTEÅ</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38750-2021</t>
        </is>
      </c>
      <c r="B11074" s="1" t="n">
        <v>44410</v>
      </c>
      <c r="C11074" s="1" t="n">
        <v>45971</v>
      </c>
      <c r="D11074" t="inlineStr">
        <is>
          <t>VÄSTERBOTTENS LÄN</t>
        </is>
      </c>
      <c r="E11074" t="inlineStr">
        <is>
          <t>UMEÅ</t>
        </is>
      </c>
      <c r="F11074" t="inlineStr">
        <is>
          <t>Kommuner</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46372-2021</t>
        </is>
      </c>
      <c r="B11075" s="1" t="n">
        <v>44442.94226851852</v>
      </c>
      <c r="C11075" s="1" t="n">
        <v>45971</v>
      </c>
      <c r="D11075" t="inlineStr">
        <is>
          <t>VÄSTERBOTTENS LÄN</t>
        </is>
      </c>
      <c r="E11075" t="inlineStr">
        <is>
          <t>VILHELMINA</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53410-2025</t>
        </is>
      </c>
      <c r="B11076" s="1" t="n">
        <v>45959.57429398148</v>
      </c>
      <c r="C11076" s="1" t="n">
        <v>45971</v>
      </c>
      <c r="D11076" t="inlineStr">
        <is>
          <t>VÄSTERBOTTENS LÄN</t>
        </is>
      </c>
      <c r="E11076" t="inlineStr">
        <is>
          <t>SKELLEFTEÅ</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54751-2025</t>
        </is>
      </c>
      <c r="B11077" s="1" t="n">
        <v>45966</v>
      </c>
      <c r="C11077" s="1" t="n">
        <v>45971</v>
      </c>
      <c r="D11077" t="inlineStr">
        <is>
          <t>VÄSTERBOTTENS LÄN</t>
        </is>
      </c>
      <c r="E11077" t="inlineStr">
        <is>
          <t>NORSJÖ</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34296-2022</t>
        </is>
      </c>
      <c r="B11078" s="1" t="n">
        <v>44792.35222222222</v>
      </c>
      <c r="C11078" s="1" t="n">
        <v>45971</v>
      </c>
      <c r="D11078" t="inlineStr">
        <is>
          <t>VÄSTERBOTTENS LÄN</t>
        </is>
      </c>
      <c r="E11078" t="inlineStr">
        <is>
          <t>BJURHOLM</t>
        </is>
      </c>
      <c r="G11078" t="n">
        <v>9.1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54786-2025</t>
        </is>
      </c>
      <c r="B11079" s="1" t="n">
        <v>45966</v>
      </c>
      <c r="C11079" s="1" t="n">
        <v>45971</v>
      </c>
      <c r="D11079" t="inlineStr">
        <is>
          <t>VÄSTERBOTTENS LÄN</t>
        </is>
      </c>
      <c r="E11079" t="inlineStr">
        <is>
          <t>NORSJÖ</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38096-2025</t>
        </is>
      </c>
      <c r="B11080" s="1" t="n">
        <v>45882</v>
      </c>
      <c r="C11080" s="1" t="n">
        <v>45971</v>
      </c>
      <c r="D11080" t="inlineStr">
        <is>
          <t>VÄSTERBOTTENS LÄN</t>
        </is>
      </c>
      <c r="E11080" t="inlineStr">
        <is>
          <t>DOROTEA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43975-2024</t>
        </is>
      </c>
      <c r="B11081" s="1" t="n">
        <v>45572.49075231481</v>
      </c>
      <c r="C11081" s="1" t="n">
        <v>45971</v>
      </c>
      <c r="D11081" t="inlineStr">
        <is>
          <t>VÄSTERBOTTENS LÄN</t>
        </is>
      </c>
      <c r="E11081" t="inlineStr">
        <is>
          <t>UMEÅ</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38154-2025</t>
        </is>
      </c>
      <c r="B11082" s="1" t="n">
        <v>45882.59900462963</v>
      </c>
      <c r="C11082" s="1" t="n">
        <v>45971</v>
      </c>
      <c r="D11082" t="inlineStr">
        <is>
          <t>VÄSTERBOTTENS LÄN</t>
        </is>
      </c>
      <c r="E11082" t="inlineStr">
        <is>
          <t>VINDELN</t>
        </is>
      </c>
      <c r="F11082" t="inlineStr">
        <is>
          <t>Naturvårdsverket</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54792-2025</t>
        </is>
      </c>
      <c r="B11083" s="1" t="n">
        <v>45966.63467592592</v>
      </c>
      <c r="C11083" s="1" t="n">
        <v>45971</v>
      </c>
      <c r="D11083" t="inlineStr">
        <is>
          <t>VÄSTERBOTTENS LÄN</t>
        </is>
      </c>
      <c r="E11083" t="inlineStr">
        <is>
          <t>NORSJÖ</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43925-2024</t>
        </is>
      </c>
      <c r="B11084" s="1" t="n">
        <v>45572.45052083334</v>
      </c>
      <c r="C11084" s="1" t="n">
        <v>45971</v>
      </c>
      <c r="D11084" t="inlineStr">
        <is>
          <t>VÄSTERBOTTENS LÄN</t>
        </is>
      </c>
      <c r="E11084" t="inlineStr">
        <is>
          <t>LYCKSELE</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38181-2025</t>
        </is>
      </c>
      <c r="B11085" s="1" t="n">
        <v>45882.64618055556</v>
      </c>
      <c r="C11085" s="1" t="n">
        <v>45971</v>
      </c>
      <c r="D11085" t="inlineStr">
        <is>
          <t>VÄSTERBOTTENS LÄN</t>
        </is>
      </c>
      <c r="E11085" t="inlineStr">
        <is>
          <t>ÅSELE</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45343-2024</t>
        </is>
      </c>
      <c r="B11086" s="1" t="n">
        <v>45576.47199074074</v>
      </c>
      <c r="C11086" s="1" t="n">
        <v>45971</v>
      </c>
      <c r="D11086" t="inlineStr">
        <is>
          <t>VÄSTERBOTTENS LÄN</t>
        </is>
      </c>
      <c r="E11086" t="inlineStr">
        <is>
          <t>UMEÅ</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45374-2024</t>
        </is>
      </c>
      <c r="B11087" s="1" t="n">
        <v>45576.51516203704</v>
      </c>
      <c r="C11087" s="1" t="n">
        <v>45971</v>
      </c>
      <c r="D11087" t="inlineStr">
        <is>
          <t>VÄSTERBOTTENS LÄN</t>
        </is>
      </c>
      <c r="E11087" t="inlineStr">
        <is>
          <t>SKELLEFTEÅ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54607-2025</t>
        </is>
      </c>
      <c r="B11088" s="1" t="n">
        <v>45966.30361111111</v>
      </c>
      <c r="C11088" s="1" t="n">
        <v>45971</v>
      </c>
      <c r="D11088" t="inlineStr">
        <is>
          <t>VÄSTERBOTTENS LÄN</t>
        </is>
      </c>
      <c r="E11088" t="inlineStr">
        <is>
          <t>ROBERTSFORS</t>
        </is>
      </c>
      <c r="F11088" t="inlineStr">
        <is>
          <t>Holmen skog AB</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6046-2021</t>
        </is>
      </c>
      <c r="B11089" s="1" t="n">
        <v>44231</v>
      </c>
      <c r="C11089" s="1" t="n">
        <v>45971</v>
      </c>
      <c r="D11089" t="inlineStr">
        <is>
          <t>VÄSTERBOTTENS LÄN</t>
        </is>
      </c>
      <c r="E11089" t="inlineStr">
        <is>
          <t>MALÅ</t>
        </is>
      </c>
      <c r="G11089" t="n">
        <v>8.4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8465-2021</t>
        </is>
      </c>
      <c r="B11090" s="1" t="n">
        <v>44244</v>
      </c>
      <c r="C11090" s="1" t="n">
        <v>45971</v>
      </c>
      <c r="D11090" t="inlineStr">
        <is>
          <t>VÄSTERBOTTENS LÄN</t>
        </is>
      </c>
      <c r="E11090" t="inlineStr">
        <is>
          <t>NORDMALING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38099-2025</t>
        </is>
      </c>
      <c r="B11091" s="1" t="n">
        <v>45882.49087962963</v>
      </c>
      <c r="C11091" s="1" t="n">
        <v>45971</v>
      </c>
      <c r="D11091" t="inlineStr">
        <is>
          <t>VÄSTERBOTTENS LÄN</t>
        </is>
      </c>
      <c r="E11091" t="inlineStr">
        <is>
          <t>DOROTEA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37900-2025</t>
        </is>
      </c>
      <c r="B11092" s="1" t="n">
        <v>45881.56103009259</v>
      </c>
      <c r="C11092" s="1" t="n">
        <v>45971</v>
      </c>
      <c r="D11092" t="inlineStr">
        <is>
          <t>VÄSTERBOTTENS LÄN</t>
        </is>
      </c>
      <c r="E11092" t="inlineStr">
        <is>
          <t>SKELLEFTEÅ</t>
        </is>
      </c>
      <c r="F11092" t="inlineStr">
        <is>
          <t>Holmen skog AB</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34331-2024</t>
        </is>
      </c>
      <c r="B11093" s="1" t="n">
        <v>45524</v>
      </c>
      <c r="C11093" s="1" t="n">
        <v>45971</v>
      </c>
      <c r="D11093" t="inlineStr">
        <is>
          <t>VÄSTERBOTTENS LÄN</t>
        </is>
      </c>
      <c r="E11093" t="inlineStr">
        <is>
          <t>UMEÅ</t>
        </is>
      </c>
      <c r="F11093" t="inlineStr">
        <is>
          <t>Holmen skog AB</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38184-2025</t>
        </is>
      </c>
      <c r="B11094" s="1" t="n">
        <v>45882.64888888889</v>
      </c>
      <c r="C11094" s="1" t="n">
        <v>45971</v>
      </c>
      <c r="D11094" t="inlineStr">
        <is>
          <t>VÄSTERBOTTENS LÄN</t>
        </is>
      </c>
      <c r="E11094" t="inlineStr">
        <is>
          <t>ÅSELE</t>
        </is>
      </c>
      <c r="G11094" t="n">
        <v>9.800000000000001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37868-2025</t>
        </is>
      </c>
      <c r="B11095" s="1" t="n">
        <v>45881.4718287037</v>
      </c>
      <c r="C11095" s="1" t="n">
        <v>45971</v>
      </c>
      <c r="D11095" t="inlineStr">
        <is>
          <t>VÄSTERBOTTENS LÄN</t>
        </is>
      </c>
      <c r="E11095" t="inlineStr">
        <is>
          <t>ÅSELE</t>
        </is>
      </c>
      <c r="F11095" t="inlineStr">
        <is>
          <t>Kyrkan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38166-2025</t>
        </is>
      </c>
      <c r="B11096" s="1" t="n">
        <v>45882.63100694444</v>
      </c>
      <c r="C11096" s="1" t="n">
        <v>45971</v>
      </c>
      <c r="D11096" t="inlineStr">
        <is>
          <t>VÄSTERBOTTENS LÄN</t>
        </is>
      </c>
      <c r="E11096" t="inlineStr">
        <is>
          <t>VINDELN</t>
        </is>
      </c>
      <c r="F11096" t="inlineStr">
        <is>
          <t>Naturvårdsverket</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38177-2025</t>
        </is>
      </c>
      <c r="B11097" s="1" t="n">
        <v>45882.63927083334</v>
      </c>
      <c r="C11097" s="1" t="n">
        <v>45971</v>
      </c>
      <c r="D11097" t="inlineStr">
        <is>
          <t>VÄSTERBOTTENS LÄN</t>
        </is>
      </c>
      <c r="E11097" t="inlineStr">
        <is>
          <t>BJURHOLM</t>
        </is>
      </c>
      <c r="G11097" t="n">
        <v>14.2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38182-2025</t>
        </is>
      </c>
      <c r="B11098" s="1" t="n">
        <v>45882.64671296296</v>
      </c>
      <c r="C11098" s="1" t="n">
        <v>45971</v>
      </c>
      <c r="D11098" t="inlineStr">
        <is>
          <t>VÄSTERBOTTENS LÄN</t>
        </is>
      </c>
      <c r="E11098" t="inlineStr">
        <is>
          <t>NORSJÖ</t>
        </is>
      </c>
      <c r="F11098" t="inlineStr">
        <is>
          <t>Holmen skog AB</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43172-2023</t>
        </is>
      </c>
      <c r="B11099" s="1" t="n">
        <v>45183</v>
      </c>
      <c r="C11099" s="1" t="n">
        <v>45971</v>
      </c>
      <c r="D11099" t="inlineStr">
        <is>
          <t>VÄSTERBOTTENS LÄN</t>
        </is>
      </c>
      <c r="E11099" t="inlineStr">
        <is>
          <t>BJURHOLM</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38189-2025</t>
        </is>
      </c>
      <c r="B11100" s="1" t="n">
        <v>45882.65576388889</v>
      </c>
      <c r="C11100" s="1" t="n">
        <v>45971</v>
      </c>
      <c r="D11100" t="inlineStr">
        <is>
          <t>VÄSTERBOTTENS LÄN</t>
        </is>
      </c>
      <c r="E11100" t="inlineStr">
        <is>
          <t>ÅSELE</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28722-2022</t>
        </is>
      </c>
      <c r="B11101" s="1" t="n">
        <v>44748</v>
      </c>
      <c r="C11101" s="1" t="n">
        <v>45971</v>
      </c>
      <c r="D11101" t="inlineStr">
        <is>
          <t>VÄSTERBOTTENS LÄN</t>
        </is>
      </c>
      <c r="E11101" t="inlineStr">
        <is>
          <t>VILHELMINA</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7462-2022</t>
        </is>
      </c>
      <c r="B11102" s="1" t="n">
        <v>44606</v>
      </c>
      <c r="C11102" s="1" t="n">
        <v>45971</v>
      </c>
      <c r="D11102" t="inlineStr">
        <is>
          <t>VÄSTERBOTTENS LÄN</t>
        </is>
      </c>
      <c r="E11102" t="inlineStr">
        <is>
          <t>SKELLEFTEÅ</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32035-2021</t>
        </is>
      </c>
      <c r="B11103" s="1" t="n">
        <v>44370.65484953704</v>
      </c>
      <c r="C11103" s="1" t="n">
        <v>45971</v>
      </c>
      <c r="D11103" t="inlineStr">
        <is>
          <t>VÄSTERBOTTENS LÄN</t>
        </is>
      </c>
      <c r="E11103" t="inlineStr">
        <is>
          <t>BJURHOLM</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1348-2023</t>
        </is>
      </c>
      <c r="B11104" s="1" t="n">
        <v>44936</v>
      </c>
      <c r="C11104" s="1" t="n">
        <v>45971</v>
      </c>
      <c r="D11104" t="inlineStr">
        <is>
          <t>VÄSTERBOTTENS LÄN</t>
        </is>
      </c>
      <c r="E11104" t="inlineStr">
        <is>
          <t>ROBERTSFORS</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37916-2025</t>
        </is>
      </c>
      <c r="B11105" s="1" t="n">
        <v>45881.57440972222</v>
      </c>
      <c r="C11105" s="1" t="n">
        <v>45971</v>
      </c>
      <c r="D11105" t="inlineStr">
        <is>
          <t>VÄSTERBOTTENS LÄN</t>
        </is>
      </c>
      <c r="E11105" t="inlineStr">
        <is>
          <t>NORSJÖ</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46606-2025</t>
        </is>
      </c>
      <c r="B11106" s="1" t="n">
        <v>45926.4140162037</v>
      </c>
      <c r="C11106" s="1" t="n">
        <v>45971</v>
      </c>
      <c r="D11106" t="inlineStr">
        <is>
          <t>VÄSTERBOTTENS LÄN</t>
        </is>
      </c>
      <c r="E11106" t="inlineStr">
        <is>
          <t>VINDELN</t>
        </is>
      </c>
      <c r="F11106" t="inlineStr">
        <is>
          <t>Holmen skog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46413-2025</t>
        </is>
      </c>
      <c r="B11107" s="1" t="n">
        <v>45925.57604166667</v>
      </c>
      <c r="C11107" s="1" t="n">
        <v>45971</v>
      </c>
      <c r="D11107" t="inlineStr">
        <is>
          <t>VÄSTERBOTTENS LÄN</t>
        </is>
      </c>
      <c r="E11107" t="inlineStr">
        <is>
          <t>UMEÅ</t>
        </is>
      </c>
      <c r="F11107" t="inlineStr">
        <is>
          <t>Holmen skog AB</t>
        </is>
      </c>
      <c r="G11107" t="n">
        <v>14.3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37863-2025</t>
        </is>
      </c>
      <c r="B11108" s="1" t="n">
        <v>45881.46734953704</v>
      </c>
      <c r="C11108" s="1" t="n">
        <v>45971</v>
      </c>
      <c r="D11108" t="inlineStr">
        <is>
          <t>VÄSTERBOTTENS LÄN</t>
        </is>
      </c>
      <c r="E11108" t="inlineStr">
        <is>
          <t>ÅSELE</t>
        </is>
      </c>
      <c r="F11108" t="inlineStr">
        <is>
          <t>Kommuner</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37814-2025</t>
        </is>
      </c>
      <c r="B11109" s="1" t="n">
        <v>45881.3749537037</v>
      </c>
      <c r="C11109" s="1" t="n">
        <v>45971</v>
      </c>
      <c r="D11109" t="inlineStr">
        <is>
          <t>VÄSTERBOTTENS LÄN</t>
        </is>
      </c>
      <c r="E11109" t="inlineStr">
        <is>
          <t>UMEÅ</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37815-2025</t>
        </is>
      </c>
      <c r="B11110" s="1" t="n">
        <v>45881.38259259259</v>
      </c>
      <c r="C11110" s="1" t="n">
        <v>45971</v>
      </c>
      <c r="D11110" t="inlineStr">
        <is>
          <t>VÄSTERBOTTENS LÄN</t>
        </is>
      </c>
      <c r="E11110" t="inlineStr">
        <is>
          <t>SKELLEFTEÅ</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37772-2025</t>
        </is>
      </c>
      <c r="B11111" s="1" t="n">
        <v>45880.75725694445</v>
      </c>
      <c r="C11111" s="1" t="n">
        <v>45971</v>
      </c>
      <c r="D11111" t="inlineStr">
        <is>
          <t>VÄSTERBOTTENS LÄN</t>
        </is>
      </c>
      <c r="E11111" t="inlineStr">
        <is>
          <t>ÅSELE</t>
        </is>
      </c>
      <c r="G11111" t="n">
        <v>11.3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37773-2025</t>
        </is>
      </c>
      <c r="B11112" s="1" t="n">
        <v>45880.7615162037</v>
      </c>
      <c r="C11112" s="1" t="n">
        <v>45971</v>
      </c>
      <c r="D11112" t="inlineStr">
        <is>
          <t>VÄSTERBOTTENS LÄN</t>
        </is>
      </c>
      <c r="E11112" t="inlineStr">
        <is>
          <t>ÅSELE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38097-2025</t>
        </is>
      </c>
      <c r="B11113" s="1" t="n">
        <v>45882.49069444444</v>
      </c>
      <c r="C11113" s="1" t="n">
        <v>45971</v>
      </c>
      <c r="D11113" t="inlineStr">
        <is>
          <t>VÄSTERBOTTENS LÄN</t>
        </is>
      </c>
      <c r="E11113" t="inlineStr">
        <is>
          <t>DOROTEA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38098-2025</t>
        </is>
      </c>
      <c r="B11114" s="1" t="n">
        <v>45882</v>
      </c>
      <c r="C11114" s="1" t="n">
        <v>45971</v>
      </c>
      <c r="D11114" t="inlineStr">
        <is>
          <t>VÄSTERBOTTENS LÄN</t>
        </is>
      </c>
      <c r="E11114" t="inlineStr">
        <is>
          <t>DOROTEA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61657-2022</t>
        </is>
      </c>
      <c r="B11115" s="1" t="n">
        <v>44916</v>
      </c>
      <c r="C11115" s="1" t="n">
        <v>45971</v>
      </c>
      <c r="D11115" t="inlineStr">
        <is>
          <t>VÄSTERBOTTENS LÄN</t>
        </is>
      </c>
      <c r="E11115" t="inlineStr">
        <is>
          <t>NORDMALING</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38117-2025</t>
        </is>
      </c>
      <c r="B11116" s="1" t="n">
        <v>45882.53344907407</v>
      </c>
      <c r="C11116" s="1" t="n">
        <v>45971</v>
      </c>
      <c r="D11116" t="inlineStr">
        <is>
          <t>VÄSTERBOTTENS LÄN</t>
        </is>
      </c>
      <c r="E11116" t="inlineStr">
        <is>
          <t>VINDELN</t>
        </is>
      </c>
      <c r="F11116" t="inlineStr">
        <is>
          <t>Naturvårdsverket</t>
        </is>
      </c>
      <c r="G11116" t="n">
        <v>9.699999999999999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37888-2025</t>
        </is>
      </c>
      <c r="B11117" s="1" t="n">
        <v>45881.51483796296</v>
      </c>
      <c r="C11117" s="1" t="n">
        <v>45971</v>
      </c>
      <c r="D11117" t="inlineStr">
        <is>
          <t>VÄSTERBOTTENS LÄN</t>
        </is>
      </c>
      <c r="E11117" t="inlineStr">
        <is>
          <t>BJURHOLM</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37962-2025</t>
        </is>
      </c>
      <c r="B11118" s="1" t="n">
        <v>45881</v>
      </c>
      <c r="C11118" s="1" t="n">
        <v>45971</v>
      </c>
      <c r="D11118" t="inlineStr">
        <is>
          <t>VÄSTERBOTTENS LÄN</t>
        </is>
      </c>
      <c r="E11118" t="inlineStr">
        <is>
          <t>SKELLEFTEÅ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3046-2025</t>
        </is>
      </c>
      <c r="B11119" s="1" t="n">
        <v>45678</v>
      </c>
      <c r="C11119" s="1" t="n">
        <v>45971</v>
      </c>
      <c r="D11119" t="inlineStr">
        <is>
          <t>VÄSTERBOTTENS LÄN</t>
        </is>
      </c>
      <c r="E11119" t="inlineStr">
        <is>
          <t>ROBERTSFORS</t>
        </is>
      </c>
      <c r="F11119" t="inlineStr">
        <is>
          <t>Holmen skog AB</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54985-2025</t>
        </is>
      </c>
      <c r="B11120" s="1" t="n">
        <v>45967.55665509259</v>
      </c>
      <c r="C11120" s="1" t="n">
        <v>45971</v>
      </c>
      <c r="D11120" t="inlineStr">
        <is>
          <t>VÄSTERBOTTENS LÄN</t>
        </is>
      </c>
      <c r="E11120" t="inlineStr">
        <is>
          <t>SKELLEFTEÅ</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61858-2022</t>
        </is>
      </c>
      <c r="B11121" s="1" t="n">
        <v>44917</v>
      </c>
      <c r="C11121" s="1" t="n">
        <v>45971</v>
      </c>
      <c r="D11121" t="inlineStr">
        <is>
          <t>VÄSTERBOTTENS LÄN</t>
        </is>
      </c>
      <c r="E11121" t="inlineStr">
        <is>
          <t>VINDELN</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38612-2025</t>
        </is>
      </c>
      <c r="B11122" s="1" t="n">
        <v>45884.5409375</v>
      </c>
      <c r="C11122" s="1" t="n">
        <v>45971</v>
      </c>
      <c r="D11122" t="inlineStr">
        <is>
          <t>VÄSTERBOTTENS LÄN</t>
        </is>
      </c>
      <c r="E11122" t="inlineStr">
        <is>
          <t>ÅSELE</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38620-2025</t>
        </is>
      </c>
      <c r="B11123" s="1" t="n">
        <v>45884.55297453704</v>
      </c>
      <c r="C11123" s="1" t="n">
        <v>45971</v>
      </c>
      <c r="D11123" t="inlineStr">
        <is>
          <t>VÄSTERBOTTENS LÄN</t>
        </is>
      </c>
      <c r="E11123" t="inlineStr">
        <is>
          <t>VILHELMINA</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54977-2025</t>
        </is>
      </c>
      <c r="B11124" s="1" t="n">
        <v>45967.51125</v>
      </c>
      <c r="C11124" s="1" t="n">
        <v>45971</v>
      </c>
      <c r="D11124" t="inlineStr">
        <is>
          <t>VÄSTERBOTTENS LÄN</t>
        </is>
      </c>
      <c r="E11124" t="inlineStr">
        <is>
          <t>ÅSELE</t>
        </is>
      </c>
      <c r="F11124" t="inlineStr">
        <is>
          <t>SCA</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43251-2024</t>
        </is>
      </c>
      <c r="B11125" s="1" t="n">
        <v>45568.34429398148</v>
      </c>
      <c r="C11125" s="1" t="n">
        <v>45971</v>
      </c>
      <c r="D11125" t="inlineStr">
        <is>
          <t>VÄSTERBOTTENS LÄN</t>
        </is>
      </c>
      <c r="E11125" t="inlineStr">
        <is>
          <t>VILHELMINA</t>
        </is>
      </c>
      <c r="F11125" t="inlineStr">
        <is>
          <t>SCA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45971</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45406-2024</t>
        </is>
      </c>
      <c r="B11127" s="1" t="n">
        <v>45576.58394675926</v>
      </c>
      <c r="C11127" s="1" t="n">
        <v>45971</v>
      </c>
      <c r="D11127" t="inlineStr">
        <is>
          <t>VÄSTERBOTTENS LÄN</t>
        </is>
      </c>
      <c r="E11127" t="inlineStr">
        <is>
          <t>LYCKSELE</t>
        </is>
      </c>
      <c r="F11127" t="inlineStr">
        <is>
          <t>Naturvårdsverket</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45418-2024</t>
        </is>
      </c>
      <c r="B11128" s="1" t="n">
        <v>45576.59891203704</v>
      </c>
      <c r="C11128" s="1" t="n">
        <v>45971</v>
      </c>
      <c r="D11128" t="inlineStr">
        <is>
          <t>VÄSTERBOTTENS LÄN</t>
        </is>
      </c>
      <c r="E11128" t="inlineStr">
        <is>
          <t>SKELLEFTEÅ</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45421-2024</t>
        </is>
      </c>
      <c r="B11129" s="1" t="n">
        <v>45576.60200231482</v>
      </c>
      <c r="C11129" s="1" t="n">
        <v>45971</v>
      </c>
      <c r="D11129" t="inlineStr">
        <is>
          <t>VÄSTERBOTTENS LÄN</t>
        </is>
      </c>
      <c r="E11129" t="inlineStr">
        <is>
          <t>SKELLEFTEÅ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42861-2024</t>
        </is>
      </c>
      <c r="B11130" s="1" t="n">
        <v>45566.65780092592</v>
      </c>
      <c r="C11130" s="1" t="n">
        <v>45971</v>
      </c>
      <c r="D11130" t="inlineStr">
        <is>
          <t>VÄSTERBOTTENS LÄN</t>
        </is>
      </c>
      <c r="E11130" t="inlineStr">
        <is>
          <t>SKELLEFTEÅ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42877-2024</t>
        </is>
      </c>
      <c r="B11131" s="1" t="n">
        <v>45566.68878472222</v>
      </c>
      <c r="C11131" s="1" t="n">
        <v>45971</v>
      </c>
      <c r="D11131" t="inlineStr">
        <is>
          <t>VÄSTERBOTTENS LÄN</t>
        </is>
      </c>
      <c r="E11131" t="inlineStr">
        <is>
          <t>SKELLEFTEÅ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42897-2024</t>
        </is>
      </c>
      <c r="B11132" s="1" t="n">
        <v>45566.85192129629</v>
      </c>
      <c r="C11132" s="1" t="n">
        <v>45971</v>
      </c>
      <c r="D11132" t="inlineStr">
        <is>
          <t>VÄSTERBOTTENS LÄN</t>
        </is>
      </c>
      <c r="E11132" t="inlineStr">
        <is>
          <t>ÅSELE</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55030-2025</t>
        </is>
      </c>
      <c r="B11133" s="1" t="n">
        <v>45967.64042824074</v>
      </c>
      <c r="C11133" s="1" t="n">
        <v>45971</v>
      </c>
      <c r="D11133" t="inlineStr">
        <is>
          <t>VÄSTERBOTTENS LÄN</t>
        </is>
      </c>
      <c r="E11133" t="inlineStr">
        <is>
          <t>SKELLEFTEÅ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52900-2023</t>
        </is>
      </c>
      <c r="B11134" s="1" t="n">
        <v>45226</v>
      </c>
      <c r="C11134" s="1" t="n">
        <v>45971</v>
      </c>
      <c r="D11134" t="inlineStr">
        <is>
          <t>VÄSTERBOTTENS LÄN</t>
        </is>
      </c>
      <c r="E11134" t="inlineStr">
        <is>
          <t>UMEÅ</t>
        </is>
      </c>
      <c r="F11134" t="inlineStr">
        <is>
          <t>Holmen skog AB</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45297-2024</t>
        </is>
      </c>
      <c r="B11135" s="1" t="n">
        <v>45576.40248842593</v>
      </c>
      <c r="C11135" s="1" t="n">
        <v>45971</v>
      </c>
      <c r="D11135" t="inlineStr">
        <is>
          <t>VÄSTERBOTTENS LÄN</t>
        </is>
      </c>
      <c r="E11135" t="inlineStr">
        <is>
          <t>ÅSELE</t>
        </is>
      </c>
      <c r="F11135" t="inlineStr">
        <is>
          <t>Sveaskog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3852-2023</t>
        </is>
      </c>
      <c r="B11136" s="1" t="n">
        <v>44950</v>
      </c>
      <c r="C11136" s="1" t="n">
        <v>45971</v>
      </c>
      <c r="D11136" t="inlineStr">
        <is>
          <t>VÄSTERBOTTENS LÄN</t>
        </is>
      </c>
      <c r="E11136" t="inlineStr">
        <is>
          <t>SKELLEFTEÅ</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20550-2024</t>
        </is>
      </c>
      <c r="B11137" s="1" t="n">
        <v>45436</v>
      </c>
      <c r="C11137" s="1" t="n">
        <v>45971</v>
      </c>
      <c r="D11137" t="inlineStr">
        <is>
          <t>VÄSTERBOTTENS LÄN</t>
        </is>
      </c>
      <c r="E11137" t="inlineStr">
        <is>
          <t>VINDELN</t>
        </is>
      </c>
      <c r="F11137" t="inlineStr">
        <is>
          <t>Sveaskog</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55145-2025</t>
        </is>
      </c>
      <c r="B11138" s="1" t="n">
        <v>45968.44237268518</v>
      </c>
      <c r="C11138" s="1" t="n">
        <v>45971</v>
      </c>
      <c r="D11138" t="inlineStr">
        <is>
          <t>VÄSTERBOTTENS LÄN</t>
        </is>
      </c>
      <c r="E11138" t="inlineStr">
        <is>
          <t>SKELLEFTEÅ</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42473-2024</t>
        </is>
      </c>
      <c r="B11139" s="1" t="n">
        <v>45565.49016203704</v>
      </c>
      <c r="C11139" s="1" t="n">
        <v>45971</v>
      </c>
      <c r="D11139" t="inlineStr">
        <is>
          <t>VÄSTERBOTTENS LÄN</t>
        </is>
      </c>
      <c r="E11139" t="inlineStr">
        <is>
          <t>DOROTEA</t>
        </is>
      </c>
      <c r="F11139" t="inlineStr">
        <is>
          <t>SCA</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55147-2025</t>
        </is>
      </c>
      <c r="B11140" s="1" t="n">
        <v>45968.44407407408</v>
      </c>
      <c r="C11140" s="1" t="n">
        <v>45971</v>
      </c>
      <c r="D11140" t="inlineStr">
        <is>
          <t>VÄSTERBOTTENS LÄN</t>
        </is>
      </c>
      <c r="E11140" t="inlineStr">
        <is>
          <t>STORUMAN</t>
        </is>
      </c>
      <c r="F11140" t="inlineStr">
        <is>
          <t>Holmen skog AB</t>
        </is>
      </c>
      <c r="G11140" t="n">
        <v>7.3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55161-2025</t>
        </is>
      </c>
      <c r="B11141" s="1" t="n">
        <v>45968.47324074074</v>
      </c>
      <c r="C11141" s="1" t="n">
        <v>45971</v>
      </c>
      <c r="D11141" t="inlineStr">
        <is>
          <t>VÄSTERBOTTENS LÄN</t>
        </is>
      </c>
      <c r="E11141" t="inlineStr">
        <is>
          <t>ÅSELE</t>
        </is>
      </c>
      <c r="F11141" t="inlineStr">
        <is>
          <t>Holmen skog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55187-2025</t>
        </is>
      </c>
      <c r="B11142" s="1" t="n">
        <v>45968.53877314815</v>
      </c>
      <c r="C11142" s="1" t="n">
        <v>45971</v>
      </c>
      <c r="D11142" t="inlineStr">
        <is>
          <t>VÄSTERBOTTENS LÄN</t>
        </is>
      </c>
      <c r="E11142" t="inlineStr">
        <is>
          <t>LYCKSELE</t>
        </is>
      </c>
      <c r="F11142" t="inlineStr">
        <is>
          <t>Sveaskog</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20592-2024</t>
        </is>
      </c>
      <c r="B11143" s="1" t="n">
        <v>45436</v>
      </c>
      <c r="C11143" s="1" t="n">
        <v>45971</v>
      </c>
      <c r="D11143" t="inlineStr">
        <is>
          <t>VÄSTERBOTTENS LÄN</t>
        </is>
      </c>
      <c r="E11143" t="inlineStr">
        <is>
          <t>SKELLEFTEÅ</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41756-2024</t>
        </is>
      </c>
      <c r="B11144" s="1" t="n">
        <v>45561</v>
      </c>
      <c r="C11144" s="1" t="n">
        <v>45971</v>
      </c>
      <c r="D11144" t="inlineStr">
        <is>
          <t>VÄSTERBOTTENS LÄN</t>
        </is>
      </c>
      <c r="E11144" t="inlineStr">
        <is>
          <t>LYCKSELE</t>
        </is>
      </c>
      <c r="F11144" t="inlineStr">
        <is>
          <t>Sveaskog</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41815-2024</t>
        </is>
      </c>
      <c r="B11145" s="1" t="n">
        <v>45561</v>
      </c>
      <c r="C11145" s="1" t="n">
        <v>45971</v>
      </c>
      <c r="D11145" t="inlineStr">
        <is>
          <t>VÄSTERBOTTENS LÄN</t>
        </is>
      </c>
      <c r="E11145" t="inlineStr">
        <is>
          <t>ÅSELE</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12373-2024</t>
        </is>
      </c>
      <c r="B11146" s="1" t="n">
        <v>45378</v>
      </c>
      <c r="C11146" s="1" t="n">
        <v>45971</v>
      </c>
      <c r="D11146" t="inlineStr">
        <is>
          <t>VÄSTERBOTTENS LÄN</t>
        </is>
      </c>
      <c r="E11146" t="inlineStr">
        <is>
          <t>VILHELMINA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3411-2023</t>
        </is>
      </c>
      <c r="B11147" s="1" t="n">
        <v>44949.55421296296</v>
      </c>
      <c r="C11147" s="1" t="n">
        <v>45971</v>
      </c>
      <c r="D11147" t="inlineStr">
        <is>
          <t>VÄSTERBOTTENS LÄN</t>
        </is>
      </c>
      <c r="E11147" t="inlineStr">
        <is>
          <t>UMEÅ</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65382-2020</t>
        </is>
      </c>
      <c r="B11148" s="1" t="n">
        <v>44173</v>
      </c>
      <c r="C11148" s="1" t="n">
        <v>45971</v>
      </c>
      <c r="D11148" t="inlineStr">
        <is>
          <t>VÄSTERBOTTENS LÄN</t>
        </is>
      </c>
      <c r="E11148" t="inlineStr">
        <is>
          <t>SKELLEFTEÅ</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14185-2022</t>
        </is>
      </c>
      <c r="B11149" s="1" t="n">
        <v>44650</v>
      </c>
      <c r="C11149" s="1" t="n">
        <v>45971</v>
      </c>
      <c r="D11149" t="inlineStr">
        <is>
          <t>VÄSTERBOTTENS LÄN</t>
        </is>
      </c>
      <c r="E11149" t="inlineStr">
        <is>
          <t>STORUMAN</t>
        </is>
      </c>
      <c r="F11149" t="inlineStr">
        <is>
          <t>Övriga statliga verk och myndigheter</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42010-2024</t>
        </is>
      </c>
      <c r="B11150" s="1" t="n">
        <v>45561</v>
      </c>
      <c r="C11150" s="1" t="n">
        <v>45971</v>
      </c>
      <c r="D11150" t="inlineStr">
        <is>
          <t>VÄSTERBOTTENS LÄN</t>
        </is>
      </c>
      <c r="E11150" t="inlineStr">
        <is>
          <t>UMEÅ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29835-2023</t>
        </is>
      </c>
      <c r="B11151" s="1" t="n">
        <v>45107</v>
      </c>
      <c r="C11151" s="1" t="n">
        <v>45971</v>
      </c>
      <c r="D11151" t="inlineStr">
        <is>
          <t>VÄSTERBOTTENS LÄN</t>
        </is>
      </c>
      <c r="E11151" t="inlineStr">
        <is>
          <t>LYCKSELE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19776-2024</t>
        </is>
      </c>
      <c r="B11152" s="1" t="n">
        <v>45432</v>
      </c>
      <c r="C11152" s="1" t="n">
        <v>45971</v>
      </c>
      <c r="D11152" t="inlineStr">
        <is>
          <t>VÄSTERBOTTENS LÄN</t>
        </is>
      </c>
      <c r="E11152" t="inlineStr">
        <is>
          <t>ROBERTSFORS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21842-2022</t>
        </is>
      </c>
      <c r="B11153" s="1" t="n">
        <v>44711.30804398148</v>
      </c>
      <c r="C11153" s="1" t="n">
        <v>45971</v>
      </c>
      <c r="D11153" t="inlineStr">
        <is>
          <t>VÄSTERBOTTENS LÄN</t>
        </is>
      </c>
      <c r="E11153" t="inlineStr">
        <is>
          <t>SKELLEFTEÅ</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46647-2025</t>
        </is>
      </c>
      <c r="B11154" s="1" t="n">
        <v>45926.47561342592</v>
      </c>
      <c r="C11154" s="1" t="n">
        <v>45971</v>
      </c>
      <c r="D11154" t="inlineStr">
        <is>
          <t>VÄSTERBOTTENS LÄN</t>
        </is>
      </c>
      <c r="E11154" t="inlineStr">
        <is>
          <t>ROBERTSFORS</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41663-2024</t>
        </is>
      </c>
      <c r="B11155" s="1" t="n">
        <v>45560.64923611111</v>
      </c>
      <c r="C11155" s="1" t="n">
        <v>45971</v>
      </c>
      <c r="D11155" t="inlineStr">
        <is>
          <t>VÄSTERBOTTENS LÄN</t>
        </is>
      </c>
      <c r="E11155" t="inlineStr">
        <is>
          <t>VINDELN</t>
        </is>
      </c>
      <c r="F11155" t="inlineStr">
        <is>
          <t>Sveaskog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41695-2024</t>
        </is>
      </c>
      <c r="B11156" s="1" t="n">
        <v>45560.68400462963</v>
      </c>
      <c r="C11156" s="1" t="n">
        <v>45971</v>
      </c>
      <c r="D11156" t="inlineStr">
        <is>
          <t>VÄSTERBOTTENS LÄN</t>
        </is>
      </c>
      <c r="E11156" t="inlineStr">
        <is>
          <t>VINDELN</t>
        </is>
      </c>
      <c r="F11156" t="inlineStr">
        <is>
          <t>Sveaskog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46604-2025</t>
        </is>
      </c>
      <c r="B11157" s="1" t="n">
        <v>45926.41188657407</v>
      </c>
      <c r="C11157" s="1" t="n">
        <v>45971</v>
      </c>
      <c r="D11157" t="inlineStr">
        <is>
          <t>VÄSTERBOTTENS LÄN</t>
        </is>
      </c>
      <c r="E11157" t="inlineStr">
        <is>
          <t>STORUMAN</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46613-2025</t>
        </is>
      </c>
      <c r="B11158" s="1" t="n">
        <v>45926.42726851852</v>
      </c>
      <c r="C11158" s="1" t="n">
        <v>45971</v>
      </c>
      <c r="D11158" t="inlineStr">
        <is>
          <t>VÄSTERBOTTENS LÄN</t>
        </is>
      </c>
      <c r="E11158" t="inlineStr">
        <is>
          <t>SKELLEFTEÅ</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46620-2025</t>
        </is>
      </c>
      <c r="B11159" s="1" t="n">
        <v>45926</v>
      </c>
      <c r="C11159" s="1" t="n">
        <v>45971</v>
      </c>
      <c r="D11159" t="inlineStr">
        <is>
          <t>VÄSTERBOTTENS LÄN</t>
        </is>
      </c>
      <c r="E11159" t="inlineStr">
        <is>
          <t>MALÅ</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46629-2025</t>
        </is>
      </c>
      <c r="B11160" s="1" t="n">
        <v>45926.45268518518</v>
      </c>
      <c r="C11160" s="1" t="n">
        <v>45971</v>
      </c>
      <c r="D11160" t="inlineStr">
        <is>
          <t>VÄSTERBOTTENS LÄN</t>
        </is>
      </c>
      <c r="E11160" t="inlineStr">
        <is>
          <t>VINDELN</t>
        </is>
      </c>
      <c r="F11160" t="inlineStr">
        <is>
          <t>Holmen skog AB</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46682-2025</t>
        </is>
      </c>
      <c r="B11161" s="1" t="n">
        <v>45926.54784722222</v>
      </c>
      <c r="C11161" s="1" t="n">
        <v>45971</v>
      </c>
      <c r="D11161" t="inlineStr">
        <is>
          <t>VÄSTERBOTTENS LÄN</t>
        </is>
      </c>
      <c r="E11161" t="inlineStr">
        <is>
          <t>UMEÅ</t>
        </is>
      </c>
      <c r="F11161" t="inlineStr">
        <is>
          <t>Holmen skog AB</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18052-2024</t>
        </is>
      </c>
      <c r="B11162" s="1" t="n">
        <v>45420</v>
      </c>
      <c r="C11162" s="1" t="n">
        <v>45971</v>
      </c>
      <c r="D11162" t="inlineStr">
        <is>
          <t>VÄSTERBOTTENS LÄN</t>
        </is>
      </c>
      <c r="E11162" t="inlineStr">
        <is>
          <t>SORSELE</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45559-2022</t>
        </is>
      </c>
      <c r="B11163" s="1" t="n">
        <v>44845.48649305556</v>
      </c>
      <c r="C11163" s="1" t="n">
        <v>45971</v>
      </c>
      <c r="D11163" t="inlineStr">
        <is>
          <t>VÄSTERBOTTENS LÄN</t>
        </is>
      </c>
      <c r="E11163" t="inlineStr">
        <is>
          <t>LYCKSELE</t>
        </is>
      </c>
      <c r="G11163" t="n">
        <v>17.8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62109-2023</t>
        </is>
      </c>
      <c r="B11164" s="1" t="n">
        <v>45266.95105324074</v>
      </c>
      <c r="C11164" s="1" t="n">
        <v>45971</v>
      </c>
      <c r="D11164" t="inlineStr">
        <is>
          <t>VÄSTERBOTTENS LÄN</t>
        </is>
      </c>
      <c r="E11164" t="inlineStr">
        <is>
          <t>ÅSELE</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46592-2025</t>
        </is>
      </c>
      <c r="B11165" s="1" t="n">
        <v>45926.39637731481</v>
      </c>
      <c r="C11165" s="1" t="n">
        <v>45971</v>
      </c>
      <c r="D11165" t="inlineStr">
        <is>
          <t>VÄSTERBOTTENS LÄN</t>
        </is>
      </c>
      <c r="E11165" t="inlineStr">
        <is>
          <t>UMEÅ</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46593-2025</t>
        </is>
      </c>
      <c r="B11166" s="1" t="n">
        <v>45926.39694444444</v>
      </c>
      <c r="C11166" s="1" t="n">
        <v>45971</v>
      </c>
      <c r="D11166" t="inlineStr">
        <is>
          <t>VÄSTERBOTTENS LÄN</t>
        </is>
      </c>
      <c r="E11166" t="inlineStr">
        <is>
          <t>NORDMALING</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54738-2025</t>
        </is>
      </c>
      <c r="B11167" s="1" t="n">
        <v>45966</v>
      </c>
      <c r="C11167" s="1" t="n">
        <v>45971</v>
      </c>
      <c r="D11167" t="inlineStr">
        <is>
          <t>VÄSTERBOTTENS LÄN</t>
        </is>
      </c>
      <c r="E11167" t="inlineStr">
        <is>
          <t>VILHELMINA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46541-2025</t>
        </is>
      </c>
      <c r="B11168" s="1" t="n">
        <v>45926.34449074074</v>
      </c>
      <c r="C11168" s="1" t="n">
        <v>45971</v>
      </c>
      <c r="D11168" t="inlineStr">
        <is>
          <t>VÄSTERBOTTENS LÄN</t>
        </is>
      </c>
      <c r="E11168" t="inlineStr">
        <is>
          <t>ÅSELE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55020-2025</t>
        </is>
      </c>
      <c r="B11169" s="1" t="n">
        <v>45967.62662037037</v>
      </c>
      <c r="C11169" s="1" t="n">
        <v>45971</v>
      </c>
      <c r="D11169" t="inlineStr">
        <is>
          <t>VÄSTERBOTTENS LÄN</t>
        </is>
      </c>
      <c r="E11169" t="inlineStr">
        <is>
          <t>SKELLEFTEÅ</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55031-2025</t>
        </is>
      </c>
      <c r="B11170" s="1" t="n">
        <v>45967.64045138889</v>
      </c>
      <c r="C11170" s="1" t="n">
        <v>45971</v>
      </c>
      <c r="D11170" t="inlineStr">
        <is>
          <t>VÄSTERBOTTENS LÄN</t>
        </is>
      </c>
      <c r="E11170" t="inlineStr">
        <is>
          <t>LYCKSELE</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12715-2022</t>
        </is>
      </c>
      <c r="B11171" s="1" t="n">
        <v>44641</v>
      </c>
      <c r="C11171" s="1" t="n">
        <v>45971</v>
      </c>
      <c r="D11171" t="inlineStr">
        <is>
          <t>VÄSTERBOTTENS LÄN</t>
        </is>
      </c>
      <c r="E11171" t="inlineStr">
        <is>
          <t>SKELLEFTEÅ</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55095-2025</t>
        </is>
      </c>
      <c r="B11172" s="1" t="n">
        <v>45968.34498842592</v>
      </c>
      <c r="C11172" s="1" t="n">
        <v>45971</v>
      </c>
      <c r="D11172" t="inlineStr">
        <is>
          <t>VÄSTERBOTTENS LÄN</t>
        </is>
      </c>
      <c r="E11172" t="inlineStr">
        <is>
          <t>VILHELMINA</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8409-2022</t>
        </is>
      </c>
      <c r="B11173" s="1" t="n">
        <v>44610.92238425926</v>
      </c>
      <c r="C11173" s="1" t="n">
        <v>45971</v>
      </c>
      <c r="D11173" t="inlineStr">
        <is>
          <t>VÄSTERBOTTENS LÄN</t>
        </is>
      </c>
      <c r="E11173" t="inlineStr">
        <is>
          <t>UMEÅ</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46278-2025</t>
        </is>
      </c>
      <c r="B11174" s="1" t="n">
        <v>45925.37530092592</v>
      </c>
      <c r="C11174" s="1" t="n">
        <v>45971</v>
      </c>
      <c r="D11174" t="inlineStr">
        <is>
          <t>VÄSTERBOTTENS LÄN</t>
        </is>
      </c>
      <c r="E11174" t="inlineStr">
        <is>
          <t>SKELLEFTEÅ</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21961-2021</t>
        </is>
      </c>
      <c r="B11175" s="1" t="n">
        <v>44323</v>
      </c>
      <c r="C11175" s="1" t="n">
        <v>45971</v>
      </c>
      <c r="D11175" t="inlineStr">
        <is>
          <t>VÄSTERBOTTENS LÄN</t>
        </is>
      </c>
      <c r="E11175" t="inlineStr">
        <is>
          <t>LYCKSELE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15409-2021</t>
        </is>
      </c>
      <c r="B11176" s="1" t="n">
        <v>44285</v>
      </c>
      <c r="C11176" s="1" t="n">
        <v>45971</v>
      </c>
      <c r="D11176" t="inlineStr">
        <is>
          <t>VÄSTERBOTTENS LÄN</t>
        </is>
      </c>
      <c r="E11176" t="inlineStr">
        <is>
          <t>VÄNNÄS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52500-2022</t>
        </is>
      </c>
      <c r="B11177" s="1" t="n">
        <v>44869</v>
      </c>
      <c r="C11177" s="1" t="n">
        <v>45971</v>
      </c>
      <c r="D11177" t="inlineStr">
        <is>
          <t>VÄSTERBOTTENS LÄN</t>
        </is>
      </c>
      <c r="E11177" t="inlineStr">
        <is>
          <t>SKELLEFTEÅ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41358-2022</t>
        </is>
      </c>
      <c r="B11178" s="1" t="n">
        <v>44826</v>
      </c>
      <c r="C11178" s="1" t="n">
        <v>45971</v>
      </c>
      <c r="D11178" t="inlineStr">
        <is>
          <t>VÄSTERBOTTENS LÄN</t>
        </is>
      </c>
      <c r="E11178" t="inlineStr">
        <is>
          <t>LYCKSELE</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33520-2021</t>
        </is>
      </c>
      <c r="B11179" s="1" t="n">
        <v>44377.75653935185</v>
      </c>
      <c r="C11179" s="1" t="n">
        <v>45971</v>
      </c>
      <c r="D11179" t="inlineStr">
        <is>
          <t>VÄSTERBOTTENS LÄN</t>
        </is>
      </c>
      <c r="E11179" t="inlineStr">
        <is>
          <t>SKELLEFTEÅ</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46617-2025</t>
        </is>
      </c>
      <c r="B11180" s="1" t="n">
        <v>45926.43288194444</v>
      </c>
      <c r="C11180" s="1" t="n">
        <v>45971</v>
      </c>
      <c r="D11180" t="inlineStr">
        <is>
          <t>VÄSTERBOTTENS LÄN</t>
        </is>
      </c>
      <c r="E11180" t="inlineStr">
        <is>
          <t>NORSJÖ</t>
        </is>
      </c>
      <c r="F11180" t="inlineStr">
        <is>
          <t>Holmen skog AB</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21265-2021</t>
        </is>
      </c>
      <c r="B11181" s="1" t="n">
        <v>44320.5741087963</v>
      </c>
      <c r="C11181" s="1" t="n">
        <v>45971</v>
      </c>
      <c r="D11181" t="inlineStr">
        <is>
          <t>VÄSTERBOTTENS LÄN</t>
        </is>
      </c>
      <c r="E11181" t="inlineStr">
        <is>
          <t>SKELLEFTEÅ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38092-2022</t>
        </is>
      </c>
      <c r="B11182" s="1" t="n">
        <v>44811.93648148148</v>
      </c>
      <c r="C11182" s="1" t="n">
        <v>45971</v>
      </c>
      <c r="D11182" t="inlineStr">
        <is>
          <t>VÄSTERBOTTENS LÄN</t>
        </is>
      </c>
      <c r="E11182" t="inlineStr">
        <is>
          <t>ROBERTSFORS</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56716-2022</t>
        </is>
      </c>
      <c r="B11183" s="1" t="n">
        <v>44893.92828703704</v>
      </c>
      <c r="C11183" s="1" t="n">
        <v>45971</v>
      </c>
      <c r="D11183" t="inlineStr">
        <is>
          <t>VÄSTERBOTTENS LÄN</t>
        </is>
      </c>
      <c r="E11183" t="inlineStr">
        <is>
          <t>NORSJÖ</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1933-2023</t>
        </is>
      </c>
      <c r="B11184" s="1" t="n">
        <v>44938</v>
      </c>
      <c r="C11184" s="1" t="n">
        <v>45971</v>
      </c>
      <c r="D11184" t="inlineStr">
        <is>
          <t>VÄSTERBOTTENS LÄN</t>
        </is>
      </c>
      <c r="E11184" t="inlineStr">
        <is>
          <t>SKELLEFTEÅ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55228-2025</t>
        </is>
      </c>
      <c r="B11185" s="1" t="n">
        <v>45968.59909722222</v>
      </c>
      <c r="C11185" s="1" t="n">
        <v>45971</v>
      </c>
      <c r="D11185" t="inlineStr">
        <is>
          <t>VÄSTERBOTTENS LÄN</t>
        </is>
      </c>
      <c r="E11185" t="inlineStr">
        <is>
          <t>STORUMAN</t>
        </is>
      </c>
      <c r="F11185" t="inlineStr">
        <is>
          <t>Sveaskog</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55230-2025</t>
        </is>
      </c>
      <c r="B11186" s="1" t="n">
        <v>45968.60237268519</v>
      </c>
      <c r="C11186" s="1" t="n">
        <v>45971</v>
      </c>
      <c r="D11186" t="inlineStr">
        <is>
          <t>VÄSTERBOTTENS LÄN</t>
        </is>
      </c>
      <c r="E11186" t="inlineStr">
        <is>
          <t>STORUMAN</t>
        </is>
      </c>
      <c r="F11186" t="inlineStr">
        <is>
          <t>Sveaskog</t>
        </is>
      </c>
      <c r="G11186" t="n">
        <v>8.300000000000001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41503-2021</t>
        </is>
      </c>
      <c r="B11187" s="1" t="n">
        <v>44424</v>
      </c>
      <c r="C11187" s="1" t="n">
        <v>45971</v>
      </c>
      <c r="D11187" t="inlineStr">
        <is>
          <t>VÄSTERBOTTENS LÄN</t>
        </is>
      </c>
      <c r="E11187" t="inlineStr">
        <is>
          <t>BJURHOLM</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19100-2022</t>
        </is>
      </c>
      <c r="B11188" s="1" t="n">
        <v>44691.52804398148</v>
      </c>
      <c r="C11188" s="1" t="n">
        <v>45971</v>
      </c>
      <c r="D11188" t="inlineStr">
        <is>
          <t>VÄSTERBOTTENS LÄN</t>
        </is>
      </c>
      <c r="E11188" t="inlineStr">
        <is>
          <t>VÄNNÄS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11320-2023</t>
        </is>
      </c>
      <c r="B11189" s="1" t="n">
        <v>44993.01296296297</v>
      </c>
      <c r="C11189" s="1" t="n">
        <v>45971</v>
      </c>
      <c r="D11189" t="inlineStr">
        <is>
          <t>VÄSTERBOTTENS LÄN</t>
        </is>
      </c>
      <c r="E11189" t="inlineStr">
        <is>
          <t>ÅSELE</t>
        </is>
      </c>
      <c r="F11189" t="inlineStr">
        <is>
          <t>SCA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21843-2024</t>
        </is>
      </c>
      <c r="B11190" s="1" t="n">
        <v>45442.96064814815</v>
      </c>
      <c r="C11190" s="1" t="n">
        <v>45971</v>
      </c>
      <c r="D11190" t="inlineStr">
        <is>
          <t>VÄSTERBOTTENS LÄN</t>
        </is>
      </c>
      <c r="E11190" t="inlineStr">
        <is>
          <t>VILHELMINA</t>
        </is>
      </c>
      <c r="F11190" t="inlineStr">
        <is>
          <t>SCA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46271-2025</t>
        </is>
      </c>
      <c r="B11191" s="1" t="n">
        <v>45925.36983796296</v>
      </c>
      <c r="C11191" s="1" t="n">
        <v>45971</v>
      </c>
      <c r="D11191" t="inlineStr">
        <is>
          <t>VÄSTERBOTTENS LÄN</t>
        </is>
      </c>
      <c r="E11191" t="inlineStr">
        <is>
          <t>NORSJÖ</t>
        </is>
      </c>
      <c r="F11191" t="inlineStr">
        <is>
          <t>Holmen skog AB</t>
        </is>
      </c>
      <c r="G11191" t="n">
        <v>29.5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46692-2025</t>
        </is>
      </c>
      <c r="B11192" s="1" t="n">
        <v>45926</v>
      </c>
      <c r="C11192" s="1" t="n">
        <v>45971</v>
      </c>
      <c r="D11192" t="inlineStr">
        <is>
          <t>VÄSTERBOTTENS LÄN</t>
        </is>
      </c>
      <c r="E11192" t="inlineStr">
        <is>
          <t>LYCKSELE</t>
        </is>
      </c>
      <c r="F11192" t="inlineStr">
        <is>
          <t>Holmen skog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34819-2024</t>
        </is>
      </c>
      <c r="B11193" s="1" t="n">
        <v>45526.71134259259</v>
      </c>
      <c r="C11193" s="1" t="n">
        <v>45971</v>
      </c>
      <c r="D11193" t="inlineStr">
        <is>
          <t>VÄSTERBOTTENS LÄN</t>
        </is>
      </c>
      <c r="E11193" t="inlineStr">
        <is>
          <t>VILHELMINA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31466-2021</t>
        </is>
      </c>
      <c r="B11194" s="1" t="n">
        <v>44369</v>
      </c>
      <c r="C11194" s="1" t="n">
        <v>45971</v>
      </c>
      <c r="D11194" t="inlineStr">
        <is>
          <t>VÄSTERBOTTENS LÄN</t>
        </is>
      </c>
      <c r="E11194" t="inlineStr">
        <is>
          <t>LYCKSELE</t>
        </is>
      </c>
      <c r="F11194" t="inlineStr">
        <is>
          <t>Sveaskog</t>
        </is>
      </c>
      <c r="G11194" t="n">
        <v>18.3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22193-2023</t>
        </is>
      </c>
      <c r="B11195" s="1" t="n">
        <v>45069</v>
      </c>
      <c r="C11195" s="1" t="n">
        <v>45971</v>
      </c>
      <c r="D11195" t="inlineStr">
        <is>
          <t>VÄSTERBOTTENS LÄN</t>
        </is>
      </c>
      <c r="E11195" t="inlineStr">
        <is>
          <t>VÄNNÄS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10567-2023</t>
        </is>
      </c>
      <c r="B11196" s="1" t="n">
        <v>44981</v>
      </c>
      <c r="C11196" s="1" t="n">
        <v>45971</v>
      </c>
      <c r="D11196" t="inlineStr">
        <is>
          <t>VÄSTERBOTTENS LÄN</t>
        </is>
      </c>
      <c r="E11196" t="inlineStr">
        <is>
          <t>SKELLEFTEÅ</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54967-2025</t>
        </is>
      </c>
      <c r="B11197" s="1" t="n">
        <v>45967.49174768518</v>
      </c>
      <c r="C11197" s="1" t="n">
        <v>45971</v>
      </c>
      <c r="D11197" t="inlineStr">
        <is>
          <t>VÄSTERBOTTENS LÄN</t>
        </is>
      </c>
      <c r="E11197" t="inlineStr">
        <is>
          <t>SKELLEFTEÅ</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54969-2025</t>
        </is>
      </c>
      <c r="B11198" s="1" t="n">
        <v>45967.49447916666</v>
      </c>
      <c r="C11198" s="1" t="n">
        <v>45971</v>
      </c>
      <c r="D11198" t="inlineStr">
        <is>
          <t>VÄSTERBOTTENS LÄN</t>
        </is>
      </c>
      <c r="E11198" t="inlineStr">
        <is>
          <t>SKELLEFTEÅ</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46754-2025</t>
        </is>
      </c>
      <c r="B11199" s="1" t="n">
        <v>45926.61768518519</v>
      </c>
      <c r="C11199" s="1" t="n">
        <v>45971</v>
      </c>
      <c r="D11199" t="inlineStr">
        <is>
          <t>VÄSTERBOTTENS LÄN</t>
        </is>
      </c>
      <c r="E11199" t="inlineStr">
        <is>
          <t>ÅSELE</t>
        </is>
      </c>
      <c r="F11199" t="inlineStr">
        <is>
          <t>Holmen skog AB</t>
        </is>
      </c>
      <c r="G11199" t="n">
        <v>20.5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55169-2025</t>
        </is>
      </c>
      <c r="B11200" s="1" t="n">
        <v>45968.49219907408</v>
      </c>
      <c r="C11200" s="1" t="n">
        <v>45971</v>
      </c>
      <c r="D11200" t="inlineStr">
        <is>
          <t>VÄSTERBOTTENS LÄN</t>
        </is>
      </c>
      <c r="E11200" t="inlineStr">
        <is>
          <t>ÅSELE</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55216-2025</t>
        </is>
      </c>
      <c r="B11201" s="1" t="n">
        <v>45968.58465277778</v>
      </c>
      <c r="C11201" s="1" t="n">
        <v>45971</v>
      </c>
      <c r="D11201" t="inlineStr">
        <is>
          <t>VÄSTERBOTTENS LÄN</t>
        </is>
      </c>
      <c r="E11201" t="inlineStr">
        <is>
          <t>LYCKSELE</t>
        </is>
      </c>
      <c r="F11201" t="inlineStr">
        <is>
          <t>Naturvårdsverket</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46496-2025</t>
        </is>
      </c>
      <c r="B11202" s="1" t="n">
        <v>45925.83113425926</v>
      </c>
      <c r="C11202" s="1" t="n">
        <v>45971</v>
      </c>
      <c r="D11202" t="inlineStr">
        <is>
          <t>VÄSTERBOTTENS LÄN</t>
        </is>
      </c>
      <c r="E11202" t="inlineStr">
        <is>
          <t>SKELLEFTEÅ</t>
        </is>
      </c>
      <c r="F11202" t="inlineStr">
        <is>
          <t>Sveaskog</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46251-2025</t>
        </is>
      </c>
      <c r="B11203" s="1" t="n">
        <v>45925.34475694445</v>
      </c>
      <c r="C11203" s="1" t="n">
        <v>45971</v>
      </c>
      <c r="D11203" t="inlineStr">
        <is>
          <t>VÄSTERBOTTENS LÄN</t>
        </is>
      </c>
      <c r="E11203" t="inlineStr">
        <is>
          <t>ÅSELE</t>
        </is>
      </c>
      <c r="F11203" t="inlineStr">
        <is>
          <t>SCA</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54914-2025</t>
        </is>
      </c>
      <c r="B11204" s="1" t="n">
        <v>45967.38550925926</v>
      </c>
      <c r="C11204" s="1" t="n">
        <v>45971</v>
      </c>
      <c r="D11204" t="inlineStr">
        <is>
          <t>VÄSTERBOTTENS LÄN</t>
        </is>
      </c>
      <c r="E11204" t="inlineStr">
        <is>
          <t>SKELLEFTEÅ</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54915-2025</t>
        </is>
      </c>
      <c r="B11205" s="1" t="n">
        <v>45967.38572916666</v>
      </c>
      <c r="C11205" s="1" t="n">
        <v>45971</v>
      </c>
      <c r="D11205" t="inlineStr">
        <is>
          <t>VÄSTERBOTTENS LÄN</t>
        </is>
      </c>
      <c r="E11205" t="inlineStr">
        <is>
          <t>SKELLEFTEÅ</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54920-2025</t>
        </is>
      </c>
      <c r="B11206" s="1" t="n">
        <v>45967.38887731481</v>
      </c>
      <c r="C11206" s="1" t="n">
        <v>45971</v>
      </c>
      <c r="D11206" t="inlineStr">
        <is>
          <t>VÄSTERBOTTENS LÄN</t>
        </is>
      </c>
      <c r="E11206" t="inlineStr">
        <is>
          <t>VILHELMINA</t>
        </is>
      </c>
      <c r="G11206" t="n">
        <v>28.1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54921-2025</t>
        </is>
      </c>
      <c r="B11207" s="1" t="n">
        <v>45967.39020833333</v>
      </c>
      <c r="C11207" s="1" t="n">
        <v>45971</v>
      </c>
      <c r="D11207" t="inlineStr">
        <is>
          <t>VÄSTERBOTTENS LÄN</t>
        </is>
      </c>
      <c r="E11207" t="inlineStr">
        <is>
          <t>SKELLEFTEÅ</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54943-2025</t>
        </is>
      </c>
      <c r="B11208" s="1" t="n">
        <v>45967.44447916667</v>
      </c>
      <c r="C11208" s="1" t="n">
        <v>45971</v>
      </c>
      <c r="D11208" t="inlineStr">
        <is>
          <t>VÄSTERBOTTENS LÄN</t>
        </is>
      </c>
      <c r="E11208" t="inlineStr">
        <is>
          <t>LYCKSELE</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54955-2025</t>
        </is>
      </c>
      <c r="B11209" s="1" t="n">
        <v>45967</v>
      </c>
      <c r="C11209" s="1" t="n">
        <v>45971</v>
      </c>
      <c r="D11209" t="inlineStr">
        <is>
          <t>VÄSTERBOTTENS LÄN</t>
        </is>
      </c>
      <c r="E11209" t="inlineStr">
        <is>
          <t>VILHELMINA</t>
        </is>
      </c>
      <c r="G11209" t="n">
        <v>15.6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55241-2025</t>
        </is>
      </c>
      <c r="B11210" s="1" t="n">
        <v>45968.61634259259</v>
      </c>
      <c r="C11210" s="1" t="n">
        <v>45971</v>
      </c>
      <c r="D11210" t="inlineStr">
        <is>
          <t>VÄSTERBOTTENS LÄN</t>
        </is>
      </c>
      <c r="E11210" t="inlineStr">
        <is>
          <t>ROBERTSFORS</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46573-2025</t>
        </is>
      </c>
      <c r="B11211" s="1" t="n">
        <v>45926.37020833333</v>
      </c>
      <c r="C11211" s="1" t="n">
        <v>45971</v>
      </c>
      <c r="D11211" t="inlineStr">
        <is>
          <t>VÄSTERBOTTENS LÄN</t>
        </is>
      </c>
      <c r="E11211" t="inlineStr">
        <is>
          <t>STORUMAN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55106-2025</t>
        </is>
      </c>
      <c r="B11212" s="1" t="n">
        <v>45968.36491898148</v>
      </c>
      <c r="C11212" s="1" t="n">
        <v>45971</v>
      </c>
      <c r="D11212" t="inlineStr">
        <is>
          <t>VÄSTERBOTTENS LÄN</t>
        </is>
      </c>
      <c r="E11212" t="inlineStr">
        <is>
          <t>VINDELN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54889-2025</t>
        </is>
      </c>
      <c r="B11213" s="1" t="n">
        <v>45967.34901620371</v>
      </c>
      <c r="C11213" s="1" t="n">
        <v>45971</v>
      </c>
      <c r="D11213" t="inlineStr">
        <is>
          <t>VÄSTERBOTTENS LÄN</t>
        </is>
      </c>
      <c r="E11213" t="inlineStr">
        <is>
          <t>SKELLEFTEÅ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46350-2025</t>
        </is>
      </c>
      <c r="B11214" s="1" t="n">
        <v>45925.48527777778</v>
      </c>
      <c r="C11214" s="1" t="n">
        <v>45971</v>
      </c>
      <c r="D11214" t="inlineStr">
        <is>
          <t>VÄSTERBOTTENS LÄN</t>
        </is>
      </c>
      <c r="E11214" t="inlineStr">
        <is>
          <t>SKELLEFTEÅ</t>
        </is>
      </c>
      <c r="F11214" t="inlineStr">
        <is>
          <t>Sveaskog</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46241-2025</t>
        </is>
      </c>
      <c r="B11215" s="1" t="n">
        <v>45925</v>
      </c>
      <c r="C11215" s="1" t="n">
        <v>45971</v>
      </c>
      <c r="D11215" t="inlineStr">
        <is>
          <t>VÄSTERBOTTENS LÄN</t>
        </is>
      </c>
      <c r="E11215" t="inlineStr">
        <is>
          <t>VINDELN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46735-2025</t>
        </is>
      </c>
      <c r="B11216" s="1" t="n">
        <v>45926.59788194444</v>
      </c>
      <c r="C11216" s="1" t="n">
        <v>45971</v>
      </c>
      <c r="D11216" t="inlineStr">
        <is>
          <t>VÄSTERBOTTENS LÄN</t>
        </is>
      </c>
      <c r="E11216" t="inlineStr">
        <is>
          <t>BJURHOLM</t>
        </is>
      </c>
      <c r="F11216" t="inlineStr">
        <is>
          <t>Holmen skog AB</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46797-2025</t>
        </is>
      </c>
      <c r="B11217" s="1" t="n">
        <v>45926.65686342592</v>
      </c>
      <c r="C11217" s="1" t="n">
        <v>45971</v>
      </c>
      <c r="D11217" t="inlineStr">
        <is>
          <t>VÄSTERBOTTENS LÄN</t>
        </is>
      </c>
      <c r="E11217" t="inlineStr">
        <is>
          <t>ÅSELE</t>
        </is>
      </c>
      <c r="F11217" t="inlineStr">
        <is>
          <t>Holmen skog AB</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55088-2025</t>
        </is>
      </c>
      <c r="B11218" s="1" t="n">
        <v>45968.33479166667</v>
      </c>
      <c r="C11218" s="1" t="n">
        <v>45971</v>
      </c>
      <c r="D11218" t="inlineStr">
        <is>
          <t>VÄSTERBOTTENS LÄN</t>
        </is>
      </c>
      <c r="E11218" t="inlineStr">
        <is>
          <t>SKELLEFTEÅ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46798-2025</t>
        </is>
      </c>
      <c r="B11219" s="1" t="n">
        <v>45926.65700231482</v>
      </c>
      <c r="C11219" s="1" t="n">
        <v>45971</v>
      </c>
      <c r="D11219" t="inlineStr">
        <is>
          <t>VÄSTERBOTTENS LÄN</t>
        </is>
      </c>
      <c r="E11219" t="inlineStr">
        <is>
          <t>SORSELE</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54756-2025</t>
        </is>
      </c>
      <c r="B11220" s="1" t="n">
        <v>45966</v>
      </c>
      <c r="C11220" s="1" t="n">
        <v>45971</v>
      </c>
      <c r="D11220" t="inlineStr">
        <is>
          <t>VÄSTERBOTTENS LÄN</t>
        </is>
      </c>
      <c r="E11220" t="inlineStr">
        <is>
          <t>NORSJÖ</t>
        </is>
      </c>
      <c r="G11220" t="n">
        <v>21.5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46480-2025</t>
        </is>
      </c>
      <c r="B11221" s="1" t="n">
        <v>45925.6988425926</v>
      </c>
      <c r="C11221" s="1" t="n">
        <v>45971</v>
      </c>
      <c r="D11221" t="inlineStr">
        <is>
          <t>VÄSTERBOTTENS LÄN</t>
        </is>
      </c>
      <c r="E11221" t="inlineStr">
        <is>
          <t>SKELLEFTEÅ</t>
        </is>
      </c>
      <c r="F11221" t="inlineStr">
        <is>
          <t>Sveaskog</t>
        </is>
      </c>
      <c r="G11221" t="n">
        <v>13.8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59011-2024</t>
        </is>
      </c>
      <c r="B11222" s="1" t="n">
        <v>45636</v>
      </c>
      <c r="C11222" s="1" t="n">
        <v>45971</v>
      </c>
      <c r="D11222" t="inlineStr">
        <is>
          <t>VÄSTERBOTTENS LÄN</t>
        </is>
      </c>
      <c r="E11222" t="inlineStr">
        <is>
          <t>VILHELMINA</t>
        </is>
      </c>
      <c r="F11222" t="inlineStr">
        <is>
          <t>Allmännings- och besparingsskogar</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48836-2025</t>
        </is>
      </c>
      <c r="B11223" s="1" t="n">
        <v>45937</v>
      </c>
      <c r="C11223" s="1" t="n">
        <v>45971</v>
      </c>
      <c r="D11223" t="inlineStr">
        <is>
          <t>VÄSTERBOTTENS LÄN</t>
        </is>
      </c>
      <c r="E11223" t="inlineStr">
        <is>
          <t>NORSJÖ</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55127-2025</t>
        </is>
      </c>
      <c r="B11224" s="1" t="n">
        <v>45968.40739583333</v>
      </c>
      <c r="C11224" s="1" t="n">
        <v>45971</v>
      </c>
      <c r="D11224" t="inlineStr">
        <is>
          <t>VÄSTERBOTTENS LÄN</t>
        </is>
      </c>
      <c r="E11224" t="inlineStr">
        <is>
          <t>MALÅ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55051-2025</t>
        </is>
      </c>
      <c r="B11225" s="1" t="n">
        <v>45967.67128472222</v>
      </c>
      <c r="C11225" s="1" t="n">
        <v>45971</v>
      </c>
      <c r="D11225" t="inlineStr">
        <is>
          <t>VÄSTERBOTTENS LÄN</t>
        </is>
      </c>
      <c r="E11225" t="inlineStr">
        <is>
          <t>SKELLEFTEÅ</t>
        </is>
      </c>
      <c r="F11225" t="inlineStr">
        <is>
          <t>Sveaskog</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55054-2025</t>
        </is>
      </c>
      <c r="B11226" s="1" t="n">
        <v>45967.67780092593</v>
      </c>
      <c r="C11226" s="1" t="n">
        <v>45971</v>
      </c>
      <c r="D11226" t="inlineStr">
        <is>
          <t>VÄSTERBOTTENS LÄN</t>
        </is>
      </c>
      <c r="E11226" t="inlineStr">
        <is>
          <t>ÅSELE</t>
        </is>
      </c>
      <c r="F11226" t="inlineStr">
        <is>
          <t>SCA</t>
        </is>
      </c>
      <c r="G11226" t="n">
        <v>13.3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46273-2025</t>
        </is>
      </c>
      <c r="B11227" s="1" t="n">
        <v>45925.3700925926</v>
      </c>
      <c r="C11227" s="1" t="n">
        <v>45971</v>
      </c>
      <c r="D11227" t="inlineStr">
        <is>
          <t>VÄSTERBOTTENS LÄN</t>
        </is>
      </c>
      <c r="E11227" t="inlineStr">
        <is>
          <t>SKELLEFTEÅ</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46276-2025</t>
        </is>
      </c>
      <c r="B11228" s="1" t="n">
        <v>45925.37224537037</v>
      </c>
      <c r="C11228" s="1" t="n">
        <v>45971</v>
      </c>
      <c r="D11228" t="inlineStr">
        <is>
          <t>VÄSTERBOTTENS LÄN</t>
        </is>
      </c>
      <c r="E11228" t="inlineStr">
        <is>
          <t>SKELLEFTEÅ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37346-2024</t>
        </is>
      </c>
      <c r="B11229" s="1" t="n">
        <v>45540</v>
      </c>
      <c r="C11229" s="1" t="n">
        <v>45971</v>
      </c>
      <c r="D11229" t="inlineStr">
        <is>
          <t>VÄSTERBOTTENS LÄN</t>
        </is>
      </c>
      <c r="E11229" t="inlineStr">
        <is>
          <t>VILHELMINA</t>
        </is>
      </c>
      <c r="G11229" t="n">
        <v>96.3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40726-2024</t>
        </is>
      </c>
      <c r="B11230" s="1" t="n">
        <v>45558</v>
      </c>
      <c r="C11230" s="1" t="n">
        <v>45971</v>
      </c>
      <c r="D11230" t="inlineStr">
        <is>
          <t>VÄSTERBOTTENS LÄN</t>
        </is>
      </c>
      <c r="E11230" t="inlineStr">
        <is>
          <t>VILHELMINA</t>
        </is>
      </c>
      <c r="F11230" t="inlineStr">
        <is>
          <t>Allmännings- och besparingsskogar</t>
        </is>
      </c>
      <c r="G11230" t="n">
        <v>73.59999999999999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47010-2024</t>
        </is>
      </c>
      <c r="B11231" s="1" t="n">
        <v>45586</v>
      </c>
      <c r="C11231" s="1" t="n">
        <v>45971</v>
      </c>
      <c r="D11231" t="inlineStr">
        <is>
          <t>VÄSTERBOTTENS LÄN</t>
        </is>
      </c>
      <c r="E11231" t="inlineStr">
        <is>
          <t>VILHELMINA</t>
        </is>
      </c>
      <c r="F11231" t="inlineStr">
        <is>
          <t>SCA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55252-2025</t>
        </is>
      </c>
      <c r="B11232" s="1" t="n">
        <v>45968.63385416667</v>
      </c>
      <c r="C11232" s="1" t="n">
        <v>45971</v>
      </c>
      <c r="D11232" t="inlineStr">
        <is>
          <t>VÄSTERBOTTENS LÄN</t>
        </is>
      </c>
      <c r="E11232" t="inlineStr">
        <is>
          <t>SKELLEFTEÅ</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31696-2024</t>
        </is>
      </c>
      <c r="B11233" s="1" t="n">
        <v>45508</v>
      </c>
      <c r="C11233" s="1" t="n">
        <v>45971</v>
      </c>
      <c r="D11233" t="inlineStr">
        <is>
          <t>VÄSTERBOTTENS LÄN</t>
        </is>
      </c>
      <c r="E11233" t="inlineStr">
        <is>
          <t>VILHELMINA</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47171-2024</t>
        </is>
      </c>
      <c r="B11234" s="1" t="n">
        <v>45586</v>
      </c>
      <c r="C11234" s="1" t="n">
        <v>45971</v>
      </c>
      <c r="D11234" t="inlineStr">
        <is>
          <t>VÄSTERBOTTENS LÄN</t>
        </is>
      </c>
      <c r="E11234" t="inlineStr">
        <is>
          <t>UMEÅ</t>
        </is>
      </c>
      <c r="F11234" t="inlineStr">
        <is>
          <t>Holmen skog AB</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46591-2025</t>
        </is>
      </c>
      <c r="B11235" s="1" t="n">
        <v>45926.39612268518</v>
      </c>
      <c r="C11235" s="1" t="n">
        <v>45971</v>
      </c>
      <c r="D11235" t="inlineStr">
        <is>
          <t>VÄSTERBOTTENS LÄN</t>
        </is>
      </c>
      <c r="E11235" t="inlineStr">
        <is>
          <t>UMEÅ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46595-2025</t>
        </is>
      </c>
      <c r="B11236" s="1" t="n">
        <v>45926.39805555555</v>
      </c>
      <c r="C11236" s="1" t="n">
        <v>45971</v>
      </c>
      <c r="D11236" t="inlineStr">
        <is>
          <t>VÄSTERBOTTENS LÄN</t>
        </is>
      </c>
      <c r="E11236" t="inlineStr">
        <is>
          <t>STORUMAN</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55205-2025</t>
        </is>
      </c>
      <c r="B11237" s="1" t="n">
        <v>45968.57340277778</v>
      </c>
      <c r="C11237" s="1" t="n">
        <v>45971</v>
      </c>
      <c r="D11237" t="inlineStr">
        <is>
          <t>VÄSTERBOTTENS LÄN</t>
        </is>
      </c>
      <c r="E11237" t="inlineStr">
        <is>
          <t>SKELLEFTEÅ</t>
        </is>
      </c>
      <c r="F11237" t="inlineStr">
        <is>
          <t>Sveaskog</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55126-2025</t>
        </is>
      </c>
      <c r="B11238" s="1" t="n">
        <v>45968.40736111111</v>
      </c>
      <c r="C11238" s="1" t="n">
        <v>45971</v>
      </c>
      <c r="D11238" t="inlineStr">
        <is>
          <t>VÄSTERBOTTENS LÄN</t>
        </is>
      </c>
      <c r="E11238" t="inlineStr">
        <is>
          <t>MALÅ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46286-2025</t>
        </is>
      </c>
      <c r="B11239" s="1" t="n">
        <v>45925.38423611111</v>
      </c>
      <c r="C11239" s="1" t="n">
        <v>45971</v>
      </c>
      <c r="D11239" t="inlineStr">
        <is>
          <t>VÄSTERBOTTENS LÄN</t>
        </is>
      </c>
      <c r="E11239" t="inlineStr">
        <is>
          <t>LYCKSELE</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46574-2025</t>
        </is>
      </c>
      <c r="B11240" s="1" t="n">
        <v>45926.37028935185</v>
      </c>
      <c r="C11240" s="1" t="n">
        <v>45971</v>
      </c>
      <c r="D11240" t="inlineStr">
        <is>
          <t>VÄSTERBOTTENS LÄN</t>
        </is>
      </c>
      <c r="E11240" t="inlineStr">
        <is>
          <t>VINDELN</t>
        </is>
      </c>
      <c r="F11240" t="inlineStr">
        <is>
          <t>Holmen skog AB</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46562-2025</t>
        </is>
      </c>
      <c r="B11241" s="1" t="n">
        <v>45926</v>
      </c>
      <c r="C11241" s="1" t="n">
        <v>45971</v>
      </c>
      <c r="D11241" t="inlineStr">
        <is>
          <t>VÄSTERBOTTENS LÄN</t>
        </is>
      </c>
      <c r="E11241" t="inlineStr">
        <is>
          <t>LYCKSELE</t>
        </is>
      </c>
      <c r="F11241" t="inlineStr">
        <is>
          <t>Holmen skog AB</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46586-2025</t>
        </is>
      </c>
      <c r="B11242" s="1" t="n">
        <v>45926.38789351852</v>
      </c>
      <c r="C11242" s="1" t="n">
        <v>45971</v>
      </c>
      <c r="D11242" t="inlineStr">
        <is>
          <t>VÄSTERBOTTENS LÄN</t>
        </is>
      </c>
      <c r="E11242" t="inlineStr">
        <is>
          <t>STORUMAN</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46291-2025</t>
        </is>
      </c>
      <c r="B11243" s="1" t="n">
        <v>45925</v>
      </c>
      <c r="C11243" s="1" t="n">
        <v>45971</v>
      </c>
      <c r="D11243" t="inlineStr">
        <is>
          <t>VÄSTERBOTTENS LÄN</t>
        </is>
      </c>
      <c r="E11243" t="inlineStr">
        <is>
          <t>SKELLEFTEÅ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55247-2025</t>
        </is>
      </c>
      <c r="B11244" s="1" t="n">
        <v>45968.62555555555</v>
      </c>
      <c r="C11244" s="1" t="n">
        <v>45971</v>
      </c>
      <c r="D11244" t="inlineStr">
        <is>
          <t>VÄSTERBOTTENS LÄN</t>
        </is>
      </c>
      <c r="E11244" t="inlineStr">
        <is>
          <t>SKELLEFTEÅ</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55249-2025</t>
        </is>
      </c>
      <c r="B11245" s="1" t="n">
        <v>45968.62826388889</v>
      </c>
      <c r="C11245" s="1" t="n">
        <v>45971</v>
      </c>
      <c r="D11245" t="inlineStr">
        <is>
          <t>VÄSTERBOTTENS LÄN</t>
        </is>
      </c>
      <c r="E11245" t="inlineStr">
        <is>
          <t>STORUMAN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54942-2025</t>
        </is>
      </c>
      <c r="B11246" s="1" t="n">
        <v>45967.44127314815</v>
      </c>
      <c r="C11246" s="1" t="n">
        <v>45971</v>
      </c>
      <c r="D11246" t="inlineStr">
        <is>
          <t>VÄSTERBOTTENS LÄN</t>
        </is>
      </c>
      <c r="E11246" t="inlineStr">
        <is>
          <t>LYCKSELE</t>
        </is>
      </c>
      <c r="F11246" t="inlineStr">
        <is>
          <t>Sveaskog</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55092-2025</t>
        </is>
      </c>
      <c r="B11247" s="1" t="n">
        <v>45968.34462962963</v>
      </c>
      <c r="C11247" s="1" t="n">
        <v>45971</v>
      </c>
      <c r="D11247" t="inlineStr">
        <is>
          <t>VÄSTERBOTTENS LÄN</t>
        </is>
      </c>
      <c r="E11247" t="inlineStr">
        <is>
          <t>VILHELMINA</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54906-2025</t>
        </is>
      </c>
      <c r="B11248" s="1" t="n">
        <v>45967.37105324074</v>
      </c>
      <c r="C11248" s="1" t="n">
        <v>45971</v>
      </c>
      <c r="D11248" t="inlineStr">
        <is>
          <t>VÄSTERBOTTENS LÄN</t>
        </is>
      </c>
      <c r="E11248" t="inlineStr">
        <is>
          <t>LYCKSELE</t>
        </is>
      </c>
      <c r="G11248" t="n">
        <v>24.9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59003-2024</t>
        </is>
      </c>
      <c r="B11249" s="1" t="n">
        <v>45636</v>
      </c>
      <c r="C11249" s="1" t="n">
        <v>45971</v>
      </c>
      <c r="D11249" t="inlineStr">
        <is>
          <t>VÄSTERBOTTENS LÄN</t>
        </is>
      </c>
      <c r="E11249" t="inlineStr">
        <is>
          <t>VILHELMINA</t>
        </is>
      </c>
      <c r="F11249" t="inlineStr">
        <is>
          <t>Allmännings- och besparingsskogar</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32683-2024</t>
        </is>
      </c>
      <c r="B11250" s="1" t="n">
        <v>45515</v>
      </c>
      <c r="C11250" s="1" t="n">
        <v>45971</v>
      </c>
      <c r="D11250" t="inlineStr">
        <is>
          <t>VÄSTERBOTTENS LÄN</t>
        </is>
      </c>
      <c r="E11250" t="inlineStr">
        <is>
          <t>VILHELMINA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46548-2025</t>
        </is>
      </c>
      <c r="B11251" s="1" t="n">
        <v>45926.34539351852</v>
      </c>
      <c r="C11251" s="1" t="n">
        <v>45971</v>
      </c>
      <c r="D11251" t="inlineStr">
        <is>
          <t>VÄSTERBOTTENS LÄN</t>
        </is>
      </c>
      <c r="E11251" t="inlineStr">
        <is>
          <t>NORDMALING</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46654-2025</t>
        </is>
      </c>
      <c r="B11252" s="1" t="n">
        <v>45926</v>
      </c>
      <c r="C11252" s="1" t="n">
        <v>45971</v>
      </c>
      <c r="D11252" t="inlineStr">
        <is>
          <t>VÄSTERBOTTENS LÄN</t>
        </is>
      </c>
      <c r="E11252" t="inlineStr">
        <is>
          <t>LYCKSELE</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55231-2025</t>
        </is>
      </c>
      <c r="B11253" s="1" t="n">
        <v>45968.60631944444</v>
      </c>
      <c r="C11253" s="1" t="n">
        <v>45971</v>
      </c>
      <c r="D11253" t="inlineStr">
        <is>
          <t>VÄSTERBOTTENS LÄN</t>
        </is>
      </c>
      <c r="E11253" t="inlineStr">
        <is>
          <t>SKELLEFTEÅ</t>
        </is>
      </c>
      <c r="G11253" t="n">
        <v>0.7</v>
      </c>
      <c r="H11253" t="n">
        <v>0</v>
      </c>
      <c r="I11253" t="n">
        <v>0</v>
      </c>
      <c r="J11253" t="n">
        <v>0</v>
      </c>
      <c r="K11253" t="n">
        <v>0</v>
      </c>
      <c r="L11253" t="n">
        <v>0</v>
      </c>
      <c r="M11253" t="n">
        <v>0</v>
      </c>
      <c r="N11253" t="n">
        <v>0</v>
      </c>
      <c r="O11253" t="n">
        <v>0</v>
      </c>
      <c r="P11253" t="n">
        <v>0</v>
      </c>
      <c r="Q11253" t="n">
        <v>0</v>
      </c>
      <c r="R11253" s="2" t="inlineStr"/>
    </row>
    <row r="11254">
      <c r="A11254" t="inlineStr">
        <is>
          <t>A 46627-2025</t>
        </is>
      </c>
      <c r="B11254" s="1" t="n">
        <v>45926.44899305556</v>
      </c>
      <c r="C11254" s="1" t="n">
        <v>45971</v>
      </c>
      <c r="D11254" t="inlineStr">
        <is>
          <t>VÄSTERBOTTENS LÄN</t>
        </is>
      </c>
      <c r="E11254" t="inlineStr">
        <is>
          <t>SKELLEFTEÅ</t>
        </is>
      </c>
      <c r="G11254" t="n">
        <v>7.4</v>
      </c>
      <c r="H11254" t="n">
        <v>0</v>
      </c>
      <c r="I11254" t="n">
        <v>0</v>
      </c>
      <c r="J11254" t="n">
        <v>0</v>
      </c>
      <c r="K11254" t="n">
        <v>0</v>
      </c>
      <c r="L11254" t="n">
        <v>0</v>
      </c>
      <c r="M11254" t="n">
        <v>0</v>
      </c>
      <c r="N11254" t="n">
        <v>0</v>
      </c>
      <c r="O11254" t="n">
        <v>0</v>
      </c>
      <c r="P11254" t="n">
        <v>0</v>
      </c>
      <c r="Q11254" t="n">
        <v>0</v>
      </c>
      <c r="R1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2025-11-10T10:14:04Z</dcterms:created>
  <dcterms:modified xmlns:dcterms="http://purl.org/dc/terms/" xmlns:xsi="http://www.w3.org/2001/XMLSchema-instance" xsi:type="dcterms:W3CDTF">2025-11-10T10:14:13Z</dcterms:modified>
</cp:coreProperties>
</file>